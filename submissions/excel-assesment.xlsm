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944\Desktop\priyadharshini-mapup\MapUp-Data-Assessment-F\submissions\"/>
    </mc:Choice>
  </mc:AlternateContent>
  <xr:revisionPtr revIDLastSave="0" documentId="13_ncr:1_{5293ECB6-BCB6-4B48-B4FB-C6699A2D5679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E25" i="20"/>
  <c r="E24" i="20"/>
  <c r="E23" i="20"/>
  <c r="C22" i="19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<sst xmlns="http://schemas.openxmlformats.org/spreadsheetml/2006/main" count="16770" uniqueCount="16545">
  <si>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</si>
  <si>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</si>
  <si>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</si>
  <si>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</si>
  <si>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</si>
  <si>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</si>
  <si>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</si>
  <si>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</si>
  <si>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</si>
  <si>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</si>
  <si>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</si>
  <si>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</si>
  <si>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</si>
  <si>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</si>
  <si>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</si>
  <si>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</si>
  <si>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</si>
  <si>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</si>
  <si>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</si>
  <si>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</si>
  <si>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</si>
  <si>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</si>
  <si>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</si>
  <si>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</si>
  <si>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</si>
  <si>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</si>
  <si>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</si>
  <si>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</si>
  <si>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</si>
  <si>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</si>
  <si>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</si>
  <si>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</si>
  <si>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</si>
  <si>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</si>
  <si>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</si>
  <si>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</si>
  <si>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</si>
  <si>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</si>
  <si>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</si>
  <si>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</si>
  <si>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</si>
  <si>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</si>
  <si>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</si>
  <si>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</si>
  <si>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</si>
  <si>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</si>
  <si>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</si>
  <si>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</si>
  <si>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</si>
  <si>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</si>
  <si>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</si>
  <si>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</si>
  <si>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</si>
  <si>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</si>
  <si>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</si>
  <si>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</si>
  <si>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</si>
  <si>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</si>
  <si>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</si>
  <si>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</si>
  <si>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</si>
  <si>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</si>
  <si>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</si>
  <si>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</si>
  <si>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</si>
  <si>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</si>
  <si>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</si>
  <si>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</si>
  <si>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</si>
  <si>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</si>
  <si>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</si>
  <si>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</si>
  <si>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</si>
  <si>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</si>
  <si>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</si>
  <si>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</si>
  <si>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</si>
  <si>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</si>
  <si>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</si>
  <si>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</si>
  <si>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</si>
  <si>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</si>
  <si>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</si>
  <si>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</si>
  <si>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</si>
  <si>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</si>
  <si>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</si>
  <si>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</si>
  <si>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</si>
  <si>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</si>
  <si>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</si>
  <si>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</si>
  <si>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</si>
  <si>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</si>
  <si>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</si>
  <si>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</si>
  <si>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</si>
  <si>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</si>
  <si>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</si>
  <si>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</si>
  <si>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</si>
  <si>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</si>
  <si>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</si>
  <si>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</si>
  <si>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</si>
  <si>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</si>
  <si>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</si>
  <si>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</si>
  <si>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</si>
  <si>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</si>
  <si>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</si>
  <si>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</si>
  <si>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</si>
  <si>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</si>
  <si>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</si>
  <si>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</si>
  <si>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</si>
  <si>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</si>
  <si>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</si>
  <si>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</si>
  <si>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</si>
  <si>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</si>
  <si>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</si>
  <si>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</si>
  <si>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</si>
  <si>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</si>
  <si>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</si>
  <si>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</si>
  <si>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</si>
  <si>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</si>
  <si>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</si>
  <si>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</si>
  <si>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</si>
  <si>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</si>
  <si>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</si>
  <si>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</si>
  <si>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</si>
  <si>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</si>
  <si>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</si>
  <si>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</si>
  <si>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</si>
  <si>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</si>
  <si>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</si>
  <si>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</si>
  <si>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</si>
  <si>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</si>
  <si>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</si>
  <si>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</si>
  <si>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</si>
  <si>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</si>
  <si>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</si>
  <si>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</si>
  <si>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</si>
  <si>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</si>
  <si>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</si>
  <si>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</si>
  <si>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</si>
  <si>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</si>
  <si>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</si>
  <si>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</si>
  <si>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</si>
  <si>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</si>
  <si>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</si>
  <si>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</si>
  <si>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</si>
  <si>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</si>
  <si>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</si>
  <si>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</si>
  <si>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</si>
  <si>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</si>
  <si>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</si>
  <si>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</si>
  <si>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</si>
  <si>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</si>
  <si>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</si>
  <si>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</si>
  <si>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</si>
  <si>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</si>
  <si>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</si>
  <si>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</si>
  <si>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</si>
  <si>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</si>
  <si>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</si>
  <si>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</si>
  <si>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</si>
  <si>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</si>
  <si>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</si>
  <si>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</si>
  <si>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</si>
  <si>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</si>
  <si>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</si>
  <si>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</si>
  <si>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</si>
  <si>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</si>
  <si>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</si>
  <si>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</si>
  <si>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</si>
  <si>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</si>
  <si>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</si>
  <si>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</si>
  <si>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</si>
  <si>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</si>
  <si>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</si>
  <si>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</si>
  <si>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</si>
  <si>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</si>
  <si>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</si>
  <si>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</si>
  <si>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</si>
  <si>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</si>
  <si>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</si>
  <si>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</si>
  <si>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</si>
  <si>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</si>
  <si>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</si>
  <si>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</si>
  <si>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</si>
  <si>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</si>
  <si>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</si>
  <si>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</si>
  <si>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</si>
  <si>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</si>
  <si>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</si>
  <si>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</si>
  <si>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</si>
  <si>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</si>
  <si>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</si>
  <si>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</si>
  <si>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</si>
  <si>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</si>
  <si>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</si>
  <si>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</si>
  <si>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</si>
  <si>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</si>
  <si>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</si>
  <si>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</si>
  <si>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</si>
  <si>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</si>
  <si>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</si>
  <si>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</si>
  <si>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</si>
  <si>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</si>
  <si>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</si>
  <si>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</si>
  <si>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</si>
  <si>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</si>
  <si>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</si>
  <si>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</si>
  <si>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</si>
  <si>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</si>
  <si>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</si>
  <si>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</si>
  <si>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</si>
  <si>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</si>
  <si>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</si>
  <si>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</si>
  <si>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</si>
  <si>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</si>
  <si>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</si>
  <si>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</si>
  <si>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</si>
  <si>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</si>
  <si>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</si>
  <si>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</si>
  <si>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</si>
  <si>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</si>
  <si>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</si>
  <si>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</si>
  <si>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</si>
  <si>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</si>
  <si>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</si>
  <si>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</si>
  <si>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</si>
  <si>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</si>
  <si>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</si>
  <si>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</si>
  <si>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</si>
  <si>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</si>
  <si>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</si>
  <si>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</si>
  <si>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</si>
  <si>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</si>
  <si>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</si>
  <si>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</si>
  <si>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</si>
  <si>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</si>
  <si>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</si>
  <si>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</si>
  <si>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</si>
  <si>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</si>
  <si>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</si>
  <si>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</si>
  <si>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</si>
  <si>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</si>
  <si>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</si>
  <si>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</si>
  <si>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</si>
  <si>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</si>
  <si>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</si>
  <si>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</si>
  <si>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</si>
  <si>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</si>
  <si>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</si>
  <si>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</si>
  <si>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</si>
  <si>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</si>
  <si>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</si>
  <si>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</si>
  <si>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</si>
  <si>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</si>
  <si>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</si>
  <si>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</si>
  <si>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</si>
  <si>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</si>
  <si>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</si>
  <si>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</si>
  <si>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</si>
  <si>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</si>
  <si>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</si>
  <si>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</si>
  <si>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</si>
  <si>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</si>
  <si>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</si>
  <si>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</si>
  <si>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</si>
  <si>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</si>
  <si>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</si>
  <si>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</si>
  <si>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</si>
  <si>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</si>
  <si>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</si>
  <si>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</si>
  <si>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</si>
  <si>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</si>
  <si>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</si>
  <si>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</si>
  <si>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</si>
  <si>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</si>
  <si>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</si>
  <si>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</si>
  <si>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</si>
  <si>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</si>
  <si>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</si>
  <si>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</si>
  <si>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</si>
  <si>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</si>
  <si>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</si>
  <si>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</si>
  <si>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</si>
  <si>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</si>
  <si>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</si>
  <si>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</si>
  <si>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</si>
  <si>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</si>
  <si>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</si>
  <si>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</si>
  <si>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</si>
  <si>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</si>
  <si>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</si>
  <si>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</si>
  <si>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</si>
  <si>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</si>
  <si>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</si>
  <si>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</si>
  <si>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</si>
  <si>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</si>
  <si>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</si>
  <si>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</si>
  <si>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</si>
  <si>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</si>
  <si>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</si>
  <si>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</si>
  <si>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</si>
  <si>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</si>
  <si>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</si>
  <si>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</si>
  <si>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</si>
  <si>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</si>
  <si>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</si>
  <si>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</si>
  <si>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</si>
  <si>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</si>
  <si>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</si>
  <si>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</si>
  <si>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</si>
  <si>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</si>
  <si>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</si>
  <si>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</si>
  <si>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</si>
  <si>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</si>
  <si>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</si>
  <si>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</si>
  <si>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</si>
  <si>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</si>
  <si>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</si>
  <si>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</si>
  <si>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</si>
  <si>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</si>
  <si>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</si>
  <si>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</si>
  <si>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</si>
  <si>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</si>
  <si>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</si>
  <si>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</si>
  <si>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</si>
  <si>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</si>
  <si>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</si>
  <si>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</si>
  <si>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</si>
  <si>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</si>
  <si>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</si>
  <si>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</si>
  <si>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</si>
  <si>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</si>
  <si>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</si>
  <si>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</si>
  <si>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</si>
  <si>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</si>
  <si>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</si>
  <si>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</si>
  <si>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</si>
  <si>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</si>
  <si>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</si>
  <si>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</si>
  <si>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</si>
  <si>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</si>
  <si>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</si>
  <si>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</si>
  <si>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</si>
  <si>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</si>
  <si>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</si>
  <si>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</si>
  <si>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</si>
  <si>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</si>
  <si>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</si>
  <si>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</si>
  <si>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</si>
  <si>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</si>
  <si>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</si>
  <si>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</si>
  <si>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</si>
  <si>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</si>
  <si>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</si>
  <si>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</si>
  <si>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</si>
  <si>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</si>
  <si>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</si>
  <si>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</si>
  <si>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</si>
  <si>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</si>
  <si>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</si>
  <si>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</si>
  <si>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</si>
  <si>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</si>
  <si>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</si>
  <si>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</si>
  <si>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</si>
  <si>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</si>
  <si>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</si>
  <si>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</si>
  <si>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</si>
  <si>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</si>
  <si>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</si>
  <si>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</si>
  <si>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</si>
  <si>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</si>
  <si>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</si>
  <si>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</si>
  <si>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</si>
  <si>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</si>
  <si>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</si>
  <si>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</si>
  <si>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</si>
  <si>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</si>
  <si>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</si>
  <si>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</si>
  <si>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</si>
  <si>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</si>
  <si>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</si>
  <si>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</si>
  <si>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</si>
  <si>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</si>
  <si>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</si>
  <si>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</si>
  <si>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</si>
  <si>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</si>
  <si>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</si>
  <si>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</si>
  <si>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</si>
  <si>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</si>
  <si>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</si>
  <si>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</si>
  <si>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</si>
  <si>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</si>
  <si>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</si>
  <si>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</si>
  <si>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</si>
  <si>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</si>
  <si>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</si>
  <si>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</si>
  <si>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</si>
  <si>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</si>
  <si>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</si>
  <si>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</si>
  <si>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</si>
  <si>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</si>
  <si>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</si>
  <si>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</si>
  <si>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</si>
  <si>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</si>
  <si>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</si>
  <si>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</si>
  <si>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</si>
  <si>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</si>
  <si>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</si>
  <si>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</si>
  <si>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</si>
  <si>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</si>
  <si>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</si>
  <si>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</si>
  <si>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</si>
  <si>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</si>
  <si>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</si>
  <si>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</si>
  <si>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</si>
  <si>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</si>
  <si>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</si>
  <si>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</si>
  <si>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</si>
  <si>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</si>
  <si>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</si>
  <si>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</si>
  <si>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</si>
  <si>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</si>
  <si>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</si>
  <si>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</si>
  <si>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</si>
  <si>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</si>
  <si>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</si>
  <si>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</si>
  <si>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</si>
  <si>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</si>
  <si>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</si>
  <si>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</si>
  <si>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</si>
  <si>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</si>
  <si>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</si>
  <si>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</si>
  <si>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</si>
  <si>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</si>
  <si>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</si>
  <si>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</si>
  <si>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</si>
  <si>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</si>
  <si>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</si>
  <si>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</si>
  <si>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</si>
  <si>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</si>
  <si>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</si>
  <si>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</si>
  <si>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</si>
  <si>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</si>
  <si>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</si>
  <si>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</si>
  <si>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</si>
  <si>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</si>
  <si>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</si>
  <si>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</si>
  <si>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</si>
  <si>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</si>
  <si>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</si>
  <si>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</si>
  <si>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</si>
  <si>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</si>
  <si>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</si>
  <si>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</si>
  <si>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</si>
  <si>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</si>
  <si>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</si>
  <si>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</si>
  <si>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</si>
  <si>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</si>
  <si>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</si>
  <si>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</si>
  <si>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</si>
  <si>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</si>
  <si>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</si>
  <si>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</si>
  <si>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</si>
  <si>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</si>
  <si>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</si>
  <si>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</si>
  <si>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</si>
  <si>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</si>
  <si>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</si>
  <si>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</si>
  <si>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</si>
  <si>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</si>
  <si>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</si>
  <si>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</si>
  <si>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</si>
  <si>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</si>
  <si>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</si>
  <si>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</si>
  <si>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</si>
  <si>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</si>
  <si>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</si>
  <si>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</si>
  <si>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</si>
  <si>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</si>
  <si>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</si>
  <si>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</si>
  <si>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</si>
  <si>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</si>
  <si>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</si>
  <si>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</si>
  <si>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</si>
  <si>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</si>
  <si>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</si>
  <si>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</si>
  <si>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</si>
  <si>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</si>
  <si>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</si>
  <si>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</si>
  <si>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</si>
  <si>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</si>
  <si>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</si>
  <si>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</si>
  <si>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</si>
  <si>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</si>
  <si>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</si>
  <si>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</si>
  <si>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</si>
  <si>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</si>
  <si>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</si>
  <si>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</si>
  <si>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</si>
  <si>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</si>
  <si>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</si>
  <si>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</si>
  <si>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</si>
  <si>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</si>
  <si>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</si>
  <si>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</si>
  <si>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</si>
  <si>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</si>
  <si>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</si>
  <si>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</si>
  <si>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</si>
  <si>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</si>
  <si>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</si>
  <si>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</si>
  <si>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</si>
  <si>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</si>
  <si>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</si>
  <si>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</si>
  <si>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</si>
  <si>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</si>
  <si>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</si>
  <si>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</si>
  <si>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</si>
  <si>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</si>
  <si>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</si>
  <si>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</si>
  <si>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</si>
  <si>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</si>
  <si>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</si>
  <si>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</si>
  <si>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</si>
  <si>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</si>
  <si>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</si>
  <si>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</si>
  <si>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</si>
  <si>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</si>
  <si>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</si>
  <si>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</si>
  <si>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</si>
  <si>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</si>
  <si>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</si>
  <si>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</si>
  <si>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</si>
  <si>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</si>
  <si>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</si>
  <si>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</si>
  <si>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</si>
  <si>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</si>
  <si>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</si>
  <si>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</si>
  <si>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</si>
  <si>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</si>
  <si>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</si>
  <si>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</si>
  <si>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</si>
  <si>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</si>
  <si>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</si>
  <si>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</si>
  <si>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</si>
  <si>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</si>
  <si>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</si>
  <si>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</si>
  <si>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</si>
  <si>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</si>
  <si>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</si>
  <si>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</si>
  <si>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</si>
  <si>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</si>
  <si>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</si>
  <si>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</si>
  <si>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</si>
  <si>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</si>
  <si>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</si>
  <si>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</si>
  <si>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</si>
  <si>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</si>
  <si>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</si>
  <si>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</si>
  <si>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</si>
  <si>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</si>
  <si>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</si>
  <si>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</si>
  <si>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</si>
  <si>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</si>
  <si>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</si>
  <si>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</si>
  <si>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</si>
  <si>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</si>
  <si>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</si>
  <si>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</si>
  <si>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</si>
  <si>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</si>
  <si>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</si>
  <si>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</si>
  <si>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</si>
  <si>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</si>
  <si>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</si>
  <si>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</si>
  <si>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</si>
  <si>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</si>
  <si>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</si>
  <si>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</si>
  <si>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</si>
  <si>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</si>
  <si>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</si>
  <si>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</si>
  <si>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</si>
  <si>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</si>
  <si>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</si>
  <si>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</si>
  <si>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</si>
  <si>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</si>
  <si>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</si>
  <si>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</si>
  <si>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</si>
  <si>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</si>
  <si>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</si>
  <si>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</si>
  <si>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</si>
  <si>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</si>
  <si>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</si>
  <si>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</si>
  <si>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</si>
  <si>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</si>
  <si>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</si>
  <si>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</si>
  <si>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</si>
  <si>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</si>
  <si>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</si>
  <si>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</si>
  <si>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</si>
  <si>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</si>
  <si>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</si>
  <si>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</si>
  <si>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</si>
  <si>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</si>
  <si>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</si>
  <si>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</si>
  <si>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</si>
  <si>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</si>
  <si>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</si>
  <si>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</si>
  <si>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</si>
  <si>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</si>
  <si>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</si>
  <si>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</si>
  <si>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</si>
  <si>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</si>
  <si>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</si>
  <si>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</si>
  <si>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</si>
  <si>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</si>
  <si>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</si>
  <si>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</si>
  <si>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</si>
  <si>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</si>
  <si>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</si>
  <si>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</si>
  <si>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</si>
  <si>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</si>
  <si>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</si>
  <si>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</si>
  <si>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</si>
  <si>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</si>
  <si>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</si>
  <si>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</si>
  <si>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</si>
  <si>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</si>
  <si>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</si>
  <si>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</si>
  <si>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</si>
  <si>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</si>
  <si>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</si>
  <si>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</si>
  <si>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</si>
  <si>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</si>
  <si>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</si>
  <si>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</si>
  <si>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</si>
  <si>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</si>
  <si>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</si>
  <si>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</si>
  <si>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</si>
  <si>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</si>
  <si>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</si>
  <si>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</si>
  <si>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</si>
  <si>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</si>
  <si>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</si>
  <si>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</si>
  <si>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</si>
  <si>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</si>
  <si>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</si>
  <si>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</si>
  <si>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</si>
  <si>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</si>
  <si>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</si>
  <si>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</si>
  <si>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</si>
  <si>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</si>
  <si>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</si>
  <si>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</si>
  <si>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</si>
  <si>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</si>
  <si>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</si>
  <si>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</si>
  <si>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</si>
  <si>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</si>
  <si>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</si>
  <si>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</si>
  <si>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</si>
  <si>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</si>
  <si>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</si>
  <si>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</si>
  <si>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</si>
  <si>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</si>
  <si>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</si>
  <si>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</si>
  <si>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</si>
  <si>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</si>
  <si>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</si>
  <si>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</si>
  <si>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</si>
  <si>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</si>
  <si>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</si>
  <si>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</si>
  <si>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</si>
  <si>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</si>
  <si>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</si>
  <si>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</si>
  <si>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</si>
  <si>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</si>
  <si>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</si>
  <si>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</si>
  <si>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</si>
  <si>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</si>
  <si>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</si>
  <si>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</si>
  <si>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</si>
  <si>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</si>
  <si>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</si>
  <si>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</si>
  <si>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</si>
  <si>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</si>
  <si>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</si>
  <si>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</si>
  <si>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</si>
  <si>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</si>
  <si>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</si>
  <si>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</si>
  <si>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</si>
  <si>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</si>
  <si>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</si>
  <si>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</si>
  <si>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</si>
  <si>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</si>
  <si>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</si>
  <si>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</si>
  <si>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</si>
  <si>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</si>
  <si>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</si>
  <si>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</si>
  <si>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</si>
  <si>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</si>
  <si>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</si>
  <si>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</si>
  <si>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</si>
  <si>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</si>
  <si>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</si>
  <si>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</si>
  <si>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</si>
  <si>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</si>
  <si>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</si>
  <si>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</si>
  <si>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</si>
  <si>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</si>
  <si>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</si>
  <si>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</si>
  <si>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</si>
  <si>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</si>
  <si>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</si>
  <si>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</si>
  <si>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</si>
  <si>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</si>
  <si>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</si>
  <si>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</si>
  <si>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</si>
  <si>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</si>
  <si>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</si>
  <si>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</si>
  <si>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</si>
  <si>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</si>
  <si>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</si>
  <si>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</si>
  <si>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</si>
  <si>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</si>
  <si>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</si>
  <si>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</si>
  <si>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</si>
  <si>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</si>
  <si>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</si>
  <si>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</si>
  <si>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</si>
  <si>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</si>
  <si>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</si>
  <si>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</si>
  <si>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</si>
  <si>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</si>
  <si>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</si>
  <si>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</si>
  <si>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</si>
  <si>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</si>
  <si>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</si>
  <si>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</si>
  <si>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</si>
  <si>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</si>
  <si>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</si>
  <si>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</si>
  <si>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</si>
  <si>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</si>
  <si>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</si>
  <si>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</si>
  <si>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</si>
  <si>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</si>
  <si>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</si>
  <si>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</si>
  <si>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</si>
  <si>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</si>
  <si>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</si>
  <si>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</si>
  <si>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</si>
  <si>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</si>
  <si>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</si>
  <si>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</si>
  <si>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</si>
  <si>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</si>
  <si>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</si>
  <si>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</si>
  <si>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</si>
  <si>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</si>
  <si>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</si>
  <si>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</si>
  <si>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</si>
  <si>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</si>
  <si>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</si>
  <si>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</si>
  <si>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</si>
  <si>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</si>
  <si>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</si>
  <si>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</si>
  <si>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</si>
  <si>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</si>
  <si>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</si>
  <si>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</si>
  <si>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</si>
  <si>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</si>
  <si>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</si>
  <si>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</si>
  <si>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</si>
  <si>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</si>
  <si>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</si>
  <si>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</si>
  <si>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</si>
  <si>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</si>
  <si>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</si>
  <si>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</si>
  <si>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</si>
  <si>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</si>
  <si>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</si>
  <si>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</si>
  <si>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</si>
  <si>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</si>
  <si>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</si>
  <si>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</si>
  <si>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</si>
  <si>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</si>
  <si>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</si>
  <si>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</si>
  <si>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</si>
  <si>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</si>
  <si>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</si>
  <si>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</si>
  <si>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</si>
  <si>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</si>
  <si>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</si>
  <si>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</si>
  <si>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</si>
  <si>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</si>
  <si>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</si>
  <si>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</si>
  <si>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</si>
  <si>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</si>
  <si>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</si>
  <si>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</si>
  <si>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</si>
  <si>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</si>
  <si>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</si>
  <si>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</si>
  <si>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</si>
  <si>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</si>
  <si>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</si>
  <si>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</si>
  <si>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</si>
  <si>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</si>
  <si>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</si>
  <si>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</si>
  <si>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</si>
  <si>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</si>
  <si>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</si>
  <si>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</si>
  <si>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</si>
  <si>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</si>
  <si>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</si>
  <si>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</si>
  <si>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</si>
  <si>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</si>
  <si>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</si>
  <si>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</si>
  <si>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</si>
  <si>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</si>
  <si>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</si>
  <si>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</si>
  <si>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</si>
  <si>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</si>
  <si>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</si>
  <si>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</si>
  <si>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</si>
  <si>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</si>
  <si>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</si>
  <si>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</si>
  <si>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</si>
  <si>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</si>
  <si>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</si>
  <si>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</si>
  <si>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</si>
  <si>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</si>
  <si>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</si>
  <si>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</si>
  <si>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</si>
  <si>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</si>
  <si>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</si>
  <si>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</si>
  <si>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</si>
  <si>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</si>
  <si>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</si>
  <si>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</si>
  <si>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</si>
  <si>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</si>
  <si>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</si>
  <si>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</si>
  <si>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</si>
  <si>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</si>
  <si>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</si>
  <si>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</si>
  <si>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</si>
  <si>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</si>
  <si>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</si>
  <si>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</si>
  <si>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</si>
  <si>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</si>
  <si>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</si>
  <si>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</si>
  <si>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</si>
  <si>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</si>
  <si>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</si>
  <si>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</si>
  <si>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</si>
  <si>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</si>
  <si>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</si>
  <si>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</si>
  <si>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</si>
  <si>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</si>
  <si>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</si>
  <si>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</si>
  <si>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</si>
  <si>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</si>
  <si>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</si>
  <si>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</si>
  <si>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</si>
  <si>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</si>
  <si>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</si>
  <si>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</si>
  <si>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</si>
  <si>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</si>
  <si>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</si>
  <si>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</si>
  <si>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</si>
  <si>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</si>
  <si>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</si>
  <si>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</si>
  <si>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</si>
  <si>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</si>
  <si>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</si>
  <si>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</si>
  <si>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</si>
  <si>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</si>
  <si>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</si>
  <si>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</si>
  <si>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</si>
  <si>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</si>
  <si>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</si>
  <si>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</si>
  <si>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</si>
  <si>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</si>
  <si>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</si>
  <si>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</si>
  <si>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</si>
  <si>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</si>
  <si>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</si>
  <si>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</si>
  <si>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</si>
  <si>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</si>
  <si>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</si>
  <si>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</si>
  <si>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</si>
  <si>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</si>
  <si>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</si>
  <si>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</si>
  <si>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</si>
  <si>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</si>
  <si>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</si>
  <si>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</si>
  <si>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</si>
  <si>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</si>
  <si>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</si>
  <si>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</si>
  <si>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</si>
  <si>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</si>
  <si>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</si>
  <si>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</si>
  <si>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</si>
  <si>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</si>
  <si>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</si>
  <si>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</si>
  <si>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</si>
  <si>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</si>
  <si>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</si>
  <si>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</si>
  <si>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</si>
  <si>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</si>
  <si>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</si>
  <si>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</si>
  <si>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</si>
  <si>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</si>
  <si>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</si>
  <si>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</si>
  <si>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</si>
  <si>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</si>
  <si>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</si>
  <si>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</si>
  <si>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</si>
  <si>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</si>
  <si>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</si>
  <si>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</si>
  <si>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</si>
  <si>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</si>
  <si>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</si>
  <si>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</si>
  <si>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</si>
  <si>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</si>
  <si>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</si>
  <si>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</si>
  <si>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</si>
  <si>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</si>
  <si>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</si>
  <si>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</si>
  <si>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</si>
  <si>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</si>
  <si>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</si>
  <si>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</si>
  <si>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</si>
  <si>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</si>
  <si>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</si>
  <si>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</si>
  <si>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</si>
  <si>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</si>
  <si>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</si>
  <si>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</si>
  <si>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</si>
  <si>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</si>
  <si>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</si>
  <si>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</si>
  <si>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</si>
  <si>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</si>
  <si>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</si>
  <si>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</si>
  <si>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</si>
  <si>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</si>
  <si>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</si>
  <si>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</si>
  <si>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</si>
  <si>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</si>
  <si>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</si>
  <si>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</si>
  <si>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</si>
  <si>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</si>
  <si>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</si>
  <si>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</si>
  <si>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</si>
  <si>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</si>
  <si>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</si>
  <si>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</si>
  <si>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</si>
  <si>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</si>
  <si>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</si>
  <si>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</si>
  <si>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</si>
  <si>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</si>
  <si>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</si>
  <si>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</si>
  <si>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</si>
  <si>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</si>
  <si>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</si>
  <si>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</si>
  <si>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</si>
  <si>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</si>
  <si>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</si>
  <si>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</si>
  <si>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</si>
  <si>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</si>
  <si>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</si>
  <si>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</si>
  <si>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</si>
  <si>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</si>
  <si>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</si>
  <si>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</si>
  <si>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</si>
  <si>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</si>
  <si>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</si>
  <si>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</si>
  <si>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</si>
  <si>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</si>
  <si>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</si>
  <si>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</si>
  <si>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</si>
  <si>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</si>
  <si>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</si>
  <si>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</si>
  <si>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</si>
  <si>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</si>
  <si>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</si>
  <si>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</si>
  <si>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</si>
  <si>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</si>
  <si>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</si>
  <si>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</si>
  <si>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</si>
  <si>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</si>
  <si>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</si>
  <si>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</si>
  <si>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</si>
  <si>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</si>
  <si>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</si>
  <si>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</si>
  <si>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</si>
  <si>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</si>
  <si>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</si>
  <si>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</si>
  <si>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</si>
  <si>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</si>
  <si>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</si>
  <si>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</si>
  <si>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</si>
  <si>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</si>
  <si>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</si>
  <si>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</si>
  <si>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</si>
  <si>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</si>
  <si>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</si>
  <si>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</si>
  <si>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</si>
  <si>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</si>
  <si>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</si>
  <si>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</si>
  <si>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</si>
  <si>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</si>
  <si>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</si>
  <si>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</si>
  <si>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</si>
  <si>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</si>
  <si>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</si>
  <si>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</si>
  <si>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</si>
  <si>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</si>
  <si>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</si>
  <si>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</si>
  <si>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</si>
  <si>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</si>
  <si>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</si>
  <si>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</si>
  <si>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</si>
  <si>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</si>
  <si>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</si>
  <si>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</si>
  <si>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</si>
  <si>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</si>
  <si>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</si>
  <si>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</si>
  <si>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</si>
  <si>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</si>
  <si>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</si>
  <si>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</si>
  <si>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</si>
  <si>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</si>
  <si>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</si>
  <si>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</si>
  <si>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</si>
  <si>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</si>
  <si>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</si>
  <si>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</si>
  <si>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</si>
  <si>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</si>
  <si>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</si>
  <si>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</si>
  <si>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</si>
  <si>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</si>
  <si>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</si>
  <si>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</si>
  <si>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</si>
  <si>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</si>
  <si>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</si>
  <si>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</si>
  <si>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</si>
  <si>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</si>
  <si>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</si>
  <si>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</si>
  <si>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</si>
  <si>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</si>
  <si>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</si>
  <si>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</si>
  <si>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</si>
  <si>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</si>
  <si>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</si>
  <si>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</si>
  <si>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</si>
  <si>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</si>
  <si>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</si>
  <si>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</si>
  <si>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</si>
  <si>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</si>
  <si>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</si>
  <si>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</si>
  <si>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</si>
  <si>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</si>
  <si>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</si>
  <si>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</si>
  <si>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</si>
  <si>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</si>
  <si>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</si>
  <si>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</si>
  <si>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</si>
  <si>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</si>
  <si>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</si>
  <si>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</si>
  <si>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</si>
  <si>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</si>
  <si>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</si>
  <si>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</si>
  <si>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</si>
  <si>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</si>
  <si>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</si>
  <si>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</si>
  <si>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</si>
  <si>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</si>
  <si>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</si>
  <si>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</si>
  <si>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</si>
  <si>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</si>
  <si>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</si>
  <si>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</si>
  <si>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</si>
  <si>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</si>
  <si>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</si>
  <si>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</si>
  <si>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</si>
  <si>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</si>
  <si>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</si>
  <si>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</si>
  <si>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</si>
  <si>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</si>
  <si>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</si>
  <si>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</si>
  <si>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</si>
  <si>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</si>
  <si>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</si>
  <si>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</si>
  <si>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</si>
  <si>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</si>
  <si>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</si>
  <si>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</si>
  <si>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</si>
  <si>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</si>
  <si>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</si>
  <si>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</si>
  <si>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</si>
  <si>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</si>
  <si>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</si>
  <si>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</si>
  <si>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</si>
  <si>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</si>
  <si>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</si>
  <si>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</si>
  <si>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</si>
  <si>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</si>
  <si>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</si>
  <si>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</si>
  <si>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</si>
  <si>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</si>
  <si>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</si>
  <si>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</si>
  <si>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</si>
  <si>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</si>
  <si>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</si>
  <si>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</si>
  <si>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</si>
  <si>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</si>
  <si>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</si>
  <si>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</si>
  <si>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</si>
  <si>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</si>
  <si>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</si>
  <si>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</si>
  <si>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</si>
  <si>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</si>
  <si>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</si>
  <si>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</si>
  <si>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</si>
  <si>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</si>
  <si>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</si>
  <si>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</si>
  <si>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</si>
  <si>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</si>
  <si>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</si>
  <si>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</si>
  <si>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</si>
  <si>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</si>
  <si>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</si>
  <si>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</si>
  <si>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</si>
  <si>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</si>
  <si>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</si>
  <si>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</si>
  <si>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</si>
  <si>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</si>
  <si>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</si>
  <si>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</si>
  <si>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</si>
  <si>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</si>
  <si>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</si>
  <si>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</si>
  <si>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</si>
  <si>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</si>
  <si>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</si>
  <si>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</si>
  <si>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</si>
  <si>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</si>
  <si>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</si>
  <si>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</si>
  <si>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</si>
  <si>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</si>
  <si>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</si>
  <si>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</si>
  <si>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</si>
  <si>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</si>
  <si>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</si>
  <si>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</si>
  <si>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</si>
  <si>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</si>
  <si>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</si>
  <si>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</si>
  <si>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</si>
  <si>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</si>
  <si>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</si>
  <si>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</si>
  <si>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</si>
  <si>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</si>
  <si>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</si>
  <si>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</si>
  <si>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</si>
  <si>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</si>
  <si>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</si>
  <si>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</si>
  <si>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</si>
  <si>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</si>
  <si>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</si>
  <si>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</si>
  <si>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</si>
  <si>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</si>
  <si>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</si>
  <si>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</si>
  <si>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</si>
  <si>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</si>
  <si>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</si>
  <si>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</si>
  <si>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</si>
  <si>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</si>
  <si>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</si>
  <si>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</si>
  <si>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</si>
  <si>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</si>
  <si>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</si>
  <si>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</si>
  <si>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</si>
  <si>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</si>
  <si>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</si>
  <si>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</si>
  <si>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</si>
  <si>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</si>
  <si>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</si>
  <si>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</si>
  <si>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</si>
  <si>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</si>
  <si>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</si>
  <si>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</si>
  <si>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</si>
  <si>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</si>
  <si>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</si>
  <si>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</si>
  <si>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</si>
  <si>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</si>
  <si>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</si>
  <si>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</si>
  <si>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</si>
  <si>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</si>
  <si>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</si>
  <si>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</si>
  <si>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</si>
  <si>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</si>
  <si>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</si>
  <si>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</si>
  <si>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</si>
  <si>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</si>
  <si>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</si>
  <si>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</si>
  <si>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</si>
  <si>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</si>
  <si>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</si>
  <si>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</si>
  <si>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</si>
  <si>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</si>
  <si>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</si>
  <si>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</si>
  <si>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</si>
  <si>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</si>
  <si>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</si>
  <si>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</si>
  <si>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</si>
  <si>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</si>
  <si>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</si>
  <si>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</si>
  <si>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</si>
  <si>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</si>
  <si>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</si>
  <si>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</si>
  <si>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</si>
  <si>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</si>
  <si>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</si>
  <si>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</si>
  <si>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</si>
  <si>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</si>
  <si>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</si>
  <si>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</si>
  <si>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</si>
  <si>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</si>
  <si>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</si>
  <si>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</si>
  <si>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</si>
  <si>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</si>
  <si>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</si>
  <si>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</si>
  <si>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</si>
  <si>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</si>
  <si>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</si>
  <si>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</si>
  <si>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</si>
  <si>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</si>
  <si>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</si>
  <si>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</si>
  <si>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</si>
  <si>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</si>
  <si>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</si>
  <si>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</si>
  <si>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</si>
  <si>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</si>
  <si>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</si>
  <si>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</si>
  <si>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</si>
  <si>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</si>
  <si>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</si>
  <si>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</si>
  <si>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</si>
  <si>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</si>
  <si>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</si>
  <si>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</si>
  <si>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</si>
  <si>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</si>
  <si>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</si>
  <si>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</si>
  <si>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</si>
  <si>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</si>
  <si>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</si>
  <si>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</si>
  <si>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</si>
  <si>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</si>
  <si>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</si>
  <si>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</si>
  <si>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</si>
  <si>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</si>
  <si>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</si>
  <si>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</si>
  <si>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</si>
  <si>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</si>
  <si>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</si>
  <si>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</si>
  <si>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</si>
  <si>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</si>
  <si>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</si>
  <si>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</si>
  <si>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</si>
  <si>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</si>
  <si>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</si>
  <si>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</si>
  <si>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</si>
  <si>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</si>
  <si>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</si>
  <si>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</si>
  <si>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</si>
  <si>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</si>
  <si>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</si>
  <si>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</si>
  <si>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</si>
  <si>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</si>
  <si>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</si>
  <si>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</si>
  <si>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</si>
  <si>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</si>
  <si>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</si>
  <si>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</si>
  <si>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</si>
  <si>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</si>
  <si>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</si>
  <si>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</si>
  <si>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</si>
  <si>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</si>
  <si>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</si>
  <si>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</si>
  <si>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</si>
  <si>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</si>
  <si>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</si>
  <si>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</si>
  <si>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</si>
  <si>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</si>
  <si>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</si>
  <si>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</si>
  <si>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</si>
  <si>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</si>
  <si>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</si>
  <si>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</si>
  <si>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</si>
  <si>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</si>
  <si>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</si>
  <si>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</si>
  <si>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</si>
  <si>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</si>
  <si>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</si>
  <si>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</si>
  <si>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</si>
  <si>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</si>
  <si>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</si>
  <si>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</si>
  <si>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</si>
  <si>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</si>
  <si>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</si>
  <si>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</si>
  <si>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</si>
  <si>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</si>
  <si>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</si>
  <si>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</si>
  <si>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</si>
  <si>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</si>
  <si>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</si>
  <si>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</si>
  <si>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</si>
  <si>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</si>
  <si>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</si>
  <si>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</si>
  <si>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</si>
  <si>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</si>
  <si>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</si>
  <si>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</si>
  <si>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</si>
  <si>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</si>
  <si>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</si>
  <si>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</si>
  <si>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</si>
  <si>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</si>
  <si>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</si>
  <si>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</si>
  <si>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</si>
  <si>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</si>
  <si>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</si>
  <si>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</si>
  <si>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</si>
  <si>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</si>
  <si>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</si>
  <si>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</si>
  <si>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</si>
  <si>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</si>
  <si>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</si>
  <si>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</si>
  <si>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</si>
  <si>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</si>
  <si>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</si>
  <si>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</si>
  <si>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</si>
  <si>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</si>
  <si>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</si>
  <si>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</si>
  <si>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</si>
  <si>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</si>
  <si>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</si>
  <si>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</si>
  <si>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</si>
  <si>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</si>
  <si>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</si>
  <si>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</si>
  <si>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</si>
  <si>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</si>
  <si>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</si>
  <si>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</si>
  <si>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</si>
  <si>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</si>
  <si>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</si>
  <si>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</si>
  <si>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</si>
  <si>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</si>
  <si>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</si>
  <si>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</si>
  <si>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</si>
  <si>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</si>
  <si>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</si>
  <si>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</si>
  <si>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</si>
  <si>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</si>
  <si>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</si>
  <si>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</si>
  <si>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</si>
  <si>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</si>
  <si>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</si>
  <si>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</si>
  <si>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</si>
  <si>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</si>
  <si>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</si>
  <si>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</si>
  <si>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</si>
  <si>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</si>
  <si>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</si>
  <si>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</si>
  <si>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</si>
  <si>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</si>
  <si>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</si>
  <si>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</si>
  <si>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</si>
  <si>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</si>
  <si>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</si>
  <si>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</si>
  <si>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</si>
  <si>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</si>
  <si>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</si>
  <si>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</si>
  <si>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</si>
  <si>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</si>
  <si>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</si>
  <si>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</si>
  <si>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</si>
  <si>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</si>
  <si>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</si>
  <si>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</si>
  <si>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</si>
  <si>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</si>
  <si>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</si>
  <si>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</si>
  <si>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</si>
  <si>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</si>
  <si>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</si>
  <si>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</si>
  <si>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</si>
  <si>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</si>
  <si>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</si>
  <si>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</si>
  <si>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</si>
  <si>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</si>
  <si>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</si>
  <si>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</si>
  <si>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</si>
  <si>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</si>
  <si>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</si>
  <si>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</si>
  <si>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</si>
  <si>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</si>
  <si>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</si>
  <si>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</si>
  <si>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</si>
  <si>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</si>
  <si>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</si>
  <si>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</si>
  <si>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</si>
  <si>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</si>
  <si>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</si>
  <si>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</si>
  <si>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</si>
  <si>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</si>
  <si>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</si>
  <si>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</si>
  <si>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</si>
  <si>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</si>
  <si>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</si>
  <si>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</si>
  <si>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</si>
  <si>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</si>
  <si>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</si>
  <si>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</si>
  <si>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</si>
  <si>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</si>
  <si>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</si>
  <si>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</si>
  <si>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</si>
  <si>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</si>
  <si>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</si>
  <si>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</si>
  <si>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</si>
  <si>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</si>
  <si>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</si>
  <si>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</si>
  <si>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</si>
  <si>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</si>
  <si>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</si>
  <si>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</si>
  <si>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</si>
  <si>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</si>
  <si>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</si>
  <si>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</si>
  <si>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</si>
  <si>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</si>
  <si>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</si>
  <si>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</si>
  <si>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</si>
  <si>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</si>
  <si>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</si>
  <si>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</si>
  <si>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</si>
  <si>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</si>
  <si>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</si>
  <si>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</si>
  <si>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</si>
  <si>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</si>
  <si>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</si>
  <si>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</si>
  <si>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</si>
  <si>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</si>
  <si>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</si>
  <si>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</si>
  <si>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</si>
  <si>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</si>
  <si>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</si>
  <si>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</si>
  <si>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</si>
  <si>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</si>
  <si>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</si>
  <si>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</si>
  <si>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</si>
  <si>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</si>
  <si>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</si>
  <si>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</si>
  <si>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</si>
  <si>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</si>
  <si>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</si>
  <si>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</si>
  <si>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</si>
  <si>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</si>
  <si>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</si>
  <si>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</si>
  <si>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</si>
  <si>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</si>
  <si>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</si>
  <si>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</si>
  <si>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</si>
  <si>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</si>
  <si>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</si>
  <si>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</si>
  <si>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</si>
  <si>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</si>
  <si>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</si>
  <si>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</si>
  <si>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</si>
  <si>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</si>
  <si>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</si>
  <si>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</si>
  <si>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</si>
  <si>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</si>
  <si>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</si>
  <si>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</si>
  <si>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</si>
  <si>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</si>
  <si>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</si>
  <si>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</si>
  <si>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</si>
  <si>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</si>
  <si>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</si>
  <si>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</si>
  <si>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</si>
  <si>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</si>
  <si>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</si>
  <si>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</si>
  <si>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</si>
  <si>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</si>
  <si>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</si>
  <si>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</si>
  <si>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</si>
  <si>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</si>
  <si>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</si>
  <si>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</si>
  <si>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</si>
  <si>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</si>
  <si>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</si>
  <si>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</si>
  <si>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</si>
  <si>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</si>
  <si>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</si>
  <si>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</si>
  <si>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</si>
  <si>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</si>
  <si>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</si>
  <si>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</si>
  <si>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</si>
  <si>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</si>
  <si>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</si>
  <si>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</si>
  <si>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</si>
  <si>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</si>
  <si>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</si>
  <si>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</si>
  <si>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</si>
  <si>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</si>
  <si>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</si>
  <si>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</si>
  <si>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</si>
  <si>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</si>
  <si>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</si>
  <si>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</si>
  <si>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</si>
  <si>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</si>
  <si>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</si>
  <si>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</si>
  <si>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</si>
  <si>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</si>
  <si>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</si>
  <si>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</si>
  <si>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</si>
  <si>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</si>
  <si>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</si>
  <si>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</si>
  <si>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</si>
  <si>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</si>
  <si>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</si>
  <si>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</si>
  <si>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</si>
  <si>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</si>
  <si>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</si>
  <si>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</si>
  <si>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</si>
  <si>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</si>
  <si>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</si>
  <si>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</si>
  <si>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</si>
  <si>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</si>
  <si>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</si>
  <si>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</si>
  <si>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</si>
  <si>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</si>
  <si>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</si>
  <si>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</si>
  <si>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</si>
  <si>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</si>
  <si>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</si>
  <si>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</si>
  <si>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</si>
  <si>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</si>
  <si>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</si>
  <si>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</si>
  <si>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</si>
  <si>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</si>
  <si>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</si>
  <si>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</si>
  <si>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</si>
  <si>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</si>
  <si>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</si>
  <si>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</si>
  <si>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</si>
  <si>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</si>
  <si>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</si>
  <si>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</si>
  <si>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</si>
  <si>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</si>
  <si>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</si>
  <si>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</si>
  <si>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</si>
  <si>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</si>
  <si>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</si>
  <si>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</si>
  <si>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</si>
  <si>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</si>
  <si>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</si>
  <si>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</si>
  <si>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</si>
  <si>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</si>
  <si>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</si>
  <si>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</si>
  <si>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</si>
  <si>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</si>
  <si>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</si>
  <si>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</si>
  <si>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</si>
  <si>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</si>
  <si>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</si>
  <si>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</si>
  <si>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</si>
  <si>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</si>
  <si>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</si>
  <si>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</si>
  <si>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</si>
  <si>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</si>
  <si>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</si>
  <si>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</si>
  <si>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</si>
  <si>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</si>
  <si>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</si>
  <si>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</si>
  <si>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</si>
  <si>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</si>
  <si>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</si>
  <si>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</si>
  <si>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</si>
  <si>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</si>
  <si>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</si>
  <si>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</si>
  <si>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</si>
  <si>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</si>
  <si>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</si>
  <si>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</si>
  <si>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</si>
  <si>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</si>
  <si>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</si>
  <si>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</si>
  <si>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</si>
  <si>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</si>
  <si>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</si>
  <si>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</si>
  <si>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</si>
  <si>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</si>
  <si>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</si>
  <si>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</si>
  <si>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</si>
  <si>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</si>
  <si>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</si>
  <si>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</si>
  <si>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</si>
  <si>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</si>
  <si>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</si>
  <si>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</si>
  <si>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</si>
  <si>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</si>
  <si>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</si>
  <si>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</si>
  <si>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</si>
  <si>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</si>
  <si>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</si>
  <si>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</si>
  <si>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</si>
  <si>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</si>
  <si>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</si>
  <si>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</si>
  <si>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</si>
  <si>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</si>
  <si>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</si>
  <si>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</si>
  <si>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</si>
  <si>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</si>
  <si>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</si>
  <si>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</si>
  <si>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</si>
  <si>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</si>
  <si>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</si>
  <si>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</si>
  <si>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</si>
  <si>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</si>
  <si>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</si>
  <si>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</si>
  <si>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</si>
  <si>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</si>
  <si>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</si>
  <si>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</si>
  <si>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</si>
  <si>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</si>
  <si>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</si>
  <si>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</si>
  <si>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</si>
  <si>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</si>
  <si>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</si>
  <si>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</si>
  <si>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</si>
  <si>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</si>
  <si>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</si>
  <si>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</si>
  <si>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</si>
  <si>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</si>
  <si>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</si>
  <si>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</si>
  <si>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</si>
  <si>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</si>
  <si>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</si>
  <si>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</si>
  <si>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</si>
  <si>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</si>
  <si>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</si>
  <si>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</si>
  <si>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</si>
  <si>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</si>
  <si>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</si>
  <si>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</si>
  <si>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</si>
  <si>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</si>
  <si>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</si>
  <si>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</si>
  <si>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</si>
  <si>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</si>
  <si>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</si>
  <si>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</si>
  <si>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</si>
  <si>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</si>
  <si>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</si>
  <si>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</si>
  <si>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</si>
  <si>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</si>
  <si>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</si>
  <si>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</si>
  <si>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</si>
  <si>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</si>
  <si>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</si>
  <si>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</si>
  <si>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</si>
  <si>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</si>
  <si>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</si>
  <si>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</si>
  <si>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</si>
  <si>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</si>
  <si>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</si>
  <si>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</si>
  <si>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</si>
  <si>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</si>
  <si>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</si>
  <si>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</si>
  <si>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</si>
  <si>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</si>
  <si>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</si>
  <si>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</si>
  <si>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</si>
  <si>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</si>
  <si>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</si>
  <si>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</si>
  <si>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</si>
  <si>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</si>
  <si>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</si>
  <si>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</si>
  <si>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</si>
  <si>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</si>
  <si>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</si>
  <si>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</si>
  <si>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</si>
  <si>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</si>
  <si>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</si>
  <si>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</si>
  <si>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</si>
  <si>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</si>
  <si>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</si>
  <si>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</si>
  <si>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</si>
  <si>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</si>
  <si>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</si>
  <si>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</si>
  <si>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</si>
  <si>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</si>
  <si>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</si>
  <si>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</si>
  <si>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</si>
  <si>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</si>
  <si>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</si>
  <si>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</si>
  <si>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</si>
  <si>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</si>
  <si>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</si>
  <si>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</si>
  <si>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</si>
  <si>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</si>
  <si>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</si>
  <si>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</si>
  <si>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</si>
  <si>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</si>
  <si>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</si>
  <si>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</si>
  <si>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</si>
  <si>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</si>
  <si>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</si>
  <si>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</si>
  <si>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</si>
  <si>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</si>
  <si>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</si>
  <si>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</si>
  <si>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</si>
  <si>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</si>
  <si>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</si>
  <si>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</si>
  <si>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</si>
  <si>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</si>
  <si>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</si>
  <si>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</si>
  <si>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</si>
  <si>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</si>
  <si>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</si>
  <si>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</si>
  <si>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</si>
  <si>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</si>
  <si>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</si>
  <si>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</si>
  <si>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</si>
  <si>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</si>
  <si>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</si>
  <si>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</si>
  <si>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</si>
  <si>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</si>
  <si>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</si>
  <si>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</si>
  <si>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</si>
  <si>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</si>
  <si>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</si>
  <si>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</si>
  <si>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</si>
  <si>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</si>
  <si>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</si>
  <si>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</si>
  <si>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</si>
  <si>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</si>
  <si>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</si>
  <si>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</si>
  <si>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</si>
  <si>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</si>
  <si>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</si>
  <si>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</si>
  <si>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</si>
  <si>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</si>
  <si>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</si>
  <si>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</si>
  <si>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</si>
  <si>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</si>
  <si>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</si>
  <si>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</si>
  <si>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</si>
  <si>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</si>
  <si>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</si>
  <si>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</si>
  <si>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</si>
  <si>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</si>
  <si>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</si>
  <si>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</si>
  <si>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</si>
  <si>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</si>
  <si>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</si>
  <si>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</si>
  <si>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</si>
  <si>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</si>
  <si>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</si>
  <si>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</si>
  <si>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</si>
  <si>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</si>
  <si>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</si>
  <si>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</si>
  <si>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</si>
  <si>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</si>
  <si>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</si>
  <si>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</si>
  <si>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</si>
  <si>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</si>
  <si>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</si>
  <si>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</si>
  <si>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</si>
  <si>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</si>
  <si>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</si>
  <si>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</si>
  <si>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</si>
  <si>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</si>
  <si>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</si>
  <si>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</si>
  <si>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</si>
  <si>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</si>
  <si>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</si>
  <si>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</si>
  <si>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</si>
  <si>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</si>
  <si>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</si>
  <si>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</si>
  <si>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</si>
  <si>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</si>
  <si>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</si>
  <si>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</si>
  <si>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</si>
  <si>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</si>
  <si>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</si>
  <si>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</si>
  <si>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</si>
  <si>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</si>
  <si>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</si>
  <si>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</si>
  <si>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</si>
  <si>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</si>
  <si>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</si>
  <si>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</si>
  <si>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</si>
  <si>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</si>
  <si>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</si>
  <si>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</si>
  <si>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</si>
  <si>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</si>
  <si>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</si>
  <si>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</si>
  <si>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</si>
  <si>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</si>
  <si>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</si>
  <si>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</si>
  <si>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</si>
  <si>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</si>
  <si>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</si>
  <si>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</si>
  <si>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</si>
  <si>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</si>
  <si>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</si>
  <si>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</si>
  <si>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</si>
  <si>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</si>
  <si>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</si>
  <si>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</si>
  <si>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</si>
  <si>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</si>
  <si>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</si>
  <si>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</si>
  <si>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</si>
  <si>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</si>
  <si>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</si>
  <si>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</si>
  <si>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</si>
  <si>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</si>
  <si>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</si>
  <si>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</si>
  <si>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</si>
  <si>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</si>
  <si>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</si>
  <si>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</si>
  <si>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</si>
  <si>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</si>
  <si>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</si>
  <si>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</si>
  <si>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</si>
  <si>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</si>
  <si>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</si>
  <si>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</si>
  <si>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</si>
  <si>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</si>
  <si>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</si>
  <si>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</si>
  <si>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</si>
  <si>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</si>
  <si>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</si>
  <si>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</si>
  <si>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</si>
  <si>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</si>
  <si>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</si>
  <si>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</si>
  <si>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</si>
  <si>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</si>
  <si>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</si>
  <si>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</si>
  <si>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</si>
  <si>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</si>
  <si>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</si>
  <si>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</si>
  <si>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</si>
  <si>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</si>
  <si>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</si>
  <si>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</si>
  <si>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</si>
  <si>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</si>
  <si>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</si>
  <si>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</si>
  <si>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</si>
  <si>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</si>
  <si>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</si>
  <si>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</si>
  <si>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</si>
  <si>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</si>
  <si>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</si>
  <si>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</si>
  <si>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</si>
  <si>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</si>
  <si>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</si>
  <si>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</si>
  <si>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</si>
  <si>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</si>
  <si>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</si>
  <si>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</si>
  <si>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</si>
  <si>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</si>
  <si>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</si>
  <si>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</si>
  <si>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</si>
  <si>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</si>
  <si>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</si>
  <si>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</si>
  <si>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</si>
  <si>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</si>
  <si>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</si>
  <si>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</si>
  <si>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</si>
  <si>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</si>
  <si>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</si>
  <si>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</si>
  <si>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</si>
  <si>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</si>
  <si>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</si>
  <si>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</si>
  <si>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</si>
  <si>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</si>
  <si>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</si>
  <si>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</si>
  <si>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</si>
  <si>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</si>
  <si>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</si>
  <si>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</si>
  <si>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</si>
  <si>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</si>
  <si>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</si>
  <si>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</si>
  <si>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</si>
  <si>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</si>
  <si>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</si>
  <si>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</si>
  <si>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</si>
  <si>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</si>
  <si>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</si>
  <si>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</si>
  <si>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</si>
  <si>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</si>
  <si>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</si>
  <si>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</si>
  <si>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</si>
  <si>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</si>
  <si>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</si>
  <si>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</si>
  <si>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</si>
  <si>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</si>
  <si>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</si>
  <si>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</si>
  <si>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</si>
  <si>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</si>
  <si>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</si>
  <si>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</si>
  <si>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</si>
  <si>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</si>
  <si>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</si>
  <si>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</si>
  <si>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</si>
  <si>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</si>
  <si>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</si>
  <si>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</si>
  <si>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</si>
  <si>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</si>
  <si>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</si>
  <si>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</si>
  <si>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</si>
  <si>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</si>
  <si>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</si>
  <si>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</si>
  <si>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</si>
  <si>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</si>
  <si>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</si>
  <si>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</si>
  <si>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</si>
  <si>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</si>
  <si>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</si>
  <si>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</si>
  <si>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</si>
  <si>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</si>
  <si>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</si>
  <si>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</si>
  <si>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</si>
  <si>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</si>
  <si>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</si>
  <si>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</si>
  <si>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</si>
  <si>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</si>
  <si>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</si>
  <si>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</si>
  <si>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</si>
  <si>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</si>
  <si>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</si>
  <si>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</si>
  <si>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</si>
  <si>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</si>
  <si>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</si>
  <si>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</si>
  <si>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</si>
  <si>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</si>
  <si>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</si>
  <si>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</si>
  <si>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</si>
  <si>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</si>
  <si>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</si>
  <si>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</si>
  <si>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</si>
  <si>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</si>
  <si>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</si>
  <si>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</si>
  <si>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</si>
  <si>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</si>
  <si>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</si>
  <si>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</si>
  <si>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</si>
  <si>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</si>
  <si>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</si>
  <si>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</si>
  <si>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</si>
  <si>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</si>
  <si>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</si>
  <si>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</si>
  <si>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</si>
  <si>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</si>
  <si>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</si>
  <si>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</si>
  <si>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</si>
  <si>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</si>
  <si>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</si>
  <si>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</si>
  <si>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</si>
  <si>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</si>
  <si>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</si>
  <si>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</si>
  <si>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</si>
  <si>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</si>
  <si>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</si>
  <si>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</si>
  <si>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</si>
  <si>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</si>
  <si>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</si>
  <si>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</si>
  <si>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</si>
  <si>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</si>
  <si>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</si>
  <si>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</si>
  <si>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</si>
  <si>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</si>
  <si>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</si>
  <si>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</si>
  <si>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</si>
  <si>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</si>
  <si>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</si>
  <si>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</si>
  <si>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</si>
  <si>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</si>
  <si>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</si>
  <si>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</si>
  <si>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</si>
  <si>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</si>
  <si>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</si>
  <si>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</si>
  <si>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</si>
  <si>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</si>
  <si>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</si>
  <si>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</si>
  <si>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</si>
  <si>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</si>
  <si>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</si>
  <si>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</si>
  <si>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</si>
  <si>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</si>
  <si>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</si>
  <si>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</si>
  <si>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</si>
  <si>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</si>
  <si>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</si>
  <si>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</si>
  <si>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</si>
  <si>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</si>
  <si>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</si>
  <si>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</si>
  <si>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</si>
  <si>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</si>
  <si>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</si>
  <si>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</si>
  <si>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</si>
  <si>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</si>
  <si>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</si>
  <si>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</si>
  <si>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</si>
  <si>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</si>
  <si>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</si>
  <si>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</si>
  <si>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</si>
  <si>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</si>
  <si>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</si>
  <si>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</si>
  <si>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</si>
  <si>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</si>
  <si>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</si>
  <si>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</si>
  <si>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</si>
  <si>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</si>
  <si>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</si>
  <si>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</si>
  <si>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</si>
  <si>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</si>
  <si>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</si>
  <si>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</si>
  <si>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</si>
  <si>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</si>
  <si>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</si>
  <si>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</si>
  <si>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</si>
  <si>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</si>
  <si>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</si>
  <si>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</si>
  <si>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</si>
  <si>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</si>
  <si>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</si>
  <si>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</si>
  <si>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</si>
  <si>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</si>
  <si>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</si>
  <si>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</si>
  <si>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</si>
  <si>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</si>
  <si>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</si>
  <si>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</si>
  <si>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</si>
  <si>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</si>
  <si>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</si>
  <si>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</si>
  <si>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</si>
  <si>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</si>
  <si>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</si>
  <si>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</si>
  <si>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</si>
  <si>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</si>
  <si>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</si>
  <si>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</si>
  <si>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</si>
  <si>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</si>
  <si>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</si>
  <si>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</si>
  <si>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</si>
  <si>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</si>
  <si>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</si>
  <si>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</si>
  <si>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</si>
  <si>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</si>
  <si>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</si>
  <si>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</si>
  <si>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</si>
  <si>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</si>
  <si>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</si>
  <si>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</si>
  <si>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</si>
  <si>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</si>
  <si>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</si>
  <si>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</si>
  <si>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</si>
  <si>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</si>
  <si>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</si>
  <si>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</si>
  <si>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</si>
  <si>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</si>
  <si>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</si>
  <si>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</si>
  <si>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</si>
  <si>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</si>
  <si>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</si>
  <si>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</si>
  <si>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</si>
  <si>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</si>
  <si>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</si>
  <si>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</si>
  <si>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</si>
  <si>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</si>
  <si>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</si>
  <si>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</si>
  <si>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</si>
  <si>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</si>
  <si>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</si>
  <si>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</si>
  <si>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</si>
  <si>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</si>
  <si>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</si>
  <si>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</si>
  <si>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</si>
  <si>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</si>
  <si>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</si>
  <si>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</si>
  <si>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</si>
  <si>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</si>
  <si>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</si>
  <si>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</si>
  <si>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</si>
  <si>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</si>
  <si>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</si>
  <si>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</si>
  <si>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</si>
  <si>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</si>
  <si>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</si>
  <si>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</si>
  <si>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</si>
  <si>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</si>
  <si>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</si>
  <si>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</si>
  <si>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</si>
  <si>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</si>
  <si>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</si>
  <si>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</si>
  <si>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</si>
  <si>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</si>
  <si>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</si>
  <si>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</si>
  <si>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</si>
  <si>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</si>
  <si>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</si>
  <si>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</si>
  <si>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</si>
  <si>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</si>
  <si>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</si>
  <si>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</si>
  <si>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</si>
  <si>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</si>
  <si>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</si>
  <si>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</si>
  <si>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</si>
  <si>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</si>
  <si>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</si>
  <si>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</si>
  <si>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</si>
  <si>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</si>
  <si>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</si>
  <si>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</si>
  <si>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</si>
  <si>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</si>
  <si>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</si>
  <si>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</si>
  <si>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</si>
  <si>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</si>
  <si>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</si>
  <si>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</si>
  <si>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</si>
  <si>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</si>
  <si>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</si>
  <si>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</si>
  <si>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</si>
  <si>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</si>
  <si>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</si>
  <si>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</si>
  <si>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</si>
  <si>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</si>
  <si>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</si>
  <si>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</si>
  <si>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</si>
  <si>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</si>
  <si>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</si>
  <si>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</si>
  <si>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</si>
  <si>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</si>
  <si>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</si>
  <si>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</si>
  <si>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</si>
  <si>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</si>
  <si>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</si>
  <si>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</si>
  <si>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</si>
  <si>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</si>
  <si>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</si>
  <si>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</si>
  <si>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</si>
  <si>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</si>
  <si>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</si>
  <si>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</si>
  <si>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</si>
  <si>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</si>
  <si>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</si>
  <si>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</si>
  <si>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</si>
  <si>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</si>
  <si>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</si>
  <si>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</si>
  <si>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</si>
  <si>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</si>
  <si>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</si>
  <si>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</si>
  <si>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</si>
  <si>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</si>
  <si>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</si>
  <si>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</si>
  <si>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</si>
  <si>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</si>
  <si>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</si>
  <si>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</si>
  <si>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</si>
  <si>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</si>
  <si>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</si>
  <si>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</si>
  <si>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</si>
  <si>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</si>
  <si>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</si>
  <si>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</si>
  <si>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</si>
  <si>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</si>
  <si>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</si>
  <si>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</si>
  <si>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</si>
  <si>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</si>
  <si>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</si>
  <si>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</si>
  <si>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</si>
  <si>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</si>
  <si>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</si>
  <si>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</si>
  <si>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</si>
  <si>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</si>
  <si>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</si>
  <si>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</si>
  <si>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</si>
  <si>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</si>
  <si>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</si>
  <si>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</si>
  <si>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</si>
  <si>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</si>
  <si>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</si>
  <si>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</si>
  <si>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</si>
  <si>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</si>
  <si>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</si>
  <si>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</si>
  <si>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</si>
  <si>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</si>
  <si>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</si>
  <si>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</si>
  <si>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</si>
  <si>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</si>
  <si>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</si>
  <si>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</si>
  <si>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</si>
  <si>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</si>
  <si>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</si>
  <si>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</si>
  <si>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</si>
  <si>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</si>
  <si>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</si>
  <si>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</si>
  <si>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</si>
  <si>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</si>
  <si>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</si>
  <si>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</si>
  <si>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</si>
  <si>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</si>
  <si>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</si>
  <si>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</si>
  <si>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</si>
  <si>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</si>
  <si>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</si>
  <si>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</si>
  <si>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</si>
  <si>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</si>
  <si>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</si>
  <si>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</si>
  <si>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</si>
  <si>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</si>
  <si>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</si>
  <si>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</si>
  <si>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</si>
  <si>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</si>
  <si>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</si>
  <si>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</si>
  <si>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</si>
  <si>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</si>
  <si>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</si>
  <si>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</si>
  <si>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</si>
  <si>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</si>
  <si>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</si>
  <si>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</si>
  <si>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</si>
  <si>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</si>
  <si>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</si>
  <si>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</si>
  <si>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</si>
  <si>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</si>
  <si>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</si>
  <si>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</si>
  <si>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</si>
  <si>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</si>
  <si>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</si>
  <si>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</si>
  <si>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</si>
  <si>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</si>
  <si>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</si>
  <si>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</si>
  <si>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</si>
  <si>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</si>
  <si>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</si>
  <si>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</si>
  <si>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</si>
  <si>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</si>
  <si>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</si>
  <si>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</si>
  <si>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</si>
  <si>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</si>
  <si>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</si>
  <si>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</si>
  <si>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</si>
  <si>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</si>
  <si>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</si>
  <si>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</si>
  <si>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</si>
  <si>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</si>
  <si>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</si>
  <si>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</si>
  <si>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</si>
  <si>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</si>
  <si>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</si>
  <si>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</si>
  <si>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</si>
  <si>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</si>
  <si>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</si>
  <si>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</si>
  <si>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</si>
  <si>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</si>
  <si>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</si>
  <si>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</si>
  <si>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</si>
  <si>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</si>
  <si>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</si>
  <si>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</si>
  <si>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</si>
  <si>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</si>
  <si>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</si>
  <si>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</si>
  <si>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</si>
  <si>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</si>
  <si>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</si>
  <si>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</si>
  <si>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</si>
  <si>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</si>
  <si>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</si>
  <si>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</si>
  <si>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</si>
  <si>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</si>
  <si>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</si>
  <si>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</si>
  <si>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</si>
  <si>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</si>
  <si>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</si>
  <si>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</si>
  <si>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</si>
  <si>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</si>
  <si>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</si>
  <si>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</si>
  <si>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</si>
  <si>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</si>
  <si>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</si>
  <si>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</si>
  <si>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</si>
  <si>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</si>
  <si>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</si>
  <si>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</si>
  <si>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</si>
  <si>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</si>
  <si>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</si>
  <si>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</si>
  <si>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</si>
  <si>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</si>
  <si>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</si>
  <si>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</si>
  <si>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</si>
  <si>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</si>
  <si>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</si>
  <si>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</si>
  <si>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</si>
  <si>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</si>
  <si>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</si>
  <si>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</si>
  <si>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</si>
  <si>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</si>
  <si>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</si>
  <si>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</si>
  <si>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</si>
  <si>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</si>
  <si>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</si>
  <si>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</si>
  <si>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</si>
  <si>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</si>
  <si>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</si>
  <si>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</si>
  <si>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</si>
  <si>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</si>
  <si>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</si>
  <si>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</si>
  <si>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</si>
  <si>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</si>
  <si>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</si>
  <si>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</si>
  <si>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</si>
  <si>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</si>
  <si>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</si>
  <si>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</si>
  <si>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</si>
  <si>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</si>
  <si>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</si>
  <si>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</si>
  <si>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</si>
  <si>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</si>
  <si>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</si>
  <si>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</si>
  <si>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</si>
  <si>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</si>
  <si>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</si>
  <si>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</si>
  <si>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</si>
  <si>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</si>
  <si>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</si>
  <si>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</si>
  <si>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</si>
  <si>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</si>
  <si>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</si>
  <si>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</si>
  <si>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</si>
  <si>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</si>
  <si>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</si>
  <si>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</si>
  <si>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</si>
  <si>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</si>
  <si>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</si>
  <si>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</si>
  <si>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</si>
  <si>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</si>
  <si>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</si>
  <si>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</si>
  <si>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</si>
  <si>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</si>
  <si>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</si>
  <si>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</si>
  <si>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</si>
  <si>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</si>
  <si>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</si>
  <si>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</si>
  <si>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</si>
  <si>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</si>
  <si>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</si>
  <si>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</si>
  <si>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</si>
  <si>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</si>
  <si>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</si>
  <si>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</si>
  <si>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</si>
  <si>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</si>
  <si>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</si>
  <si>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</si>
  <si>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</si>
  <si>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</si>
  <si>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</si>
  <si>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</si>
  <si>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</si>
  <si>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</si>
  <si>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</si>
  <si>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</si>
  <si>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</si>
  <si>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</si>
  <si>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</si>
  <si>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</si>
  <si>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</si>
  <si>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</si>
  <si>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</si>
  <si>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</si>
  <si>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</si>
  <si>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</si>
  <si>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</si>
  <si>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</si>
  <si>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</si>
  <si>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</si>
  <si>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</si>
  <si>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</si>
  <si>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</si>
  <si>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</si>
  <si>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</si>
  <si>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</si>
  <si>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</si>
  <si>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</si>
  <si>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</si>
  <si>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</si>
  <si>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</si>
  <si>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</si>
  <si>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</si>
  <si>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</si>
  <si>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</si>
  <si>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</si>
  <si>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</si>
  <si>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</si>
  <si>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</si>
  <si>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</si>
  <si>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</si>
  <si>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</si>
  <si>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</si>
  <si>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</si>
  <si>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</si>
  <si>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</si>
  <si>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</si>
  <si>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</si>
  <si>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</si>
  <si>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</si>
  <si>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</si>
  <si>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</si>
  <si>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</si>
  <si>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</si>
  <si>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</si>
  <si>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</si>
  <si>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</si>
  <si>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</si>
  <si>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</si>
  <si>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</si>
  <si>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</si>
  <si>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</si>
  <si>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</si>
  <si>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</si>
  <si>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</si>
  <si>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</si>
  <si>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</si>
  <si>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</si>
  <si>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</si>
  <si>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</si>
  <si>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</si>
  <si>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</si>
  <si>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</si>
  <si>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</si>
  <si>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</si>
  <si>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</si>
  <si>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</si>
  <si>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</si>
  <si>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</si>
  <si>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</si>
  <si>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</si>
  <si>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</si>
  <si>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</si>
  <si>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</si>
  <si>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</si>
  <si>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</si>
  <si>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</si>
  <si>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</si>
  <si>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</si>
  <si>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</si>
  <si>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</si>
  <si>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</si>
  <si>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</si>
  <si>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</si>
  <si>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</si>
  <si>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</si>
  <si>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</si>
  <si>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</si>
  <si>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</si>
  <si>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</si>
  <si>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</si>
  <si>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</si>
  <si>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</si>
  <si>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</si>
  <si>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</si>
  <si>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</si>
  <si>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</si>
  <si>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</si>
  <si>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</si>
  <si>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</si>
  <si>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</si>
  <si>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</si>
  <si>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</si>
  <si>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</si>
  <si>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</si>
  <si>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</si>
  <si>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</si>
  <si>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</si>
  <si>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</si>
  <si>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</si>
  <si>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</si>
  <si>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</si>
  <si>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</si>
  <si>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</si>
  <si>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</si>
  <si>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</si>
  <si>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</si>
  <si>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</si>
  <si>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</si>
  <si>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</si>
  <si>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</si>
  <si>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</si>
  <si>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</si>
  <si>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</si>
  <si>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</si>
  <si>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</si>
  <si>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</si>
  <si>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</si>
  <si>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</si>
  <si>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</si>
  <si>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</si>
  <si>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</si>
  <si>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</si>
  <si>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</si>
  <si>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</si>
  <si>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</si>
  <si>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</si>
  <si>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</si>
  <si>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</si>
  <si>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</si>
  <si>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</si>
  <si>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</si>
  <si>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</si>
  <si>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</si>
  <si>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</si>
  <si>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</si>
  <si>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</si>
  <si>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</si>
  <si>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</si>
  <si>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</si>
  <si>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</si>
  <si>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</si>
  <si>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</si>
  <si>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</si>
  <si>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</si>
  <si>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</si>
  <si>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</si>
  <si>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</si>
  <si>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</si>
  <si>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</si>
  <si>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</si>
  <si>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</si>
  <si>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</si>
  <si>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</si>
  <si>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</si>
  <si>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</si>
  <si>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</si>
  <si>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</si>
  <si>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</si>
  <si>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</si>
  <si>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</si>
  <si>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</si>
  <si>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</si>
  <si>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</si>
  <si>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</si>
  <si>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</si>
  <si>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</si>
  <si>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</si>
  <si>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</si>
  <si>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</si>
  <si>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</si>
  <si>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</si>
  <si>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</si>
  <si>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</si>
  <si>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</si>
  <si>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</si>
  <si>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</si>
  <si>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</si>
  <si>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</si>
  <si>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</si>
  <si>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</si>
  <si>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</si>
  <si>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</si>
  <si>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</si>
  <si>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</si>
  <si>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</si>
  <si>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</si>
  <si>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</si>
  <si>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</si>
  <si>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</si>
  <si>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</si>
  <si>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</si>
  <si>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</si>
  <si>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</si>
  <si>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</si>
  <si>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</si>
  <si>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</si>
  <si>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</si>
  <si>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</si>
  <si>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</si>
  <si>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</si>
  <si>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</si>
  <si>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</si>
  <si>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</si>
  <si>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</si>
  <si>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</si>
  <si>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</si>
  <si>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</si>
  <si>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</si>
  <si>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</si>
  <si>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</si>
  <si>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</si>
  <si>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</si>
  <si>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</si>
  <si>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</si>
  <si>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</si>
  <si>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</si>
  <si>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</si>
  <si>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</si>
  <si>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</si>
  <si>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</si>
  <si>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</si>
  <si>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</si>
  <si>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</si>
  <si>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</si>
  <si>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</si>
  <si>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</si>
  <si>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</si>
  <si>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</si>
  <si>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</si>
  <si>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</si>
  <si>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</si>
  <si>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</si>
  <si>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</si>
  <si>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</si>
  <si>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</si>
  <si>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</si>
  <si>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</si>
  <si>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</si>
  <si>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</si>
  <si>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</si>
  <si>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</si>
  <si>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</si>
  <si>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</si>
  <si>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</si>
  <si>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</si>
  <si>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</si>
  <si>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</si>
  <si>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</si>
  <si>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</si>
  <si>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</si>
  <si>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</si>
  <si>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</si>
  <si>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</si>
  <si>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</si>
  <si>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</si>
  <si>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</si>
  <si>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</si>
  <si>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</si>
  <si>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</si>
  <si>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</si>
  <si>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</si>
  <si>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</si>
  <si>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</si>
  <si>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</si>
  <si>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</si>
  <si>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</si>
  <si>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</si>
  <si>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</si>
  <si>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</si>
  <si>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</si>
  <si>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</si>
  <si>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</si>
  <si>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</si>
  <si>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</si>
  <si>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</si>
  <si>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</si>
  <si>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</si>
  <si>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</si>
  <si>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</si>
  <si>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</si>
  <si>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</si>
  <si>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</si>
  <si>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</si>
  <si>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</si>
  <si>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</si>
  <si>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</si>
  <si>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</si>
  <si>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</si>
  <si>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</si>
  <si>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</si>
  <si>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</si>
  <si>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</si>
  <si>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</si>
  <si>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</si>
  <si>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</si>
  <si>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</si>
  <si>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</si>
  <si>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</si>
  <si>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</si>
  <si>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</si>
  <si>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</si>
  <si>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</si>
  <si>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</si>
  <si>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</si>
  <si>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</si>
  <si>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</si>
  <si>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</si>
  <si>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</si>
  <si>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</si>
  <si>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</si>
  <si>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</si>
  <si>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</si>
  <si>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</si>
  <si>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</si>
  <si>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</si>
  <si>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</si>
  <si>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</si>
  <si>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</si>
  <si>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</si>
  <si>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</si>
  <si>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</si>
  <si>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</si>
  <si>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</si>
  <si>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</si>
  <si>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</si>
  <si>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</si>
  <si>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</si>
  <si>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</si>
  <si>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</si>
  <si>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</si>
  <si>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</si>
  <si>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</si>
  <si>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</si>
  <si>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</si>
  <si>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</si>
  <si>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</si>
  <si>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</si>
  <si>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</si>
  <si>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</si>
  <si>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</si>
  <si>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</si>
  <si>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</si>
  <si>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</si>
  <si>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</si>
  <si>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</si>
  <si>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</si>
  <si>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</si>
  <si>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</si>
  <si>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</si>
  <si>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</si>
  <si>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</si>
  <si>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</si>
  <si>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</si>
  <si>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</si>
  <si>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</si>
  <si>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</si>
  <si>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</si>
  <si>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</si>
  <si>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</si>
  <si>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</si>
  <si>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</si>
  <si>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</si>
  <si>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</si>
  <si>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</si>
  <si>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</si>
  <si>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</si>
  <si>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</si>
  <si>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</si>
  <si>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</si>
  <si>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</si>
  <si>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</si>
  <si>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</si>
  <si>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</si>
  <si>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</si>
  <si>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</si>
  <si>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</si>
  <si>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</si>
  <si>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</si>
  <si>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</si>
  <si>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</si>
  <si>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</si>
  <si>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</si>
  <si>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</si>
  <si>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</si>
  <si>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</si>
  <si>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</si>
  <si>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</si>
  <si>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</si>
  <si>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</si>
  <si>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</si>
  <si>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</si>
  <si>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</si>
  <si>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</si>
  <si>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</si>
  <si>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</si>
  <si>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</si>
  <si>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</si>
  <si>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</si>
  <si>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</si>
  <si>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</si>
  <si>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</si>
  <si>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</si>
  <si>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</si>
  <si>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</si>
  <si>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</si>
  <si>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</si>
  <si>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</si>
  <si>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</si>
  <si>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</si>
  <si>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</si>
  <si>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</si>
  <si>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</si>
  <si>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</si>
  <si>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</si>
  <si>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</si>
  <si>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</si>
  <si>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</si>
  <si>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</si>
  <si>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</si>
  <si>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</si>
  <si>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</si>
  <si>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</si>
  <si>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</si>
  <si>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</si>
  <si>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</si>
  <si>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</si>
  <si>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</si>
  <si>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</si>
  <si>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</si>
  <si>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</si>
  <si>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</si>
  <si>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</si>
  <si>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</si>
  <si>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</si>
  <si>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</si>
  <si>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</si>
  <si>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</si>
  <si>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</si>
  <si>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</si>
  <si>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</si>
  <si>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</si>
  <si>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</si>
  <si>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</si>
  <si>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</si>
  <si>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</si>
  <si>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</si>
  <si>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</si>
  <si>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</si>
  <si>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</si>
  <si>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</si>
  <si>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</si>
  <si>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</si>
  <si>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</si>
  <si>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</si>
  <si>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</si>
  <si>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</si>
  <si>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</si>
  <si>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</si>
  <si>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</si>
  <si>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</si>
  <si>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</si>
  <si>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</si>
  <si>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</si>
  <si>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</si>
  <si>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</si>
  <si>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</si>
  <si>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</si>
  <si>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</si>
  <si>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</si>
  <si>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</si>
  <si>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</si>
  <si>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</si>
  <si>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</si>
  <si>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</si>
  <si>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</si>
  <si>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</si>
  <si>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</si>
  <si>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</si>
  <si>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</si>
  <si>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</si>
  <si>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</si>
  <si>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</si>
  <si>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</si>
  <si>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</si>
  <si>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</si>
  <si>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</si>
  <si>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</si>
  <si>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</si>
  <si>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</si>
  <si>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</si>
  <si>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</si>
  <si>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</si>
  <si>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</si>
  <si>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</si>
  <si>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</si>
  <si>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</si>
  <si>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</si>
  <si>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</si>
  <si>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</si>
  <si>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</si>
  <si>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</si>
  <si>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</si>
  <si>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</si>
  <si>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</si>
  <si>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</si>
  <si>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</si>
  <si>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</si>
  <si>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</si>
  <si>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</si>
  <si>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</si>
  <si>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</si>
  <si>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</si>
  <si>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</si>
  <si>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</si>
  <si>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</si>
  <si>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</si>
  <si>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</si>
  <si>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</si>
  <si>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</si>
  <si>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</si>
  <si>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</si>
  <si>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</si>
  <si>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</si>
  <si>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</si>
  <si>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</si>
  <si>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</si>
  <si>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</si>
  <si>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</si>
  <si>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</si>
  <si>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</si>
  <si>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</si>
  <si>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</si>
  <si>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</si>
  <si>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</si>
  <si>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</si>
  <si>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</si>
  <si>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</si>
  <si>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</si>
  <si>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</si>
  <si>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</si>
  <si>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</si>
  <si>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</si>
  <si>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</si>
  <si>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</si>
  <si>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</si>
  <si>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</si>
  <si>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</si>
  <si>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</si>
  <si>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</si>
  <si>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</si>
  <si>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</si>
  <si>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</si>
  <si>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</si>
  <si>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</si>
  <si>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</si>
  <si>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</si>
  <si>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</si>
  <si>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</si>
  <si>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</si>
  <si>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</si>
  <si>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</si>
  <si>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</si>
  <si>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</si>
  <si>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</si>
  <si>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</si>
  <si>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</si>
  <si>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</si>
  <si>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</si>
  <si>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</si>
  <si>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</si>
  <si>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</si>
  <si>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</si>
  <si>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</si>
  <si>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</si>
  <si>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</si>
  <si>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</si>
  <si>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</si>
  <si>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</si>
  <si>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</si>
  <si>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</si>
  <si>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</si>
  <si>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</si>
  <si>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</si>
  <si>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</si>
  <si>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</si>
  <si>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</si>
  <si>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</si>
  <si>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</si>
  <si>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</si>
  <si>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</si>
  <si>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</si>
  <si>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</si>
  <si>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</si>
  <si>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</si>
  <si>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</si>
  <si>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</si>
  <si>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</si>
  <si>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</si>
  <si>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</si>
  <si>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</si>
  <si>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</si>
  <si>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</si>
  <si>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</si>
  <si>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</si>
  <si>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</si>
  <si>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</si>
  <si>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</si>
  <si>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</si>
  <si>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</si>
  <si>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</si>
  <si>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</si>
  <si>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</si>
  <si>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</si>
  <si>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</si>
  <si>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</si>
  <si>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</si>
  <si>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</si>
  <si>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</si>
  <si>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</si>
  <si>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</si>
  <si>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</si>
  <si>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</si>
  <si>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</si>
  <si>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</si>
  <si>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</si>
  <si>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</si>
  <si>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</si>
  <si>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</si>
  <si>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</si>
  <si>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</si>
  <si>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</si>
  <si>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</si>
  <si>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</si>
  <si>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</si>
  <si>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</si>
  <si>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</si>
  <si>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</si>
  <si>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</si>
  <si>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</si>
  <si>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</si>
  <si>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</si>
  <si>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</si>
  <si>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</si>
  <si>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</si>
  <si>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</si>
  <si>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</si>
  <si>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</si>
  <si>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</si>
  <si>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</si>
  <si>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</si>
  <si>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</si>
  <si>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</si>
  <si>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</si>
  <si>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</si>
  <si>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</si>
  <si>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</si>
  <si>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</si>
  <si>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</si>
  <si>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</si>
  <si>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</si>
  <si>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</si>
  <si>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</si>
  <si>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</si>
  <si>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</si>
  <si>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</si>
  <si>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</si>
  <si>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</si>
  <si>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</si>
  <si>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</si>
  <si>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</si>
  <si>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</si>
  <si>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</si>
  <si>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</si>
  <si>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</si>
  <si>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</si>
  <si>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</si>
  <si>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</si>
  <si>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</si>
  <si>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</si>
  <si>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</si>
  <si>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</si>
  <si>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</si>
  <si>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</si>
  <si>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</si>
  <si>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</si>
  <si>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</si>
  <si>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</si>
  <si>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</si>
  <si>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</si>
  <si>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</si>
  <si>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</si>
  <si>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</si>
  <si>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</si>
  <si>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</si>
  <si>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</si>
  <si>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</si>
  <si>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</si>
  <si>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</si>
  <si>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</si>
  <si>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</si>
  <si>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</si>
  <si>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</si>
  <si>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</si>
  <si>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</si>
  <si>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</si>
  <si>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</si>
  <si>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</si>
  <si>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</si>
  <si>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</si>
  <si>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</si>
  <si>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</si>
  <si>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</si>
  <si>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</si>
  <si>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</si>
  <si>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</si>
  <si>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</si>
  <si>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</si>
  <si>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</si>
  <si>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</si>
  <si>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</si>
  <si>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</si>
  <si>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</si>
  <si>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</si>
  <si>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</si>
  <si>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</si>
  <si>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</si>
  <si>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</si>
  <si>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</si>
  <si>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</si>
  <si>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</si>
  <si>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</si>
  <si>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</si>
  <si>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</si>
  <si>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</si>
  <si>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</si>
  <si>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</si>
  <si>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</si>
  <si>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</si>
  <si>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</si>
  <si>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</si>
  <si>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</si>
  <si>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</si>
  <si>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</si>
  <si>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</si>
  <si>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</si>
  <si>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</si>
  <si>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</si>
  <si>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</si>
  <si>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</si>
  <si>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</si>
  <si>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</si>
  <si>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</si>
  <si>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</si>
  <si>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</si>
  <si>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</si>
  <si>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</si>
  <si>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</si>
  <si>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</si>
  <si>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</si>
  <si>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</si>
  <si>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</si>
  <si>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</si>
  <si>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</si>
  <si>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</si>
  <si>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</si>
  <si>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</si>
  <si>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</si>
  <si>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</si>
  <si>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</si>
  <si>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</si>
  <si>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</si>
  <si>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</si>
  <si>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</si>
  <si>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</si>
  <si>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</si>
  <si>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</si>
  <si>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</si>
  <si>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</si>
  <si>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</si>
  <si>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</si>
  <si>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</si>
  <si>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</si>
  <si>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</si>
  <si>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</si>
  <si>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</si>
  <si>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</si>
  <si>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</si>
  <si>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</si>
  <si>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</si>
  <si>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</si>
  <si>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</si>
  <si>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</si>
  <si>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</si>
  <si>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</si>
  <si>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</si>
  <si>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</si>
  <si>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</si>
  <si>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</si>
  <si>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</si>
  <si>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</si>
  <si>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</si>
  <si>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</si>
  <si>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</si>
  <si>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</si>
  <si>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</si>
  <si>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</si>
  <si>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</si>
  <si>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</si>
  <si>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</si>
  <si>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</si>
  <si>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</si>
  <si>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</si>
  <si>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</si>
  <si>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</si>
  <si>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</si>
  <si>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</si>
  <si>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</si>
  <si>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</si>
  <si>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</si>
  <si>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</si>
  <si>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</si>
  <si>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</si>
  <si>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</si>
  <si>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</si>
  <si>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</si>
  <si>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</si>
  <si>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</si>
  <si>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</si>
  <si>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</si>
  <si>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</si>
  <si>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</si>
  <si>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</si>
  <si>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</si>
  <si>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</si>
  <si>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</si>
  <si>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</si>
  <si>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</si>
  <si>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</si>
  <si>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</si>
  <si>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</si>
  <si>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</si>
  <si>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</si>
  <si>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</si>
  <si>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</si>
  <si>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</si>
  <si>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</si>
  <si>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</si>
  <si>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</si>
  <si>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</si>
  <si>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</si>
  <si>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</si>
  <si>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</si>
  <si>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</si>
  <si>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</si>
  <si>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</si>
  <si>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</si>
  <si>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</si>
  <si>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</si>
  <si>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</si>
  <si>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</si>
  <si>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</si>
  <si>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</si>
  <si>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</si>
  <si>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</si>
  <si>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</si>
  <si>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</si>
  <si>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</si>
  <si>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</si>
  <si>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</si>
  <si>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</si>
  <si>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</si>
  <si>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</si>
  <si>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</si>
  <si>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</si>
  <si>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</si>
  <si>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</si>
  <si>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</si>
  <si>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</si>
  <si>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</si>
  <si>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</si>
  <si>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</si>
  <si>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</si>
  <si>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</si>
  <si>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</si>
  <si>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</si>
  <si>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</si>
  <si>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</si>
  <si>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</si>
  <si>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</si>
  <si>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</si>
  <si>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</si>
  <si>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</si>
  <si>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</si>
  <si>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</si>
  <si>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</si>
  <si>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</si>
  <si>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</si>
  <si>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</si>
  <si>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</si>
  <si>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</si>
  <si>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</si>
  <si>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</si>
  <si>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</si>
  <si>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</si>
  <si>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</si>
  <si>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</si>
  <si>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</si>
  <si>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</si>
  <si>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</si>
  <si>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</si>
  <si>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</si>
  <si>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</si>
  <si>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</si>
  <si>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</si>
  <si>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</si>
  <si>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</si>
  <si>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</si>
  <si>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</si>
  <si>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</si>
  <si>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</si>
  <si>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</si>
  <si>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</si>
  <si>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</si>
  <si>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</si>
  <si>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</si>
  <si>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</si>
  <si>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</si>
  <si>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</si>
  <si>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</si>
  <si>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</si>
  <si>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</si>
  <si>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</si>
  <si>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</si>
  <si>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</si>
  <si>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</si>
  <si>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</si>
  <si>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</si>
  <si>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</si>
  <si>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</si>
  <si>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</si>
  <si>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</si>
  <si>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</si>
  <si>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</si>
  <si>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</si>
  <si>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</si>
  <si>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</si>
  <si>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</si>
  <si>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</si>
  <si>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</si>
  <si>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</si>
  <si>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</si>
  <si>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</si>
  <si>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</si>
  <si>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</si>
  <si>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</si>
  <si>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</si>
  <si>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</si>
  <si>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</si>
  <si>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</si>
  <si>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</si>
  <si>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</si>
  <si>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</si>
  <si>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</si>
  <si>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</si>
  <si>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</si>
  <si>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</si>
  <si>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</si>
  <si>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</si>
  <si>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</si>
  <si>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</si>
  <si>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</si>
  <si>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</si>
  <si>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</si>
  <si>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</si>
  <si>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</si>
  <si>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</si>
  <si>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</si>
  <si>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</si>
  <si>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</si>
  <si>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</si>
  <si>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</si>
  <si>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</si>
  <si>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</si>
  <si>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</si>
  <si>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</si>
  <si>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</si>
  <si>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</si>
  <si>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</si>
  <si>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</si>
  <si>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</si>
  <si>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</si>
  <si>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</si>
  <si>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</si>
  <si>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</si>
  <si>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</si>
  <si>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</si>
  <si>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</si>
  <si>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</si>
  <si>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</si>
  <si>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</si>
  <si>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</si>
  <si>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</si>
  <si>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</si>
  <si>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</si>
  <si>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</si>
  <si>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</si>
  <si>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</si>
  <si>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</si>
  <si>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</si>
  <si>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</si>
  <si>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</si>
  <si>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</si>
  <si>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</si>
  <si>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</si>
  <si>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</si>
  <si>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</si>
  <si>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</si>
  <si>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</si>
  <si>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</si>
  <si>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</si>
  <si>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</si>
  <si>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</si>
  <si>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</si>
  <si>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</si>
  <si>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</si>
  <si>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</si>
  <si>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</si>
  <si>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</si>
  <si>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</si>
  <si>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</si>
  <si>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</si>
  <si>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</si>
  <si>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</si>
  <si>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</si>
  <si>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</si>
  <si>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</si>
  <si>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</si>
  <si>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</si>
  <si>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</si>
  <si>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</si>
  <si>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</si>
  <si>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</si>
  <si>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</si>
  <si>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</si>
  <si>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</si>
  <si>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</si>
  <si>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</si>
  <si>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</si>
  <si>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</si>
  <si>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</si>
  <si>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</si>
  <si>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</si>
  <si>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</si>
  <si>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</si>
  <si>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</si>
  <si>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</si>
  <si>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</si>
  <si>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</si>
  <si>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</si>
  <si>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</si>
  <si>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</si>
  <si>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</si>
  <si>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</si>
  <si>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</si>
  <si>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</si>
  <si>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</si>
  <si>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</si>
  <si>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</si>
  <si>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</si>
  <si>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</si>
  <si>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</si>
  <si>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</si>
  <si>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</si>
  <si>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</si>
  <si>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</si>
  <si>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</si>
  <si>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</si>
  <si>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</si>
  <si>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</si>
  <si>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</si>
  <si>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</si>
  <si>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</si>
  <si>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</si>
  <si>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</si>
  <si>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</si>
  <si>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</si>
  <si>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</si>
  <si>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</si>
  <si>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</si>
  <si>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</si>
  <si>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</si>
  <si>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</si>
  <si>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</si>
  <si>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</si>
  <si>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</si>
  <si>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</si>
  <si>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</si>
  <si>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</si>
  <si>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</si>
  <si>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</si>
  <si>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</si>
  <si>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</si>
  <si>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</si>
  <si>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</si>
  <si>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</si>
  <si>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</si>
  <si>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</si>
  <si>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</si>
  <si>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</si>
  <si>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</si>
  <si>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</si>
  <si>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</si>
  <si>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</si>
  <si>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</si>
  <si>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</si>
  <si>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</si>
  <si>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</si>
  <si>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</si>
  <si>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</si>
  <si>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</si>
  <si>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</si>
  <si>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</si>
  <si>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</si>
  <si>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</si>
  <si>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</si>
  <si>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</si>
  <si>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</si>
  <si>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</si>
  <si>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</si>
  <si>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</si>
  <si>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</si>
  <si>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</si>
  <si>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</si>
  <si>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</si>
  <si>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</si>
  <si>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</si>
  <si>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</si>
  <si>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</si>
  <si>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</si>
  <si>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</si>
  <si>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</si>
  <si>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</si>
  <si>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</si>
  <si>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</si>
  <si>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</si>
  <si>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</si>
  <si>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</si>
  <si>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</si>
  <si>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</si>
  <si>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</si>
  <si>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</si>
  <si>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</si>
  <si>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</si>
  <si>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</si>
  <si>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</si>
  <si>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</si>
  <si>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</si>
  <si>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</si>
  <si>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</si>
  <si>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</si>
  <si>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</si>
  <si>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</si>
  <si>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</si>
  <si>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</si>
  <si>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</si>
  <si>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</si>
  <si>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</si>
  <si>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</si>
  <si>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</si>
  <si>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</si>
  <si>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</si>
  <si>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</si>
  <si>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</si>
  <si>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</si>
  <si>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</si>
  <si>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</si>
  <si>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</si>
  <si>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</si>
  <si>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</si>
  <si>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</si>
  <si>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</si>
  <si>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</si>
  <si>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</si>
  <si>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</si>
  <si>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</si>
  <si>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</si>
  <si>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</si>
  <si>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</si>
  <si>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</si>
  <si>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</si>
  <si>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</si>
  <si>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</si>
  <si>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</si>
  <si>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</si>
  <si>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</si>
  <si>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</si>
  <si>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</si>
  <si>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</si>
  <si>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</si>
  <si>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</si>
  <si>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</si>
  <si>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</si>
  <si>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</si>
  <si>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</si>
  <si>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</si>
  <si>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</si>
  <si>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</si>
  <si>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</si>
  <si>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</si>
  <si>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</si>
  <si>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</si>
  <si>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</si>
  <si>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</si>
  <si>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</si>
  <si>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</si>
  <si>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</si>
  <si>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</si>
  <si>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</si>
  <si>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</si>
  <si>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</si>
  <si>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</si>
  <si>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</si>
  <si>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</si>
  <si>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</si>
  <si>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</si>
  <si>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</si>
  <si>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</si>
  <si>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</si>
  <si>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</si>
  <si>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</si>
  <si>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</si>
  <si>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</si>
  <si>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</si>
  <si>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</si>
  <si>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</si>
  <si>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</si>
  <si>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</si>
  <si>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</si>
  <si>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</si>
  <si>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</si>
  <si>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</si>
  <si>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</si>
  <si>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</si>
  <si>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</si>
  <si>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</si>
  <si>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</si>
  <si>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</si>
  <si>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</si>
  <si>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</si>
  <si>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</si>
  <si>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</si>
  <si>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</si>
  <si>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</si>
  <si>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</si>
  <si>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</si>
  <si>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</si>
  <si>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</si>
  <si>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</si>
  <si>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</si>
  <si>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</si>
  <si>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</si>
  <si>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</si>
  <si>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</si>
  <si>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</si>
  <si>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</si>
  <si>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</si>
  <si>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</si>
  <si>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</si>
  <si>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</si>
  <si>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</si>
  <si>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</si>
  <si>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</si>
  <si>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</si>
  <si>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</si>
  <si>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</si>
  <si>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</si>
  <si>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</si>
  <si>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</si>
  <si>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</si>
  <si>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</si>
  <si>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</si>
  <si>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</si>
  <si>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</si>
  <si>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</si>
  <si>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</si>
  <si>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</si>
  <si>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</si>
  <si>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</si>
  <si>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</si>
  <si>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</si>
  <si>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</si>
  <si>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</si>
  <si>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</si>
  <si>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</si>
  <si>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</si>
  <si>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</si>
  <si>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</si>
  <si>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</si>
  <si>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</si>
  <si>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</si>
  <si>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</si>
  <si>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</si>
  <si>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</si>
  <si>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</si>
  <si>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</si>
  <si>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</si>
  <si>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</si>
  <si>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</si>
  <si>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</si>
  <si>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</si>
  <si>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</si>
  <si>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</si>
  <si>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</si>
  <si>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</si>
  <si>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</si>
  <si>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</si>
  <si>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</si>
  <si>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</si>
  <si>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</si>
  <si>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</si>
  <si>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</si>
  <si>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</si>
  <si>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</si>
  <si>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</si>
  <si>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</si>
  <si>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</si>
  <si>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</si>
  <si>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</si>
  <si>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</si>
  <si>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</si>
  <si>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</si>
  <si>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</si>
  <si>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</si>
  <si>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</si>
  <si>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</si>
  <si>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</si>
  <si>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</si>
  <si>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</si>
  <si>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</si>
  <si>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</si>
  <si>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</si>
  <si>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</si>
  <si>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</si>
  <si>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</si>
  <si>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</si>
  <si>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</si>
  <si>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</si>
  <si>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</si>
  <si>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</si>
  <si>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</si>
  <si>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</si>
  <si>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</si>
  <si>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</si>
  <si>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</si>
  <si>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</si>
  <si>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</si>
  <si>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</si>
  <si>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</si>
  <si>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</si>
  <si>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</si>
  <si>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</si>
  <si>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</si>
  <si>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</si>
  <si>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</si>
  <si>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</si>
  <si>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</si>
  <si>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</si>
  <si>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</si>
  <si>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</si>
  <si>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</si>
  <si>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</si>
  <si>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</si>
  <si>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</si>
  <si>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</si>
  <si>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</si>
  <si>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</si>
  <si>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</si>
  <si>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</si>
  <si>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</si>
  <si>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</si>
  <si>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</si>
  <si>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</si>
  <si>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</si>
  <si>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</si>
  <si>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</si>
  <si>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</si>
  <si>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</si>
  <si>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</si>
  <si>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</si>
  <si>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</si>
  <si>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</si>
  <si>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</si>
  <si>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</si>
  <si>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</si>
  <si>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</si>
  <si>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</si>
  <si>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</si>
  <si>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</si>
  <si>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</si>
  <si>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</si>
  <si>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</si>
  <si>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</si>
  <si>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</si>
  <si>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</si>
  <si>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</si>
  <si>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</si>
  <si>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</si>
  <si>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</si>
  <si>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</si>
  <si>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</si>
  <si>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</si>
  <si>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</si>
  <si>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</si>
  <si>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</si>
  <si>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</si>
  <si>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</si>
  <si>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</si>
  <si>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</si>
  <si>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</si>
  <si>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</si>
  <si>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</si>
  <si>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</si>
  <si>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</si>
  <si>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</si>
  <si>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</si>
  <si>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</si>
  <si>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</si>
  <si>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</si>
  <si>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</si>
  <si>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</si>
  <si>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</si>
  <si>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</si>
  <si>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</si>
  <si>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</si>
  <si>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</si>
  <si>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</si>
  <si>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</si>
  <si>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</si>
  <si>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</si>
  <si>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</si>
  <si>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</si>
  <si>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</si>
  <si>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</si>
  <si>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</si>
  <si>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</si>
  <si>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</si>
  <si>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</si>
  <si>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</si>
  <si>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</si>
  <si>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</si>
  <si>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</si>
  <si>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</si>
  <si>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</si>
  <si>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</si>
  <si>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</si>
  <si>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</si>
  <si>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</si>
  <si>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</si>
  <si>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</si>
  <si>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</si>
  <si>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</si>
  <si>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</si>
  <si>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</si>
  <si>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</si>
  <si>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</si>
  <si>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</si>
  <si>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</si>
  <si>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</si>
  <si>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</si>
  <si>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</si>
  <si>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</si>
  <si>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</si>
  <si>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</si>
  <si>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</si>
  <si>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</si>
  <si>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</si>
  <si>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</si>
  <si>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</si>
  <si>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</si>
  <si>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</si>
  <si>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</si>
  <si>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</si>
  <si>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</si>
  <si>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</si>
  <si>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</si>
  <si>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</si>
  <si>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</si>
  <si>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</si>
  <si>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</si>
  <si>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</si>
  <si>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</si>
  <si>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</si>
  <si>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</si>
  <si>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</si>
  <si>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</si>
  <si>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</si>
  <si>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</si>
  <si>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</si>
  <si>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</si>
  <si>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</si>
  <si>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</si>
  <si>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</si>
  <si>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</si>
  <si>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</si>
  <si>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</si>
  <si>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</si>
  <si>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</si>
  <si>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</si>
  <si>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</si>
  <si>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</si>
  <si>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</si>
  <si>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</si>
  <si>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</si>
  <si>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</si>
  <si>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</si>
  <si>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</si>
  <si>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</si>
  <si>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</si>
  <si>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</si>
  <si>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</si>
  <si>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</si>
  <si>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</si>
  <si>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</si>
  <si>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</si>
  <si>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</si>
  <si>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</si>
  <si>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</si>
  <si>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</si>
  <si>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</si>
  <si>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</si>
  <si>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</si>
  <si>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</si>
  <si>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</si>
  <si>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</si>
  <si>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</si>
  <si>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</si>
  <si>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</si>
  <si>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</si>
  <si>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</si>
  <si>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</si>
  <si>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</si>
  <si>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</si>
  <si>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</si>
  <si>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</si>
  <si>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</si>
  <si>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</si>
  <si>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</si>
  <si>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</si>
  <si>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</si>
  <si>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</si>
  <si>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</si>
  <si>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</si>
  <si>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</si>
  <si>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</si>
  <si>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</si>
  <si>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</si>
  <si>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</si>
  <si>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</si>
  <si>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</si>
  <si>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</si>
  <si>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</si>
  <si>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</si>
  <si>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</si>
  <si>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</si>
  <si>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</si>
  <si>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</si>
  <si>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</si>
  <si>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</si>
  <si>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</si>
  <si>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</si>
  <si>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</si>
  <si>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</si>
  <si>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</si>
  <si>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</si>
  <si>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</si>
  <si>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</si>
  <si>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</si>
  <si>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</si>
  <si>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</si>
  <si>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</si>
  <si>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</si>
  <si>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</si>
  <si>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</si>
  <si>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</si>
  <si>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</si>
  <si>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</si>
  <si>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</si>
  <si>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</si>
  <si>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</si>
  <si>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</si>
  <si>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</si>
  <si>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</si>
  <si>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</si>
  <si>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</si>
  <si>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</si>
  <si>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</si>
  <si>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</si>
  <si>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</si>
  <si>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</si>
  <si>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</si>
  <si>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</si>
  <si>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</si>
  <si>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</si>
  <si>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</si>
  <si>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</si>
  <si>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</si>
  <si>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</si>
  <si>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</si>
  <si>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</si>
  <si>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</si>
  <si>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</si>
  <si>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</si>
  <si>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</si>
  <si>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</si>
  <si>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</si>
  <si>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</si>
  <si>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</si>
  <si>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</si>
  <si>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</si>
  <si>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</si>
  <si>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</si>
  <si>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</si>
  <si>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</si>
  <si>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</si>
  <si>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</si>
  <si>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</si>
  <si>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</si>
  <si>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</si>
  <si>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</si>
  <si>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</si>
  <si>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</si>
  <si>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</si>
  <si>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</si>
  <si>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</si>
  <si>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</si>
  <si>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</si>
  <si>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</si>
  <si>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</si>
  <si>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</si>
  <si>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</si>
  <si>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</si>
  <si>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</si>
  <si>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</si>
  <si>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</si>
  <si>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</si>
  <si>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</si>
  <si>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</si>
  <si>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</si>
  <si>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</si>
  <si>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</si>
  <si>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</si>
  <si>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</si>
  <si>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</si>
  <si>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</si>
  <si>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</si>
  <si>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</si>
  <si>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</si>
  <si>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</si>
  <si>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</si>
  <si>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</si>
  <si>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</si>
  <si>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</si>
  <si>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</si>
  <si>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</si>
  <si>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</si>
  <si>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</si>
  <si>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</si>
  <si>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</si>
  <si>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</si>
  <si>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</si>
  <si>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</si>
  <si>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</si>
  <si>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</si>
  <si>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</si>
  <si>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</si>
  <si>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</si>
  <si>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</si>
  <si>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</si>
  <si>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</si>
  <si>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</si>
  <si>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</si>
  <si>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</si>
  <si>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</si>
  <si>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</si>
  <si>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</si>
  <si>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</si>
  <si>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</si>
  <si>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</si>
  <si>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</si>
  <si>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</si>
  <si>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</si>
  <si>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</si>
  <si>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</si>
  <si>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</si>
  <si>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</si>
  <si>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</si>
  <si>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</si>
  <si>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</si>
  <si>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</si>
  <si>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</si>
  <si>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</si>
  <si>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</si>
  <si>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</si>
  <si>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</si>
  <si>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</si>
  <si>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</si>
  <si>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</si>
  <si>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</si>
  <si>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</si>
  <si>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</si>
  <si>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</si>
  <si>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</si>
  <si>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</si>
  <si>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</si>
  <si>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</si>
  <si>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</si>
  <si>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</si>
  <si>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</si>
  <si>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</si>
  <si>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</si>
  <si>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</si>
  <si>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</si>
  <si>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</si>
  <si>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</si>
  <si>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</si>
  <si>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</si>
  <si>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</si>
  <si>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</si>
  <si>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</si>
  <si>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</si>
  <si>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</si>
  <si>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</si>
  <si>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</si>
  <si>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</si>
  <si>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</si>
  <si>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</si>
  <si>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</si>
  <si>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</si>
  <si>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</si>
  <si>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</si>
  <si>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</si>
  <si>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</si>
  <si>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</si>
  <si>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</si>
  <si>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</si>
  <si>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</si>
  <si>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</si>
  <si>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</si>
  <si>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</si>
  <si>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</si>
  <si>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</si>
  <si>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</si>
  <si>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</si>
  <si>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</si>
  <si>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</si>
  <si>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</si>
  <si>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</si>
  <si>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</si>
  <si>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</si>
  <si>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</si>
  <si>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</si>
  <si>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</si>
  <si>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</si>
  <si>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</si>
  <si>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</si>
  <si>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</si>
  <si>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</si>
  <si>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</si>
  <si>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</si>
  <si>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</si>
  <si>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</si>
  <si>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</si>
  <si>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</si>
  <si>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</si>
  <si>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</si>
  <si>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</si>
  <si>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</si>
  <si>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</si>
  <si>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</si>
  <si>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</si>
  <si>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</si>
  <si>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</si>
  <si>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</si>
  <si>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</si>
  <si>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</si>
  <si>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</si>
  <si>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</si>
  <si>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</si>
  <si>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</si>
  <si>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</si>
  <si>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</si>
  <si>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</si>
  <si>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</si>
  <si>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</si>
  <si>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</si>
  <si>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</si>
  <si>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</si>
  <si>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</si>
  <si>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</si>
  <si>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</si>
  <si>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</si>
  <si>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</si>
  <si>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</si>
  <si>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</si>
  <si>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</si>
  <si>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</si>
  <si>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</si>
  <si>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</si>
  <si>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</si>
  <si>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</si>
  <si>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</si>
  <si>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</si>
  <si>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</si>
  <si>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</si>
  <si>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</si>
  <si>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</si>
  <si>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</si>
  <si>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</si>
  <si>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</si>
  <si>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</si>
  <si>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</si>
  <si>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</si>
  <si>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</si>
  <si>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</si>
  <si>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</si>
  <si>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</si>
  <si>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</si>
  <si>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</si>
  <si>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</si>
  <si>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</si>
  <si>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</si>
  <si>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</si>
  <si>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</si>
  <si>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</si>
  <si>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</si>
  <si>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</si>
  <si>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</si>
  <si>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</si>
  <si>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</si>
  <si>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</si>
  <si>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</si>
  <si>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</si>
  <si>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</si>
  <si>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</si>
  <si>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</si>
  <si>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</si>
  <si>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</si>
  <si>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</si>
  <si>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</si>
  <si>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</si>
  <si>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</si>
  <si>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</si>
  <si>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</si>
  <si>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</si>
  <si>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</si>
  <si>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</si>
  <si>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</si>
  <si>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</si>
  <si>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</si>
  <si>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</si>
  <si>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</si>
  <si>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</si>
  <si>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</si>
  <si>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</si>
  <si>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</si>
  <si>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</si>
  <si>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</si>
  <si>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</si>
  <si>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</si>
  <si>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</si>
  <si>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</si>
  <si>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</si>
  <si>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</si>
  <si>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</si>
  <si>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</si>
  <si>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</si>
  <si>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</si>
  <si>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</si>
  <si>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</si>
  <si>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</si>
  <si>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</si>
  <si>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</si>
  <si>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</si>
  <si>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</si>
  <si>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</si>
  <si>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</si>
  <si>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</si>
  <si>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</si>
  <si>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</si>
  <si>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</si>
  <si>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</si>
  <si>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</si>
  <si>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</si>
  <si>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</si>
  <si>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</si>
  <si>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</si>
  <si>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</si>
  <si>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</si>
  <si>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</si>
  <si>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</si>
  <si>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</si>
  <si>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</si>
  <si>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</si>
  <si>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</si>
  <si>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</si>
  <si>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</si>
  <si>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</si>
  <si>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</si>
  <si>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</si>
  <si>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</si>
  <si>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</si>
  <si>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</si>
  <si>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</si>
  <si>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</si>
  <si>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</si>
  <si>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</si>
  <si>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</si>
  <si>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</si>
  <si>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</si>
  <si>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</si>
  <si>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</si>
  <si>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</si>
  <si>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</si>
  <si>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</si>
  <si>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</si>
  <si>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</si>
  <si>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</si>
  <si>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</si>
  <si>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</si>
  <si>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</si>
  <si>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</si>
  <si>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</si>
  <si>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</si>
  <si>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</si>
  <si>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</si>
  <si>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</si>
  <si>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</si>
  <si>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</si>
  <si>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</si>
  <si>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</si>
  <si>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</si>
  <si>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</si>
  <si>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</si>
  <si>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</si>
  <si>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</si>
  <si>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</si>
  <si>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</si>
  <si>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</si>
  <si>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</si>
  <si>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</si>
  <si>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</si>
  <si>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</si>
  <si>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</si>
  <si>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</si>
  <si>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</si>
  <si>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</si>
  <si>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</si>
  <si>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</si>
  <si>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</si>
  <si>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</si>
  <si>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</si>
  <si>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</si>
  <si>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</si>
  <si>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</si>
  <si>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</si>
  <si>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</si>
  <si>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</si>
  <si>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</si>
  <si>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</si>
  <si>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</si>
  <si>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</si>
  <si>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</si>
  <si>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</si>
  <si>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</si>
  <si>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</si>
  <si>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</si>
  <si>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</si>
  <si>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</si>
  <si>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</si>
  <si>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</si>
  <si>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</si>
  <si>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</si>
  <si>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</si>
  <si>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</si>
  <si>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</si>
  <si>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</si>
  <si>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</si>
  <si>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</si>
  <si>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</si>
  <si>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</si>
  <si>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</si>
  <si>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</si>
  <si>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</si>
  <si>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</si>
  <si>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</si>
  <si>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</si>
  <si>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</si>
  <si>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</si>
  <si>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</si>
  <si>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</si>
  <si>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</si>
  <si>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</si>
  <si>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</si>
  <si>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</si>
  <si>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</si>
  <si>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</si>
  <si>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</si>
  <si>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</si>
  <si>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</si>
  <si>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</si>
  <si>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</si>
  <si>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</si>
  <si>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</si>
  <si>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</si>
  <si>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</si>
  <si>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</si>
  <si>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</si>
  <si>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</si>
  <si>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</si>
  <si>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</si>
  <si>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</si>
  <si>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</si>
  <si>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</si>
  <si>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</si>
  <si>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</si>
  <si>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</si>
  <si>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</si>
  <si>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</si>
  <si>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</si>
  <si>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</si>
  <si>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</si>
  <si>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</si>
  <si>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</si>
  <si>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</si>
  <si>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</si>
  <si>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</si>
  <si>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</si>
  <si>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</si>
  <si>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</si>
  <si>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</si>
  <si>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</si>
  <si>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</si>
  <si>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</si>
  <si>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</si>
  <si>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</si>
  <si>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</si>
  <si>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</si>
  <si>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</si>
  <si>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</si>
  <si>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</si>
  <si>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</si>
  <si>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</si>
  <si>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</si>
  <si>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</si>
  <si>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</si>
  <si>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</si>
  <si>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</si>
  <si>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</si>
  <si>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</si>
  <si>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</si>
  <si>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</si>
  <si>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</si>
  <si>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</si>
  <si>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</si>
  <si>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</si>
  <si>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</si>
  <si>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</si>
  <si>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</si>
  <si>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</si>
  <si>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</si>
  <si>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</si>
  <si>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</si>
  <si>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</si>
  <si>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</si>
  <si>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</si>
  <si>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</si>
  <si>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</si>
  <si>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</si>
  <si>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</si>
  <si>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</si>
  <si>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</si>
  <si>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</si>
  <si>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</si>
  <si>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</si>
  <si>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</si>
  <si>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</si>
  <si>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</si>
  <si>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</si>
  <si>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</si>
  <si>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</si>
  <si>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</si>
  <si>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</si>
  <si>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</si>
  <si>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</si>
  <si>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</si>
  <si>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</si>
  <si>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</si>
  <si>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</si>
  <si>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</si>
  <si>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</si>
  <si>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</si>
  <si>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</si>
  <si>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</si>
  <si>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</si>
  <si>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</si>
  <si>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</si>
  <si>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</si>
  <si>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</si>
  <si>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</si>
  <si>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</si>
  <si>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</si>
  <si>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</si>
  <si>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</si>
  <si>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</si>
  <si>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</si>
  <si>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</si>
  <si>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</si>
  <si>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</si>
  <si>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</si>
  <si>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</si>
  <si>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</si>
  <si>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</si>
  <si>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</si>
  <si>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</si>
  <si>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</si>
  <si>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</si>
  <si>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</si>
  <si>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</si>
  <si>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</si>
  <si>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</si>
  <si>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</si>
  <si>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</si>
  <si>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</si>
  <si>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</si>
  <si>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</si>
  <si>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</si>
  <si>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</si>
  <si>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</si>
  <si>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</si>
  <si>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</si>
  <si>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</si>
  <si>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</si>
  <si>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</si>
  <si>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</si>
  <si>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</si>
  <si>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</si>
  <si>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</si>
  <si>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</si>
  <si>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</si>
  <si>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</si>
  <si>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</si>
  <si>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</si>
  <si>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</si>
  <si>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</si>
  <si>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</si>
  <si>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</si>
  <si>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</si>
  <si>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</si>
  <si>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</si>
  <si>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</si>
  <si>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</si>
  <si>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</si>
  <si>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</si>
  <si>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</si>
  <si>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</si>
  <si>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</si>
  <si>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</si>
  <si>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</si>
  <si>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</si>
  <si>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</si>
  <si>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</si>
  <si>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</si>
  <si>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</si>
  <si>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</si>
  <si>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</si>
  <si>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</si>
  <si>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</si>
  <si>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</si>
  <si>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</si>
  <si>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</si>
  <si>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</si>
  <si>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</si>
  <si>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</si>
  <si>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</si>
  <si>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</si>
  <si>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</si>
  <si>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</si>
  <si>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</si>
  <si>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</si>
  <si>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</si>
  <si>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</si>
  <si>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</si>
  <si>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</si>
  <si>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</si>
  <si>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</si>
  <si>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</si>
  <si>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</si>
  <si>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</si>
  <si>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</si>
  <si>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</si>
  <si>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</si>
  <si>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</si>
  <si>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</si>
  <si>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</si>
  <si>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</si>
  <si>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</si>
  <si>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</si>
  <si>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</si>
  <si>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</si>
  <si>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</si>
  <si>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</si>
  <si>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</si>
  <si>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</si>
  <si>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</si>
  <si>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</si>
  <si>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</si>
  <si>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</si>
  <si>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</si>
  <si>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</si>
  <si>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</si>
  <si>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</si>
  <si>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</si>
  <si>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</si>
  <si>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</si>
  <si>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</si>
  <si>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</si>
  <si>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</si>
  <si>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</si>
  <si>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</si>
  <si>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</si>
  <si>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</si>
  <si>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</si>
  <si>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</si>
  <si>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</si>
  <si>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</si>
  <si>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</si>
  <si>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</si>
  <si>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</si>
  <si>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</si>
  <si>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</si>
  <si>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</si>
  <si>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</si>
  <si>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</si>
  <si>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</si>
  <si>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</si>
  <si>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</si>
  <si>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</si>
  <si>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</si>
  <si>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</si>
  <si>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</si>
  <si>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</si>
  <si>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</si>
  <si>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</si>
  <si>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</si>
  <si>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</si>
  <si>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</si>
  <si>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</si>
  <si>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</si>
  <si>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</si>
  <si>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</si>
  <si>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</si>
  <si>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</si>
  <si>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</si>
  <si>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</si>
  <si>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</si>
  <si>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</si>
  <si>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</si>
  <si>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</si>
  <si>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</si>
  <si>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</si>
  <si>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</si>
  <si>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</si>
  <si>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</si>
  <si>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</si>
  <si>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</si>
  <si>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</si>
  <si>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</si>
  <si>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</si>
  <si>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</si>
  <si>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</si>
  <si>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</si>
  <si>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</si>
  <si>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</si>
  <si>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</si>
  <si>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</si>
  <si>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</si>
  <si>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</si>
  <si>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</si>
  <si>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</si>
  <si>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</si>
  <si>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</si>
  <si>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</si>
  <si>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</si>
  <si>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</si>
  <si>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</si>
  <si>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</si>
  <si>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</si>
  <si>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</si>
  <si>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</si>
  <si>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</si>
  <si>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</si>
  <si>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</si>
  <si>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</si>
  <si>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</si>
  <si>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</si>
  <si>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</si>
  <si>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</si>
  <si>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</si>
  <si>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</si>
  <si>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</si>
  <si>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</si>
  <si>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</si>
  <si>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</si>
  <si>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</si>
  <si>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</si>
  <si>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</si>
  <si>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</si>
  <si>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</si>
  <si>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</si>
  <si>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</si>
  <si>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</si>
  <si>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</si>
  <si>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</si>
  <si>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</si>
  <si>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</si>
  <si>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</si>
  <si>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</si>
  <si>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</si>
  <si>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</si>
  <si>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</si>
  <si>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</si>
  <si>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</si>
  <si>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</si>
  <si>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</si>
  <si>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</si>
  <si>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</si>
  <si>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</si>
  <si>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</si>
  <si>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</si>
  <si>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</si>
  <si>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</si>
  <si>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</si>
  <si>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</si>
  <si>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</si>
  <si>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</si>
  <si>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</si>
  <si>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</si>
  <si>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</si>
  <si>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</si>
  <si>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</si>
  <si>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</si>
  <si>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</si>
  <si>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</si>
  <si>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</si>
  <si>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</si>
  <si>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</si>
  <si>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</si>
  <si>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</si>
  <si>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</si>
  <si>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</si>
  <si>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</si>
  <si>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</si>
  <si>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</si>
  <si>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</si>
  <si>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</si>
  <si>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</si>
  <si>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</si>
  <si>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</si>
  <si>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</si>
  <si>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</si>
  <si>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</si>
  <si>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</si>
  <si>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</si>
  <si>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</si>
  <si>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</si>
  <si>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</si>
  <si>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</si>
  <si>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</si>
  <si>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</si>
  <si>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</si>
  <si>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</si>
  <si>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</si>
  <si>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</si>
  <si>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</si>
  <si>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</si>
  <si>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</si>
  <si>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</si>
  <si>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</si>
  <si>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</si>
  <si>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</si>
  <si>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</si>
  <si>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</si>
  <si>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</si>
  <si>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</si>
  <si>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</si>
  <si>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</si>
  <si>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</si>
  <si>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</si>
  <si>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</si>
  <si>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</si>
  <si>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</si>
  <si>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</si>
  <si>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</si>
  <si>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</si>
  <si>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</si>
  <si>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</si>
  <si>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</si>
  <si>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</si>
  <si>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</si>
  <si>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</si>
  <si>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</si>
  <si>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</si>
  <si>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</si>
  <si>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</si>
  <si>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</si>
  <si>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</si>
  <si>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</si>
  <si>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</si>
  <si>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</si>
  <si>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</si>
  <si>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</si>
  <si>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</si>
  <si>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</si>
  <si>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</si>
  <si>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</si>
  <si>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</si>
  <si>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</si>
  <si>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</si>
  <si>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</si>
  <si>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</si>
  <si>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</si>
  <si>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</si>
  <si>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</si>
  <si>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</si>
  <si>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</si>
  <si>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</si>
  <si>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</si>
  <si>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</si>
  <si>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</si>
  <si>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</si>
  <si>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</si>
  <si>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</si>
  <si>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</si>
  <si>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</si>
  <si>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</si>
  <si>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</si>
  <si>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</si>
  <si>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</si>
  <si>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</si>
  <si>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</si>
  <si>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</si>
  <si>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</si>
  <si>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</si>
  <si>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</si>
  <si>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</si>
  <si>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</si>
  <si>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</si>
  <si>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</si>
  <si>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</si>
  <si>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</si>
  <si>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</si>
  <si>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</si>
  <si>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</si>
  <si>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</si>
  <si>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</si>
  <si>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</si>
  <si>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</si>
  <si>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</si>
  <si>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</si>
  <si>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</si>
  <si>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</si>
  <si>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</si>
  <si>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</si>
  <si>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</si>
  <si>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</si>
  <si>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</si>
  <si>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</si>
  <si>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</si>
  <si>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</si>
  <si>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</si>
  <si>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</si>
  <si>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</si>
  <si>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</si>
  <si>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</si>
  <si>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</si>
  <si>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</si>
  <si>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</si>
  <si>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</si>
  <si>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</si>
  <si>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</si>
  <si>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</si>
  <si>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</si>
  <si>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</si>
  <si>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</si>
  <si>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</si>
  <si>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</si>
  <si>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</si>
  <si>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</si>
  <si>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</si>
  <si>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</si>
  <si>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</si>
  <si>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</si>
  <si>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</si>
  <si>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</si>
  <si>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</si>
  <si>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</si>
  <si>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</si>
  <si>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</si>
  <si>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</si>
  <si>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</si>
  <si>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</si>
  <si>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</si>
  <si>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</si>
  <si>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</si>
  <si>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</si>
  <si>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</si>
  <si>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</si>
  <si>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</si>
  <si>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</si>
  <si>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</si>
  <si>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</si>
  <si>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</si>
  <si>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</si>
  <si>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</si>
  <si>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</si>
  <si>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</si>
  <si>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</si>
  <si>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</si>
  <si>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</si>
  <si>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</si>
  <si>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</si>
  <si>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</si>
  <si>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</si>
  <si>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</si>
  <si>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</si>
  <si>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</si>
  <si>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</si>
  <si>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</si>
  <si>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</si>
  <si>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</si>
  <si>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</si>
  <si>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</si>
  <si>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</si>
  <si>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</si>
  <si>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</si>
  <si>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</si>
  <si>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</si>
  <si>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</si>
  <si>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</si>
  <si>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</si>
  <si>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</si>
  <si>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</si>
  <si>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</si>
  <si>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</si>
  <si>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</si>
  <si>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</si>
  <si>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</si>
  <si>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</si>
  <si>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</si>
  <si>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</si>
  <si>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</si>
  <si>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</si>
  <si>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</si>
  <si>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</si>
  <si>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</si>
  <si>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</si>
  <si>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</si>
  <si>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</si>
  <si>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</si>
  <si>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</si>
  <si>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</si>
  <si>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</si>
  <si>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</si>
  <si>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</si>
  <si>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</si>
  <si>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</si>
  <si>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</si>
  <si>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</si>
  <si>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</si>
  <si>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</si>
  <si>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</si>
  <si>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</si>
  <si>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</si>
  <si>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</si>
  <si>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</si>
  <si>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</si>
  <si>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</si>
  <si>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</si>
  <si>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</si>
  <si>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</si>
  <si>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</si>
  <si>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</si>
  <si>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</si>
  <si>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</si>
  <si>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</si>
  <si>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</si>
  <si>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</si>
  <si>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</si>
  <si>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</si>
  <si>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</si>
  <si>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</si>
  <si>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</si>
  <si>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</si>
  <si>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</si>
  <si>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</si>
  <si>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</si>
  <si>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</si>
  <si>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</si>
  <si>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</si>
  <si>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</si>
  <si>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</si>
  <si>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</si>
  <si>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</si>
  <si>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</si>
  <si>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</si>
  <si>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</si>
  <si>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</si>
  <si>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</si>
  <si>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</si>
  <si>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</si>
  <si>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</si>
  <si>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</si>
  <si>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</si>
  <si>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</si>
  <si>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</si>
  <si>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</si>
  <si>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</si>
  <si>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</si>
  <si>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</si>
  <si>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</si>
  <si>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</si>
  <si>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</si>
  <si>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</si>
  <si>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</si>
  <si>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</si>
  <si>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</si>
  <si>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</si>
  <si>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</si>
  <si>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</si>
  <si>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</si>
  <si>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</si>
  <si>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</si>
  <si>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</si>
  <si>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</si>
  <si>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</si>
  <si>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</si>
  <si>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</si>
  <si>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</si>
  <si>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</si>
  <si>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</si>
  <si>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</si>
  <si>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</si>
  <si>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</si>
  <si>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</si>
  <si>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</si>
  <si>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</si>
  <si>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</si>
  <si>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</si>
  <si>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</si>
  <si>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</si>
  <si>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</si>
  <si>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</si>
  <si>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</si>
  <si>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</si>
  <si>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</si>
  <si>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</si>
  <si>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</si>
  <si>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</si>
  <si>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</si>
  <si>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</si>
  <si>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</si>
  <si>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</si>
  <si>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</si>
  <si>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</si>
  <si>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</si>
  <si>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</si>
  <si>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</si>
  <si>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</si>
  <si>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</si>
  <si>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</si>
  <si>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</si>
  <si>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</si>
  <si>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</si>
  <si>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</si>
  <si>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</si>
  <si>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</si>
  <si>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</si>
  <si>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</si>
  <si>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</si>
  <si>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</si>
  <si>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</si>
  <si>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</si>
  <si>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</si>
  <si>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</si>
  <si>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</si>
  <si>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</si>
  <si>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</si>
  <si>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</si>
  <si>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</si>
  <si>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</si>
  <si>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</si>
  <si>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</si>
  <si>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</si>
  <si>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</si>
  <si>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</si>
  <si>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</si>
  <si>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</si>
  <si>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</si>
  <si>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</si>
  <si>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</si>
  <si>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</si>
  <si>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</si>
  <si>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</si>
  <si>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</si>
  <si>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</si>
  <si>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</si>
  <si>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</si>
  <si>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</si>
  <si>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</si>
  <si>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</si>
  <si>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</si>
  <si>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</si>
  <si>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</si>
  <si>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</si>
  <si>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</si>
  <si>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</si>
  <si>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</si>
  <si>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</si>
  <si>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</si>
  <si>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</si>
  <si>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</si>
  <si>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</si>
  <si>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</si>
  <si>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</si>
  <si>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</si>
  <si>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</si>
  <si>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</si>
  <si>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</si>
  <si>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</si>
  <si>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</si>
  <si>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</si>
  <si>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</si>
  <si>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</si>
  <si>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</si>
  <si>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</si>
  <si>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</si>
  <si>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</si>
  <si>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</si>
  <si>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</si>
  <si>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</si>
  <si>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</si>
  <si>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</si>
  <si>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</si>
  <si>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</si>
  <si>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</si>
  <si>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</si>
  <si>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</si>
  <si>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</si>
  <si>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</si>
  <si>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</si>
  <si>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</si>
  <si>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</si>
  <si>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</si>
  <si>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</si>
  <si>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</si>
  <si>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</si>
  <si>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</si>
  <si>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</si>
  <si>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</si>
  <si>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</si>
  <si>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</si>
  <si>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</si>
  <si>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</si>
  <si>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</si>
  <si>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</si>
  <si>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</si>
  <si>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</si>
  <si>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</si>
  <si>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</si>
  <si>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</si>
  <si>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</si>
  <si>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</si>
  <si>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</si>
  <si>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</si>
  <si>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</si>
  <si>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</si>
  <si>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</si>
  <si>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</si>
  <si>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</si>
  <si>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</si>
  <si>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</si>
  <si>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</si>
  <si>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</si>
  <si>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</si>
  <si>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</si>
  <si>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</si>
  <si>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</si>
  <si>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</si>
  <si>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</si>
  <si>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</si>
  <si>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</si>
  <si>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</si>
  <si>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</si>
  <si>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</si>
  <si>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</si>
  <si>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</si>
  <si>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</si>
  <si>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</si>
  <si>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</si>
  <si>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</si>
  <si>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</si>
  <si>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</si>
  <si>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</si>
  <si>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</si>
  <si>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</si>
  <si>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</si>
  <si>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</si>
  <si>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</si>
  <si>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</si>
  <si>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</si>
  <si>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</si>
  <si>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</si>
  <si>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</si>
  <si>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</si>
  <si>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</si>
  <si>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</si>
  <si>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</si>
  <si>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</si>
  <si>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</si>
  <si>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</si>
  <si>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</si>
  <si>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</si>
  <si>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</si>
  <si>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</si>
  <si>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</si>
  <si>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</si>
  <si>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</si>
  <si>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</si>
  <si>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</si>
  <si>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</si>
  <si>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</si>
  <si>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</si>
  <si>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</si>
  <si>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</si>
  <si>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</si>
  <si>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</si>
  <si>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</si>
  <si>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</si>
  <si>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</si>
  <si>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</si>
  <si>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</si>
  <si>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</si>
  <si>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</si>
  <si>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</si>
  <si>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</si>
  <si>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</si>
  <si>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</si>
  <si>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</si>
  <si>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</si>
  <si>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</si>
  <si>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</si>
  <si>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</si>
  <si>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</si>
  <si>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</si>
  <si>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</si>
  <si>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</si>
  <si>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</si>
  <si>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</si>
  <si>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</si>
  <si>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</si>
  <si>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</si>
  <si>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</si>
  <si>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</si>
  <si>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</si>
  <si>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</si>
  <si>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</si>
  <si>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</si>
  <si>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</si>
  <si>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</si>
  <si>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</si>
  <si>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</si>
  <si>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</si>
  <si>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</si>
  <si>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</si>
  <si>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</si>
  <si>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</si>
  <si>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</si>
  <si>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</si>
  <si>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</si>
  <si>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</si>
  <si>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</si>
  <si>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</si>
  <si>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</si>
  <si>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</si>
  <si>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</si>
  <si>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</si>
  <si>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</si>
  <si>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</si>
  <si>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</si>
  <si>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</si>
  <si>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</si>
  <si>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</si>
  <si>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</si>
  <si>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</si>
  <si>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</si>
  <si>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</si>
  <si>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</si>
  <si>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</si>
  <si>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</si>
  <si>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</si>
  <si>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</si>
  <si>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</si>
  <si>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</si>
  <si>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</si>
  <si>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</si>
  <si>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</si>
  <si>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</si>
  <si>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</si>
  <si>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</si>
  <si>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</si>
  <si>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</si>
  <si>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</si>
  <si>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</si>
  <si>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</si>
  <si>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</si>
  <si>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</si>
  <si>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</si>
  <si>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</si>
  <si>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</si>
  <si>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</si>
  <si>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</si>
  <si>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</si>
  <si>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</si>
  <si>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</si>
  <si>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</si>
  <si>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</si>
  <si>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</si>
  <si>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</si>
  <si>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</si>
  <si>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</si>
  <si>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</si>
  <si>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</si>
  <si>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</si>
  <si>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</si>
  <si>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</si>
  <si>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</si>
  <si>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</si>
  <si>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</si>
  <si>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</si>
  <si>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</si>
  <si>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</si>
  <si>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</si>
  <si>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</si>
  <si>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</si>
  <si>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</si>
  <si>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</si>
  <si>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</si>
  <si>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</si>
  <si>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</si>
  <si>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</si>
  <si>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</si>
  <si>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</si>
  <si>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</si>
  <si>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</si>
  <si>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</si>
  <si>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</si>
  <si>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</si>
  <si>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</si>
  <si>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</si>
  <si>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</si>
  <si>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</si>
  <si>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</si>
  <si>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</si>
  <si>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</si>
  <si>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</si>
  <si>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</si>
  <si>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</si>
  <si>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</si>
  <si>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</si>
  <si>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</si>
  <si>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</si>
  <si>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</si>
  <si>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</si>
  <si>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</si>
  <si>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</si>
  <si>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</si>
  <si>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</si>
  <si>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</si>
  <si>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</si>
  <si>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</si>
  <si>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</si>
  <si>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</si>
  <si>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</si>
  <si>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</si>
  <si>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</si>
  <si>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</si>
  <si>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</si>
  <si>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</si>
  <si>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</si>
  <si>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</si>
  <si>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</si>
  <si>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</si>
  <si>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</si>
  <si>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</si>
  <si>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</si>
  <si>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</si>
  <si>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</si>
  <si>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</si>
  <si>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</si>
  <si>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</si>
  <si>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</si>
  <si>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</si>
  <si>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</si>
  <si>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</si>
  <si>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</si>
  <si>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</si>
  <si>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</si>
  <si>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</si>
  <si>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</si>
  <si>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</si>
  <si>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</si>
  <si>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</si>
  <si>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</si>
  <si>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</si>
  <si>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</si>
  <si>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</si>
  <si>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</si>
  <si>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</si>
  <si>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</si>
  <si>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</si>
  <si>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</si>
  <si>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</si>
  <si>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</si>
  <si>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</si>
  <si>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</si>
  <si>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</si>
  <si>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</si>
  <si>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</si>
  <si>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</si>
  <si>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</si>
  <si>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</si>
  <si>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</si>
  <si>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</si>
  <si>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</si>
  <si>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</si>
  <si>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</si>
  <si>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</si>
  <si>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</si>
  <si>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</si>
  <si>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</si>
  <si>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</si>
  <si>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</si>
  <si>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</si>
  <si>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</si>
  <si>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</si>
  <si>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</si>
  <si>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</si>
  <si>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</si>
  <si>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</si>
  <si>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</si>
  <si>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</si>
  <si>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</si>
  <si>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</si>
  <si>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</si>
  <si>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</si>
  <si>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</si>
  <si>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</si>
  <si>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</si>
  <si>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</si>
  <si>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</si>
  <si>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</si>
  <si>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</si>
  <si>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</si>
  <si>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</si>
  <si>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</si>
  <si>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</si>
  <si>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</si>
  <si>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</si>
  <si>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</si>
  <si>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</si>
  <si>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</si>
  <si>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</si>
  <si>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</si>
  <si>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</si>
  <si>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</si>
  <si>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</si>
  <si>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</si>
  <si>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</si>
  <si>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</si>
  <si>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</si>
  <si>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</si>
  <si>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</si>
  <si>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</si>
  <si>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</si>
  <si>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</si>
  <si>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</si>
  <si>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</si>
  <si>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</si>
  <si>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</si>
  <si>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</si>
  <si>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</si>
  <si>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</si>
  <si>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</si>
  <si>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</si>
  <si>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</si>
  <si>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</si>
  <si>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</si>
  <si>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</si>
  <si>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</si>
  <si>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</si>
  <si>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</si>
  <si>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</si>
  <si>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</si>
  <si>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</si>
  <si>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</si>
  <si>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</si>
  <si>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</si>
  <si>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</si>
  <si>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</si>
  <si>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</si>
  <si>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</si>
  <si>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</si>
  <si>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</si>
  <si>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</si>
  <si>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</si>
  <si>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</si>
  <si>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</si>
  <si>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</si>
  <si>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</si>
  <si>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</si>
  <si>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</si>
  <si>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</si>
  <si>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</si>
  <si>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</si>
  <si>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</si>
  <si>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</si>
  <si>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</si>
  <si>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</si>
  <si>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</si>
  <si>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</si>
  <si>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</si>
  <si>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</si>
  <si>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</si>
  <si>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</si>
  <si>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</si>
  <si>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</si>
  <si>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</si>
  <si>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</si>
  <si>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</si>
  <si>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</si>
  <si>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</si>
  <si>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</si>
  <si>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</si>
  <si>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</si>
  <si>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</si>
  <si>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</si>
  <si>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</si>
  <si>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</si>
  <si>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</si>
  <si>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</si>
  <si>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</si>
  <si>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</si>
  <si>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</si>
  <si>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</si>
  <si>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</si>
  <si>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</si>
  <si>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</si>
  <si>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</si>
  <si>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</si>
  <si>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</si>
  <si>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</si>
  <si>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</si>
  <si>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</si>
  <si>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</si>
  <si>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</si>
  <si>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</si>
  <si>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</si>
  <si>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</si>
  <si>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</si>
  <si>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</si>
  <si>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</si>
  <si>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</si>
  <si>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</si>
  <si>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</si>
  <si>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</si>
  <si>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</si>
  <si>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</si>
  <si>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</si>
  <si>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</si>
  <si>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</si>
  <si>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</si>
  <si>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</si>
  <si>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</si>
  <si>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</si>
  <si>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</si>
  <si>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</si>
  <si>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</si>
  <si>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</si>
  <si>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</si>
  <si>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</si>
  <si>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</si>
  <si>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</si>
  <si>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</si>
  <si>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</si>
  <si>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</si>
  <si>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</si>
  <si>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</si>
  <si>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</si>
  <si>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</si>
  <si>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</si>
  <si>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</si>
  <si>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</si>
  <si>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</si>
  <si>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</si>
  <si>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</si>
  <si>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</si>
  <si>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</si>
  <si>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</si>
  <si>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</si>
  <si>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</si>
  <si>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</si>
  <si>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</si>
  <si>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</si>
  <si>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</si>
  <si>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</si>
  <si>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</si>
  <si>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</si>
  <si>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</si>
  <si>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</si>
  <si>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</si>
  <si>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</si>
  <si>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</si>
  <si>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</si>
  <si>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</si>
  <si>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</si>
  <si>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</si>
  <si>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</si>
  <si>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</si>
  <si>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</si>
  <si>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</si>
  <si>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</si>
  <si>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</si>
  <si>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</si>
  <si>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</si>
  <si>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</si>
  <si>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</si>
  <si>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</si>
  <si>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</si>
  <si>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</si>
  <si>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</si>
  <si>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</si>
  <si>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</si>
  <si>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</si>
  <si>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</si>
  <si>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</si>
  <si>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</si>
  <si>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</si>
  <si>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</si>
  <si>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</si>
  <si>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</si>
  <si>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</si>
  <si>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</si>
  <si>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</si>
  <si>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</si>
  <si>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</si>
  <si>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</si>
  <si>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</si>
  <si>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</si>
  <si>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</si>
  <si>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</si>
  <si>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</si>
  <si>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</si>
  <si>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</si>
  <si>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</si>
  <si>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</si>
  <si>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</si>
  <si>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</si>
  <si>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</si>
  <si>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</si>
  <si>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</si>
  <si>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</si>
  <si>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</si>
  <si>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</si>
  <si>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</si>
  <si>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</si>
  <si>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</si>
  <si>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</si>
  <si>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</si>
  <si>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</si>
  <si>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</si>
  <si>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</si>
  <si>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</si>
  <si>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</si>
  <si>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</si>
  <si>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</si>
  <si>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</si>
  <si>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</si>
  <si>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</si>
  <si>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</si>
  <si>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</si>
  <si>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</si>
  <si>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</si>
  <si>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</si>
  <si>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</si>
  <si>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</si>
  <si>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</si>
  <si>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</si>
  <si>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</si>
  <si>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</si>
  <si>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</si>
  <si>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</si>
  <si>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</si>
  <si>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</si>
  <si>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</si>
  <si>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</si>
  <si>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</si>
  <si>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</si>
  <si>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</si>
  <si>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</si>
  <si>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</si>
  <si>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</si>
  <si>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</si>
  <si>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</si>
  <si>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</si>
  <si>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</si>
  <si>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</si>
  <si>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</si>
  <si>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</si>
  <si>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</si>
  <si>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</si>
  <si>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</si>
  <si>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</si>
  <si>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</si>
  <si>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</si>
  <si>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</si>
  <si>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</si>
  <si>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</si>
  <si>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</si>
  <si>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</si>
  <si>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</si>
  <si>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</si>
  <si>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</si>
  <si>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</si>
  <si>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</si>
  <si>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</si>
  <si>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</si>
  <si>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</si>
  <si>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</si>
  <si>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</si>
  <si>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</si>
  <si>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</si>
  <si>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</si>
  <si>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</si>
  <si>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</si>
  <si>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</si>
  <si>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</si>
  <si>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</si>
  <si>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</si>
  <si>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</si>
  <si>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</si>
  <si>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</si>
  <si>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</si>
  <si>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</si>
  <si>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</si>
  <si>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</si>
  <si>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</si>
  <si>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</si>
  <si>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</si>
  <si>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</si>
  <si>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</si>
  <si>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</si>
  <si>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</si>
  <si>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</si>
  <si>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</si>
  <si>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</si>
  <si>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</si>
  <si>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</si>
  <si>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</si>
  <si>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</si>
  <si>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</si>
  <si>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</si>
  <si>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</si>
  <si>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</si>
  <si>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</si>
  <si>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</si>
  <si>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</si>
  <si>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</si>
  <si>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</si>
  <si>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</si>
  <si>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</si>
  <si>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</si>
  <si>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</si>
  <si>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</si>
  <si>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</si>
  <si>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</si>
  <si>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</si>
  <si>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</si>
  <si>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</si>
  <si>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</si>
  <si>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</si>
  <si>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</si>
  <si>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</si>
  <si>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</si>
  <si>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</si>
  <si>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</si>
  <si>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</si>
  <si>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</si>
  <si>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</si>
  <si>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</si>
  <si>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</si>
  <si>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</si>
  <si>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</si>
  <si>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</si>
  <si>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</si>
  <si>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</si>
  <si>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</si>
  <si>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</si>
  <si>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</si>
  <si>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</si>
  <si>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</si>
  <si>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</si>
  <si>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</si>
  <si>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</si>
  <si>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</si>
  <si>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</si>
  <si>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</si>
  <si>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</si>
  <si>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</si>
  <si>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</si>
  <si>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</si>
  <si>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</si>
  <si>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</si>
  <si>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</si>
  <si>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</si>
  <si>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</si>
  <si>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</si>
  <si>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</si>
  <si>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</si>
  <si>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</si>
  <si>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</si>
  <si>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</si>
  <si>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</si>
  <si>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</si>
  <si>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</si>
  <si>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</si>
  <si>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</si>
  <si>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</si>
  <si>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</si>
  <si>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</si>
  <si>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</si>
  <si>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</si>
  <si>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</si>
  <si>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</si>
  <si>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</si>
  <si>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</si>
  <si>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</si>
  <si>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</si>
  <si>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</si>
  <si>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</si>
  <si>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</si>
  <si>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</si>
  <si>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</si>
  <si>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</si>
  <si>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</si>
  <si>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</si>
  <si>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</si>
  <si>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</si>
  <si>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</si>
  <si>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</si>
  <si>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</si>
  <si>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</si>
  <si>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</si>
  <si>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</si>
  <si>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</si>
  <si>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</si>
  <si>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</si>
  <si>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</si>
  <si>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</si>
  <si>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</si>
  <si>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</si>
  <si>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</si>
  <si>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</si>
  <si>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</si>
  <si>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</si>
  <si>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</si>
  <si>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</si>
  <si>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</si>
  <si>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</si>
  <si>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</si>
  <si>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</si>
  <si>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</si>
  <si>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</si>
  <si>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</si>
  <si>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</si>
  <si>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</si>
  <si>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</si>
  <si>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</si>
  <si>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</si>
  <si>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</si>
  <si>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</si>
  <si>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</si>
  <si>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</si>
  <si>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</si>
  <si>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</si>
  <si>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</si>
  <si>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</si>
  <si>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</si>
  <si>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</si>
  <si>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</si>
  <si>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</si>
  <si>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</si>
  <si>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</si>
  <si>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</si>
  <si>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</si>
  <si>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</si>
  <si>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</si>
  <si>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</si>
  <si>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</si>
  <si>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</si>
  <si>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</si>
  <si>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</si>
  <si>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</si>
  <si>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</si>
  <si>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</si>
  <si>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</si>
  <si>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</si>
  <si>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</si>
  <si>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</si>
  <si>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</si>
  <si>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</si>
  <si>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</si>
  <si>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</si>
  <si>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</si>
  <si>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</si>
  <si>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</si>
  <si>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</si>
  <si>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</si>
  <si>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</si>
  <si>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</si>
  <si>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</si>
  <si>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</si>
  <si>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</si>
  <si>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</si>
  <si>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</si>
  <si>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</si>
  <si>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</si>
  <si>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</si>
  <si>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</si>
  <si>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</si>
  <si>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</si>
  <si>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</si>
  <si>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</si>
  <si>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</si>
  <si>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</si>
  <si>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</si>
  <si>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</si>
  <si>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</si>
  <si>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</si>
  <si>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</si>
  <si>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</si>
  <si>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</si>
  <si>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</si>
  <si>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</si>
  <si>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</si>
  <si>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</si>
  <si>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</si>
  <si>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</si>
  <si>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</si>
  <si>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</si>
  <si>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</si>
  <si>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</si>
  <si>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</si>
  <si>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</si>
  <si>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</si>
  <si>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</si>
  <si>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</si>
  <si>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</si>
  <si>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</si>
  <si>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</si>
  <si>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</si>
  <si>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</si>
  <si>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</si>
  <si>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</si>
  <si>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</si>
  <si>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</si>
  <si>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</si>
  <si>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</si>
  <si>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</si>
  <si>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</si>
  <si>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</si>
  <si>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</si>
  <si>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</si>
  <si>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</si>
  <si>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</si>
  <si>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</si>
  <si>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</si>
  <si>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</si>
  <si>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</si>
  <si>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</si>
  <si>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</si>
  <si>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</si>
  <si>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</si>
  <si>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</si>
  <si>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</si>
  <si>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</si>
  <si>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</si>
  <si>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</si>
  <si>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</si>
  <si>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</si>
  <si>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</si>
  <si>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</si>
  <si>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</si>
  <si>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</si>
  <si>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</si>
  <si>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</si>
  <si>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</si>
  <si>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</si>
  <si>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</si>
  <si>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</si>
  <si>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</si>
  <si>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</si>
  <si>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</si>
  <si>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</si>
  <si>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</si>
  <si>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</si>
  <si>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</si>
  <si>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</si>
  <si>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</si>
  <si>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</si>
  <si>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</si>
  <si>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</si>
  <si>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</si>
  <si>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</si>
  <si>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</si>
  <si>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</si>
  <si>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</si>
  <si>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</si>
  <si>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</si>
  <si>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</si>
  <si>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</si>
  <si>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</si>
  <si>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</si>
  <si>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</si>
  <si>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</si>
  <si>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</si>
  <si>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</si>
  <si>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</si>
  <si>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</si>
  <si>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</si>
  <si>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</si>
  <si>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</si>
  <si>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</si>
  <si>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</si>
  <si>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</si>
  <si>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</si>
  <si>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</si>
  <si>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</si>
  <si>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</si>
  <si>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</si>
  <si>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</si>
  <si>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</si>
  <si>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</si>
  <si>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</si>
  <si>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</si>
  <si>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</si>
  <si>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</si>
  <si>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</si>
  <si>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</si>
  <si>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</si>
  <si>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</si>
  <si>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</si>
  <si>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</si>
  <si>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</si>
  <si>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</si>
  <si>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</si>
  <si>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</si>
  <si>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</si>
  <si>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</si>
  <si>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</si>
  <si>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</si>
  <si>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</si>
  <si>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</si>
  <si>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</si>
  <si>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</si>
  <si>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</si>
  <si>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</si>
  <si>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</si>
  <si>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</si>
  <si>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</si>
  <si>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</si>
  <si>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</si>
  <si>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</si>
  <si>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</si>
  <si>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</si>
  <si>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</si>
  <si>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</si>
  <si>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</si>
  <si>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</si>
  <si>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</si>
  <si>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</si>
  <si>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</si>
  <si>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</si>
  <si>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</si>
  <si>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</si>
  <si>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</si>
  <si>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</si>
  <si>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</si>
  <si>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</si>
  <si>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</si>
  <si>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</si>
  <si>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</si>
  <si>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</si>
  <si>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</si>
  <si>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</si>
  <si>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</si>
  <si>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</si>
  <si>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</si>
  <si>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</si>
  <si>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</si>
  <si>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</si>
  <si>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</si>
  <si>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</si>
  <si>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</si>
  <si>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</si>
  <si>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</si>
  <si>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</si>
  <si>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</si>
  <si>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</si>
  <si>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</si>
  <si>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</si>
  <si>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</si>
  <si>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</si>
  <si>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</si>
  <si>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</si>
  <si>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</si>
  <si>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</si>
  <si>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</si>
  <si>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</si>
  <si>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</si>
  <si>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</si>
  <si>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</si>
  <si>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</si>
  <si>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</si>
  <si>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</si>
  <si>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</si>
  <si>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</si>
  <si>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</si>
  <si>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</si>
  <si>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</si>
  <si>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</si>
  <si>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</si>
  <si>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</si>
  <si>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</si>
  <si>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</si>
  <si>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</si>
  <si>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</si>
  <si>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</si>
  <si>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</si>
  <si>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</si>
  <si>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</si>
  <si>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</si>
  <si>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</si>
  <si>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</si>
  <si>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</si>
  <si>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</si>
  <si>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</si>
  <si>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</si>
  <si>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</si>
  <si>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</si>
  <si>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</si>
  <si>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</si>
  <si>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</si>
  <si>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</si>
  <si>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</si>
  <si>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</si>
  <si>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</si>
  <si>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</si>
  <si>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</si>
  <si>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</si>
  <si>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</si>
  <si>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</si>
  <si>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</si>
  <si>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</si>
  <si>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</si>
  <si>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</si>
  <si>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</si>
  <si>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</si>
  <si>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</si>
  <si>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</si>
  <si>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</si>
  <si>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</si>
  <si>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</si>
  <si>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</si>
  <si>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</si>
  <si>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</si>
  <si>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</si>
  <si>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</si>
  <si>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</si>
  <si>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</si>
  <si>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</si>
  <si>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</si>
  <si>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</si>
  <si>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</si>
  <si>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</si>
  <si>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</si>
  <si>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</si>
  <si>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</si>
  <si>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</si>
  <si>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</si>
  <si>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</si>
  <si>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</si>
  <si>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</si>
  <si>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</si>
  <si>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</si>
  <si>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</si>
  <si>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</si>
  <si>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</si>
  <si>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</si>
  <si>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</si>
  <si>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</si>
  <si>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</si>
  <si>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</si>
  <si>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</si>
  <si>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</si>
  <si>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</si>
  <si>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</si>
  <si>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</si>
  <si>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</si>
  <si>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</si>
  <si>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</si>
  <si>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</si>
  <si>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</si>
  <si>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</si>
  <si>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</si>
  <si>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</si>
  <si>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</si>
  <si>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</si>
  <si>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</si>
  <si>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</si>
  <si>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</si>
  <si>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</si>
  <si>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</si>
  <si>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</si>
  <si>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</si>
  <si>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</si>
  <si>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</si>
  <si>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</si>
  <si>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</si>
  <si>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</si>
  <si>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</si>
  <si>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</si>
  <si>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</si>
  <si>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</si>
  <si>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</si>
  <si>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</si>
  <si>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</si>
  <si>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</si>
  <si>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</si>
  <si>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</si>
  <si>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</si>
  <si>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</si>
  <si>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</si>
  <si>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</si>
  <si>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</si>
  <si>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</si>
  <si>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</si>
  <si>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</si>
  <si>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</si>
  <si>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</si>
  <si>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</si>
  <si>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</si>
  <si>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</si>
  <si>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</si>
  <si>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</si>
  <si>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</si>
  <si>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</si>
  <si>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</si>
  <si>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</si>
  <si>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</si>
  <si>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</si>
  <si>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</si>
  <si>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</si>
  <si>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</si>
  <si>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</si>
  <si>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</si>
  <si>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</si>
  <si>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</si>
  <si>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</si>
  <si>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</si>
  <si>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</si>
  <si>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</si>
  <si>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</si>
  <si>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</si>
  <si>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</si>
  <si>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</si>
  <si>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</si>
  <si>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</si>
  <si>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</si>
  <si>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</si>
  <si>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</si>
  <si>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</si>
  <si>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</si>
  <si>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</si>
  <si>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</si>
  <si>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</si>
  <si>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</si>
  <si>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</si>
  <si>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</si>
  <si>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</si>
  <si>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</si>
  <si>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</si>
  <si>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</si>
  <si>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</si>
  <si>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</si>
  <si>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</si>
  <si>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</si>
  <si>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</si>
  <si>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</si>
  <si>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</si>
  <si>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</si>
  <si>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</si>
  <si>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</si>
  <si>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</si>
  <si>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</si>
  <si>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</si>
  <si>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</si>
  <si>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</si>
  <si>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</si>
  <si>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</si>
  <si>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</si>
  <si>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</si>
  <si>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</si>
  <si>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</si>
  <si>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</si>
  <si>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</si>
  <si>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</si>
  <si>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</si>
  <si>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</si>
  <si>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</si>
  <si>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</si>
  <si>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</si>
  <si>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</si>
  <si>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</si>
  <si>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</si>
  <si>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</si>
  <si>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</si>
  <si>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</si>
  <si>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</si>
  <si>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</si>
  <si>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</si>
  <si>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</si>
  <si>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</si>
  <si>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</si>
  <si>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</si>
  <si>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</si>
  <si>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</si>
  <si>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</si>
  <si>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</si>
  <si>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</si>
  <si>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</si>
  <si>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</si>
  <si>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</si>
  <si>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</si>
  <si>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</si>
  <si>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</si>
  <si>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</si>
  <si>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</si>
  <si>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</si>
  <si>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</si>
  <si>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</si>
  <si>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</si>
  <si>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</si>
  <si>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</si>
  <si>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</si>
  <si>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</si>
  <si>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</si>
  <si>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</si>
  <si>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</si>
  <si>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</si>
  <si>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</si>
  <si>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</si>
  <si>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</si>
  <si>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</si>
  <si>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</si>
  <si>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</si>
  <si>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</si>
  <si>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</si>
  <si>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</si>
  <si>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</si>
  <si>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</si>
  <si>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</si>
  <si>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</si>
  <si>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</si>
  <si>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</si>
  <si>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</si>
  <si>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</si>
  <si>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</si>
  <si>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</si>
  <si>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</si>
  <si>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</si>
  <si>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</si>
  <si>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</si>
  <si>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</si>
  <si>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</si>
  <si>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</si>
  <si>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</si>
  <si>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</si>
  <si>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</si>
  <si>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</si>
  <si>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</si>
  <si>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</si>
  <si>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</si>
  <si>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</si>
  <si>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</si>
  <si>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</si>
  <si>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</si>
  <si>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</si>
  <si>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</si>
  <si>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</si>
  <si>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</si>
  <si>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</si>
  <si>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</si>
  <si>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</si>
  <si>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</si>
  <si>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</si>
  <si>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</si>
  <si>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</si>
  <si>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</si>
  <si>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</si>
  <si>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</si>
  <si>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</si>
  <si>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</si>
  <si>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</si>
  <si>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</si>
  <si>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</si>
  <si>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</si>
  <si>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</si>
  <si>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</si>
  <si>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</si>
  <si>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</si>
  <si>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</si>
  <si>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</si>
  <si>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</si>
  <si>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</si>
  <si>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</si>
  <si>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</si>
  <si>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</si>
  <si>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</si>
  <si>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</si>
  <si>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</si>
  <si>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</si>
  <si>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</si>
  <si>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</si>
  <si>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</si>
  <si>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</si>
  <si>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</si>
  <si>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</si>
  <si>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</si>
  <si>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</si>
  <si>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</si>
  <si>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</si>
  <si>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</si>
  <si>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</si>
  <si>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</si>
  <si>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</si>
  <si>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</si>
  <si>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</si>
  <si>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</si>
  <si>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</si>
  <si>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</si>
  <si>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</si>
  <si>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</si>
  <si>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</si>
  <si>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</si>
  <si>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</si>
  <si>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</si>
  <si>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</si>
  <si>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</si>
  <si>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</si>
  <si>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</si>
  <si>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</si>
  <si>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</si>
  <si>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</si>
  <si>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</si>
  <si>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</si>
  <si>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</si>
  <si>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</si>
  <si>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</si>
  <si>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</si>
  <si>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</si>
  <si>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</si>
  <si>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</si>
  <si>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</si>
  <si>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</si>
  <si>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</si>
  <si>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</si>
  <si>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</si>
  <si>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</si>
  <si>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</si>
  <si>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</si>
  <si>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</si>
  <si>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</si>
  <si>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</si>
  <si>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</si>
  <si>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</si>
  <si>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</si>
  <si>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</si>
  <si>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</si>
  <si>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</si>
  <si>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</si>
  <si>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</si>
  <si>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</si>
  <si>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</si>
  <si>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</si>
  <si>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</si>
  <si>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</si>
  <si>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</si>
  <si>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</si>
  <si>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</si>
  <si>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</si>
  <si>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</si>
  <si>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</si>
  <si>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</si>
  <si>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</si>
  <si>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</si>
  <si>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</si>
  <si>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</si>
  <si>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</si>
  <si>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</si>
  <si>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</si>
  <si>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</si>
  <si>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</si>
  <si>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</si>
  <si>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</si>
  <si>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</si>
  <si>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</si>
  <si>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</si>
  <si>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</si>
  <si>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</si>
  <si>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</si>
  <si>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</si>
  <si>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</si>
  <si>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</si>
  <si>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</si>
  <si>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</si>
  <si>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</si>
  <si>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</si>
  <si>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</si>
  <si>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</si>
  <si>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</si>
  <si>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</si>
  <si>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</si>
  <si>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</si>
  <si>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</si>
  <si>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</si>
  <si>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</si>
  <si>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</si>
  <si>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</si>
  <si>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</si>
  <si>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</si>
  <si>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</si>
  <si>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</si>
  <si>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</si>
  <si>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</si>
  <si>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</si>
  <si>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</si>
  <si>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</si>
  <si>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</si>
  <si>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</si>
  <si>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</si>
  <si>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</si>
  <si>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</si>
  <si>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</si>
  <si>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</si>
  <si>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</si>
  <si>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</si>
  <si>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</si>
  <si>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</si>
  <si>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</si>
  <si>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</si>
  <si>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</si>
  <si>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</si>
  <si>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</si>
  <si>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</si>
  <si>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</si>
  <si>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</si>
  <si>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</si>
  <si>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</si>
  <si>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</si>
  <si>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</si>
  <si>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</si>
  <si>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</si>
  <si>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</si>
  <si>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</si>
  <si>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</si>
  <si>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</si>
  <si>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</si>
  <si>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</si>
  <si>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</si>
  <si>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</si>
  <si>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</si>
  <si>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</si>
  <si>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</si>
  <si>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</si>
  <si>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</si>
  <si>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</si>
  <si>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</si>
  <si>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</si>
  <si>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</si>
  <si>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</si>
  <si>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</si>
  <si>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</si>
  <si>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</si>
  <si>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</si>
  <si>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</si>
  <si>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</si>
  <si>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</si>
  <si>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</si>
  <si>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</si>
  <si>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</si>
  <si>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</si>
  <si>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</si>
  <si>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</si>
  <si>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</si>
  <si>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</si>
  <si>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</si>
  <si>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</si>
  <si>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</si>
  <si>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</si>
  <si>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</si>
  <si>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</si>
  <si>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</si>
  <si>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</si>
  <si>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</si>
  <si>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</si>
  <si>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</si>
  <si>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</si>
  <si>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</si>
  <si>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</si>
  <si>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</si>
  <si>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</si>
  <si>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</si>
  <si>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</si>
  <si>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</si>
  <si>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</si>
  <si>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</si>
  <si>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</si>
  <si>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</si>
  <si>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</si>
  <si>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</si>
  <si>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</si>
  <si>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</si>
  <si>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</si>
  <si>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</si>
  <si>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</si>
  <si>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</si>
  <si>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</si>
  <si>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</si>
  <si>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</si>
  <si>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</si>
  <si>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</si>
  <si>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</si>
  <si>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</si>
  <si>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</si>
  <si>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</si>
  <si>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</si>
  <si>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</si>
  <si>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</si>
  <si>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</si>
  <si>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</si>
  <si>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</si>
  <si>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</si>
  <si>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</si>
  <si>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</si>
  <si>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</si>
  <si>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</si>
  <si>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</si>
  <si>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</si>
  <si>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</si>
  <si>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</si>
  <si>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</si>
  <si>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</si>
  <si>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</si>
  <si>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</si>
  <si>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</si>
  <si>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</si>
  <si>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</si>
  <si>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</si>
  <si>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</si>
  <si>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</si>
  <si>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</si>
  <si>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</si>
  <si>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</si>
  <si>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</si>
  <si>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</si>
  <si>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</si>
  <si>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</si>
  <si>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</si>
  <si>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</si>
  <si>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</si>
  <si>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</si>
  <si>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</si>
  <si>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</si>
  <si>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</si>
  <si>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</si>
  <si>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</si>
  <si>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</si>
  <si>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</si>
  <si>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</si>
  <si>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</si>
  <si>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</si>
  <si>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</si>
  <si>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</si>
  <si>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</si>
  <si>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</si>
  <si>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</si>
  <si>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</si>
  <si>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</si>
  <si>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</si>
  <si>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</si>
  <si>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</si>
  <si>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</si>
  <si>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</si>
  <si>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</si>
  <si>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</si>
  <si>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</si>
  <si>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</si>
  <si>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</si>
  <si>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</si>
  <si>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</si>
  <si>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</si>
  <si>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</si>
  <si>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</si>
  <si>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</si>
  <si>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</si>
  <si>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</si>
  <si>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</si>
  <si>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</si>
  <si>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</si>
  <si>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</si>
  <si>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</si>
  <si>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</si>
  <si>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</si>
  <si>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</si>
  <si>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</si>
  <si>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</si>
  <si>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</si>
  <si>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</si>
  <si>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</si>
  <si>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</si>
  <si>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</si>
  <si>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</si>
  <si>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</si>
  <si>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</si>
  <si>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</si>
  <si>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</si>
  <si>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</si>
  <si>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</si>
  <si>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</si>
  <si>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</si>
  <si>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</si>
  <si>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</si>
  <si>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</si>
  <si>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</si>
  <si>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</si>
  <si>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</si>
  <si>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</si>
  <si>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</si>
  <si>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</si>
  <si>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</si>
  <si>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</si>
  <si>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</si>
  <si>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</si>
  <si>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</si>
  <si>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</si>
  <si>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</si>
  <si>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</si>
  <si>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</si>
  <si>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</si>
  <si>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</si>
  <si>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</si>
  <si>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</si>
  <si>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</si>
  <si>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</si>
  <si>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</si>
  <si>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</si>
  <si>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</si>
  <si>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</si>
  <si>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</si>
  <si>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</si>
  <si>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</si>
  <si>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</si>
  <si>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</si>
  <si>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</si>
  <si>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</si>
  <si>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</si>
  <si>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</si>
  <si>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</si>
  <si>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</si>
  <si>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</si>
  <si>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</si>
  <si>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</si>
  <si>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</si>
  <si>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</si>
  <si>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</si>
  <si>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</si>
  <si>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</si>
  <si>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</si>
  <si>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</si>
  <si>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</si>
  <si>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</si>
  <si>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</si>
  <si>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</si>
  <si>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</si>
  <si>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</si>
  <si>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</si>
  <si>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</si>
  <si>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</si>
  <si>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</si>
  <si>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</si>
  <si>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</si>
  <si>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</si>
  <si>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</si>
  <si>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</si>
  <si>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</si>
  <si>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</si>
  <si>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</si>
  <si>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</si>
  <si>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</si>
  <si>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</si>
  <si>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</si>
  <si>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</si>
  <si>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</si>
  <si>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</si>
  <si>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</si>
  <si>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</si>
  <si>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</si>
  <si>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</si>
  <si>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</si>
  <si>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</si>
  <si>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</si>
  <si>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</si>
  <si>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</si>
  <si>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</si>
  <si>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</si>
  <si>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</si>
  <si>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</si>
  <si>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</si>
  <si>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</si>
  <si>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</si>
  <si>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</si>
  <si>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</si>
  <si>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</si>
  <si>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</si>
  <si>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</si>
  <si>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</si>
  <si>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</si>
  <si>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</si>
  <si>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</si>
  <si>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</si>
  <si>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</si>
  <si>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</si>
  <si>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</si>
  <si>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</si>
  <si>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</si>
  <si>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</si>
  <si>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</si>
  <si>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</si>
  <si>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</si>
  <si>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</si>
  <si>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</si>
  <si>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</si>
  <si>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</si>
  <si>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</si>
  <si>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</si>
  <si>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</si>
  <si>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</si>
  <si>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</si>
  <si>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</si>
  <si>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</si>
  <si>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</si>
  <si>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</si>
  <si>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</si>
  <si>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</si>
  <si>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</si>
  <si>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</si>
  <si>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</si>
  <si>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</si>
  <si>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</si>
  <si>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</si>
  <si>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</si>
  <si>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</si>
  <si>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</si>
  <si>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</si>
  <si>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</si>
  <si>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</si>
  <si>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</si>
  <si>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</si>
  <si>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</si>
  <si>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</si>
  <si>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</si>
  <si>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</si>
  <si>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</si>
  <si>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</si>
  <si>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</si>
  <si>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</si>
  <si>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</si>
  <si>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</si>
  <si>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</si>
  <si>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</si>
  <si>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</si>
  <si>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</si>
  <si>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</si>
  <si>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</si>
  <si>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</si>
  <si>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</si>
  <si>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</si>
  <si>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</si>
  <si>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</si>
  <si>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</si>
  <si>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</si>
  <si>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</si>
  <si>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</si>
  <si>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</si>
  <si>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</si>
  <si>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</si>
  <si>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</si>
  <si>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</si>
  <si>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</si>
  <si>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</si>
  <si>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</si>
  <si>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</si>
  <si>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</si>
  <si>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</si>
  <si>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</si>
  <si>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</si>
  <si>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</si>
  <si>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</si>
  <si>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</si>
  <si>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</si>
  <si>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</si>
  <si>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</si>
  <si>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</si>
  <si>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</si>
  <si>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</si>
  <si>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</si>
  <si>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</si>
  <si>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</si>
  <si>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</si>
  <si>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</si>
  <si>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</si>
  <si>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</si>
  <si>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</si>
  <si>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</si>
  <si>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</si>
  <si>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</si>
  <si>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</si>
  <si>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</si>
  <si>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</si>
  <si>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</si>
  <si>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</si>
  <si>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</si>
  <si>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</si>
  <si>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</si>
  <si>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</si>
  <si>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</si>
  <si>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</si>
  <si>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</si>
  <si>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</si>
  <si>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</si>
  <si>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</si>
  <si>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</si>
  <si>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</si>
  <si>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</si>
  <si>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</si>
  <si>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</si>
  <si>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</si>
  <si>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</si>
  <si>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</si>
  <si>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</si>
  <si>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</si>
  <si>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</si>
  <si>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</si>
  <si>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</si>
  <si>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</si>
  <si>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</si>
  <si>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</si>
  <si>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</si>
  <si>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</si>
  <si>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</si>
  <si>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</si>
  <si>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</si>
  <si>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</si>
  <si>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</si>
  <si>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</si>
  <si>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</si>
  <si>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</si>
  <si>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</si>
  <si>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</si>
  <si>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</si>
  <si>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</si>
  <si>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</si>
  <si>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</si>
  <si>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</si>
  <si>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</si>
  <si>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</si>
  <si>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</si>
  <si>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</si>
  <si>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</si>
  <si>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</si>
  <si>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</si>
  <si>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</si>
  <si>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</si>
  <si>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</si>
  <si>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</si>
  <si>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</si>
  <si>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</si>
  <si>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</si>
  <si>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</si>
  <si>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</si>
  <si>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</si>
  <si>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</si>
  <si>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</si>
  <si>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</si>
  <si>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</si>
  <si>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</si>
  <si>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</si>
  <si>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</si>
  <si>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</si>
  <si>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</si>
  <si>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</si>
  <si>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</si>
  <si>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</si>
  <si>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</si>
  <si>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</si>
  <si>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</si>
  <si>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</si>
  <si>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</si>
  <si>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</si>
  <si>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</si>
  <si>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</si>
  <si>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</si>
  <si>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</si>
  <si>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</si>
  <si>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</si>
  <si>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</si>
  <si>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</si>
  <si>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</si>
  <si>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</si>
  <si>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</si>
  <si>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</si>
  <si>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</si>
  <si>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</si>
  <si>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</si>
  <si>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</si>
  <si>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</si>
  <si>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</si>
  <si>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</si>
  <si>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</si>
  <si>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</si>
  <si>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</si>
  <si>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</si>
  <si>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</si>
  <si>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</si>
  <si>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</si>
  <si>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</si>
  <si>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</si>
  <si>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</si>
  <si>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</si>
  <si>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</si>
  <si>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</si>
  <si>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</si>
  <si>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</si>
  <si>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</si>
  <si>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</si>
  <si>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</si>
  <si>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</si>
  <si>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</si>
  <si>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</si>
  <si>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</si>
  <si>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</si>
  <si>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</si>
  <si>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</si>
  <si>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</si>
  <si>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</si>
  <si>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</si>
  <si>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</si>
  <si>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</si>
  <si>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</si>
  <si>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</si>
  <si>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</si>
  <si>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</si>
  <si>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</si>
  <si>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</si>
  <si>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</si>
  <si>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</si>
  <si>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</si>
  <si>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</si>
  <si>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</si>
  <si>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</si>
  <si>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</si>
  <si>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</si>
  <si>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</si>
  <si>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</si>
  <si>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</si>
  <si>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</si>
  <si>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</si>
  <si>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</si>
  <si>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</si>
  <si>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</si>
  <si>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</si>
  <si>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</si>
  <si>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</si>
  <si>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</si>
  <si>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</si>
  <si>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</si>
  <si>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</si>
  <si>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</si>
  <si>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</si>
  <si>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</si>
  <si>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</si>
  <si>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</si>
  <si>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</si>
  <si>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</si>
  <si>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</si>
  <si>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</si>
  <si>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</si>
  <si>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</si>
  <si>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</si>
  <si>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</si>
  <si>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</si>
  <si>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</si>
  <si>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</si>
  <si>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</si>
  <si>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</si>
  <si>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</si>
  <si>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</si>
  <si>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</si>
  <si>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</si>
  <si>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</si>
  <si>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</si>
  <si>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</si>
  <si>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</si>
  <si>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</si>
  <si>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</si>
  <si>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</si>
  <si>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</si>
  <si>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</si>
  <si>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</si>
  <si>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</si>
  <si>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</si>
  <si>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</si>
  <si>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</si>
  <si>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</si>
  <si>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</si>
  <si>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</si>
  <si>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</si>
  <si>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</si>
  <si>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</si>
  <si>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</si>
  <si>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</si>
  <si>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</si>
  <si>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</si>
  <si>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</si>
  <si>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</si>
  <si>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</si>
  <si>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</si>
  <si>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</si>
  <si>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</si>
  <si>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</si>
  <si>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</si>
  <si>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</si>
  <si>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</si>
  <si>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</si>
  <si>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</si>
  <si>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</si>
  <si>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</si>
  <si>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</si>
  <si>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</si>
  <si>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</si>
  <si>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</si>
  <si>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</si>
  <si>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</si>
  <si>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</si>
  <si>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</si>
  <si>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</si>
  <si>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</si>
  <si>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</si>
  <si>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</si>
  <si>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</si>
  <si>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</si>
  <si>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</si>
  <si>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</si>
  <si>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</si>
  <si>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</si>
  <si>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</si>
  <si>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</si>
  <si>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</si>
  <si>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</si>
  <si>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</si>
  <si>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</si>
  <si>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</si>
  <si>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</si>
  <si>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</si>
  <si>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</si>
  <si>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</si>
  <si>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</si>
  <si>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</si>
  <si>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</si>
  <si>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</si>
  <si>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</si>
  <si>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</si>
  <si>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</si>
  <si>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</si>
  <si>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</si>
  <si>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</si>
  <si>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</si>
  <si>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</si>
  <si>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</si>
  <si>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</si>
  <si>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</si>
  <si>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</si>
  <si>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</si>
  <si>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</si>
  <si>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</si>
  <si>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</si>
  <si>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</si>
  <si>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</si>
  <si>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</si>
  <si>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</si>
  <si>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</si>
  <si>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</si>
  <si>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</si>
  <si>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</si>
  <si>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</si>
  <si>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</si>
  <si>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</si>
  <si>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</si>
  <si>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</si>
  <si>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</si>
  <si>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</si>
  <si>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</si>
  <si>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</si>
  <si>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</si>
  <si>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</si>
  <si>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</si>
  <si>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</si>
  <si>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</si>
  <si>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</si>
  <si>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</si>
  <si>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</si>
  <si>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</si>
  <si>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</si>
  <si>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</si>
  <si>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</si>
  <si>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</si>
  <si>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</si>
  <si>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</si>
  <si>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</si>
  <si>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</si>
  <si>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</si>
  <si>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</si>
  <si>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</si>
  <si>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</si>
  <si>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</si>
  <si>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</si>
  <si>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</si>
  <si>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</si>
  <si>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</si>
  <si>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</si>
  <si>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</si>
  <si>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</si>
  <si>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</si>
  <si>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</si>
  <si>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</si>
  <si>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</si>
  <si>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</si>
  <si>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</si>
  <si>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</si>
  <si>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</si>
  <si>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</si>
  <si>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</si>
  <si>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</si>
  <si>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</si>
  <si>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</si>
  <si>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</si>
  <si>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</si>
  <si>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</si>
  <si>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</si>
  <si>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</si>
  <si>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</si>
  <si>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</si>
  <si>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</si>
  <si>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</si>
  <si>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</si>
  <si>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</si>
  <si>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</si>
  <si>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</si>
  <si>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</si>
  <si>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</si>
  <si>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</si>
  <si>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</si>
  <si>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</si>
  <si>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</si>
  <si>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</si>
  <si>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</si>
  <si>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</si>
  <si>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</si>
  <si>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</si>
  <si>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</si>
  <si>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</si>
  <si>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</si>
  <si>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</si>
  <si>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</si>
  <si>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</si>
  <si>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</si>
  <si>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</si>
  <si>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</si>
  <si>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</si>
  <si>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</si>
  <si>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</si>
  <si>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</si>
  <si>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</si>
  <si>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</si>
  <si>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</si>
  <si>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</si>
  <si>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</si>
  <si>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</si>
  <si>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</si>
  <si>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</si>
  <si>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</si>
  <si>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</si>
  <si>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</si>
  <si>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</si>
  <si>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</si>
  <si>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</si>
  <si>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</si>
  <si>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</si>
  <si>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</si>
  <si>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</si>
  <si>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</si>
  <si>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</si>
  <si>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</si>
  <si>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</si>
  <si>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</si>
  <si>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</si>
  <si>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</si>
  <si>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</si>
  <si>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</si>
  <si>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</si>
  <si>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</si>
  <si>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</si>
  <si>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</si>
  <si>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</si>
  <si>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</si>
  <si>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</si>
  <si>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</si>
  <si>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</si>
  <si>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</si>
  <si>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</si>
  <si>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</si>
  <si>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</si>
  <si>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</si>
  <si>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</si>
  <si>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</si>
  <si>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</si>
  <si>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</si>
  <si>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</si>
  <si>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</si>
  <si>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</si>
  <si>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</si>
  <si>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</si>
  <si>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</si>
  <si>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</si>
  <si>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</si>
  <si>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</si>
  <si>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</si>
  <si>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</si>
  <si>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</si>
  <si>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</si>
  <si>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</si>
  <si>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</si>
  <si>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</si>
  <si>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</si>
  <si>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</si>
  <si>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</si>
  <si>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</si>
  <si>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</si>
  <si>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</si>
  <si>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</si>
  <si>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</si>
  <si>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</si>
  <si>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</si>
  <si>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</si>
  <si>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</si>
  <si>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</si>
  <si>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</si>
  <si>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</si>
  <si>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</si>
  <si>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</si>
  <si>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</si>
  <si>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</si>
  <si>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</si>
  <si>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</si>
  <si>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</si>
  <si>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</si>
  <si>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</si>
  <si>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</si>
  <si>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</si>
  <si>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</si>
  <si>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</si>
  <si>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</si>
  <si>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</si>
  <si>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</si>
  <si>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</si>
  <si>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</si>
  <si>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</si>
  <si>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</si>
  <si>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</si>
  <si>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</si>
  <si>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</si>
  <si>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</si>
  <si>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</si>
  <si>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</si>
  <si>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</si>
  <si>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</si>
  <si>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</si>
  <si>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</si>
  <si>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</si>
  <si>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</si>
  <si>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</si>
  <si>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</si>
  <si>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</si>
  <si>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</si>
  <si>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</si>
  <si>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</si>
  <si>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</si>
  <si>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</si>
  <si>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</si>
  <si>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</si>
  <si>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</si>
  <si>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</si>
  <si>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</si>
  <si>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</si>
  <si>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</si>
  <si>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</si>
  <si>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</si>
  <si>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</si>
  <si>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</si>
  <si>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</si>
  <si>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</si>
  <si>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</si>
  <si>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</si>
  <si>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</si>
  <si>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</si>
  <si>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</si>
  <si>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</si>
  <si>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</si>
  <si>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</si>
  <si>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</si>
  <si>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</si>
  <si>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</si>
  <si>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</si>
  <si>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</si>
  <si>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</si>
  <si>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</si>
  <si>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</si>
  <si>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</si>
  <si>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</si>
  <si>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</si>
  <si>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</si>
  <si>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</si>
  <si>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</si>
  <si>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</si>
  <si>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</si>
  <si>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</si>
  <si>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</si>
  <si>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</si>
  <si>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</si>
  <si>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</si>
  <si>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</si>
  <si>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</si>
  <si>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</si>
  <si>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</si>
  <si>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</si>
  <si>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</si>
  <si>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</si>
  <si>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</si>
  <si>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</si>
  <si>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</si>
  <si>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</si>
  <si>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</si>
  <si>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</si>
  <si>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</si>
  <si>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</si>
  <si>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</si>
  <si>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</si>
  <si>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</si>
  <si>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</si>
  <si>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</si>
  <si>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</si>
  <si>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</si>
  <si>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</si>
  <si>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</si>
  <si>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</si>
  <si>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</si>
  <si>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</si>
  <si>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</si>
  <si>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</si>
  <si>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</si>
  <si>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</si>
  <si>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</si>
  <si>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</si>
  <si>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</si>
  <si>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</si>
  <si>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</si>
  <si>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</si>
  <si>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</si>
  <si>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</si>
  <si>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</si>
  <si>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</si>
  <si>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</si>
  <si>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</si>
  <si>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</si>
  <si>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</si>
  <si>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</si>
  <si>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</si>
  <si>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</si>
  <si>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</si>
  <si>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</si>
  <si>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</si>
  <si>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</si>
  <si>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</si>
  <si>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</si>
  <si>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</si>
  <si>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</si>
  <si>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</si>
  <si>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</si>
  <si>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</si>
  <si>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</si>
  <si>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</si>
  <si>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</si>
  <si>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</si>
  <si>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</si>
  <si>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</si>
  <si>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</si>
  <si>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</si>
  <si>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</si>
  <si>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</si>
  <si>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</si>
  <si>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</si>
  <si>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</si>
  <si>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</si>
  <si>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</si>
  <si>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</si>
  <si>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</si>
  <si>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</si>
  <si>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</si>
  <si>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</si>
  <si>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</si>
  <si>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</si>
  <si>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</si>
  <si>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</si>
  <si>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</si>
  <si>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</si>
  <si>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</si>
  <si>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</si>
  <si>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</si>
  <si>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</si>
  <si>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</si>
  <si>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</si>
  <si>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</si>
  <si>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</si>
  <si>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</si>
  <si>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</si>
  <si>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</si>
  <si>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</si>
  <si>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</si>
  <si>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</si>
  <si>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</si>
  <si>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</si>
  <si>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</si>
  <si>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</si>
  <si>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</si>
  <si>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</si>
  <si>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</si>
  <si>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</si>
  <si>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</si>
  <si>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</si>
  <si>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</si>
  <si>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</si>
  <si>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</si>
  <si>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</si>
  <si>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</si>
  <si>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</si>
  <si>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</si>
  <si>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</si>
  <si>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</si>
  <si>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</si>
  <si>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</si>
  <si>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</si>
  <si>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</si>
  <si>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</si>
  <si>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</si>
  <si>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</si>
  <si>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</si>
  <si>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</si>
  <si>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</si>
  <si>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</si>
  <si>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</si>
  <si>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</si>
  <si>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</si>
  <si>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</si>
  <si>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</si>
  <si>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</si>
  <si>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</si>
  <si>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</si>
  <si>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</si>
  <si>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</si>
  <si>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</si>
  <si>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</si>
  <si>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</si>
  <si>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</si>
  <si>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</si>
  <si>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</si>
  <si>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</si>
  <si>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</si>
  <si>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</si>
  <si>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</si>
  <si>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</si>
  <si>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</si>
  <si>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</si>
  <si>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</si>
  <si>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</si>
  <si>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</si>
  <si>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</si>
  <si>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</si>
  <si>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</si>
  <si>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</si>
  <si>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</si>
  <si>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</si>
  <si>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</si>
  <si>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</si>
  <si>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</si>
  <si>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</si>
  <si>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</si>
  <si>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</si>
  <si>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</si>
  <si>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</si>
  <si>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</si>
  <si>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</si>
  <si>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</si>
  <si>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</si>
  <si>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</si>
  <si>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</si>
  <si>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</si>
  <si>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</si>
  <si>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</si>
  <si>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</si>
  <si>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</si>
  <si>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</si>
  <si>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</si>
  <si>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</si>
  <si>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</si>
  <si>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</si>
  <si>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</si>
  <si>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</si>
  <si>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</si>
  <si>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</si>
  <si>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</si>
  <si>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</si>
  <si>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</si>
  <si>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</si>
  <si>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</si>
  <si>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</si>
  <si>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</si>
  <si>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</si>
  <si>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</si>
  <si>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</si>
  <si>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</si>
  <si>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</si>
  <si>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</si>
  <si>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</si>
  <si>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</si>
  <si>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</si>
  <si>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</si>
  <si>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</si>
  <si>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</si>
  <si>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</si>
  <si>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</si>
  <si>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</si>
  <si>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</si>
  <si>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</si>
  <si>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</si>
  <si>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</si>
  <si>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</si>
  <si>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</si>
  <si>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</si>
  <si>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</si>
  <si>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</si>
  <si>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</si>
  <si>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</si>
  <si>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</si>
  <si>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</si>
  <si>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</si>
  <si>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</si>
  <si>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</si>
  <si>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</si>
  <si>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</si>
  <si>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</si>
  <si>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</si>
  <si>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</si>
  <si>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</si>
  <si>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</si>
  <si>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</si>
  <si>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</si>
  <si>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</si>
  <si>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</si>
  <si>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</si>
  <si>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</si>
  <si>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</si>
  <si>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</si>
  <si>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</si>
  <si>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</si>
  <si>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</si>
  <si>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</si>
  <si>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</si>
  <si>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</si>
  <si>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</si>
  <si>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</si>
  <si>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</si>
  <si>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</si>
  <si>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</si>
  <si>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</si>
  <si>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</si>
  <si>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</si>
  <si>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</si>
  <si>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</si>
  <si>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</si>
  <si>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</si>
  <si>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</si>
  <si>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</si>
  <si>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</si>
  <si>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</si>
  <si>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</si>
  <si>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</si>
  <si>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</si>
  <si>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</si>
  <si>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</si>
  <si>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</si>
  <si>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</si>
  <si>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</si>
  <si>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</si>
  <si>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</si>
  <si>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</si>
  <si>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</si>
  <si>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</si>
  <si>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</si>
  <si>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</si>
  <si>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</si>
  <si>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</si>
  <si>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</si>
  <si>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</si>
  <si>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</si>
  <si>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</si>
  <si>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</si>
  <si>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</si>
  <si>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</si>
  <si>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</si>
  <si>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</si>
  <si>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</si>
  <si>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</si>
  <si>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</si>
  <si>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</si>
  <si>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</si>
  <si>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</si>
  <si>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</si>
  <si>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</si>
  <si>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</si>
  <si>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</si>
  <si>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</si>
  <si>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</si>
  <si>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</si>
  <si>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</si>
  <si>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</si>
  <si>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</si>
  <si>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</si>
  <si>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</si>
  <si>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</si>
  <si>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</si>
  <si>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</si>
  <si>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</si>
  <si>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</si>
  <si>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</si>
  <si>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</si>
  <si>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</si>
  <si>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</si>
  <si>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</si>
  <si>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</si>
  <si>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</si>
  <si>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</si>
  <si>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</si>
  <si>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</si>
  <si>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</si>
  <si>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</si>
  <si>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</si>
  <si>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</si>
  <si>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</si>
  <si>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</si>
  <si>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</si>
  <si>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</si>
  <si>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</si>
  <si>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</si>
  <si>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</si>
  <si>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</si>
  <si>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</si>
  <si>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</si>
  <si>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</si>
  <si>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</si>
  <si>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</si>
  <si>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</si>
  <si>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</si>
  <si>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</si>
  <si>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</si>
  <si>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</si>
  <si>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</si>
  <si>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</si>
  <si>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</si>
  <si>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</si>
  <si>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</si>
  <si>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</si>
  <si>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</si>
  <si>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</si>
  <si>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</si>
  <si>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</si>
  <si>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</si>
  <si>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</si>
  <si>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</si>
  <si>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</si>
  <si>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</si>
  <si>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</si>
  <si>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</si>
  <si>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</si>
  <si>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</si>
  <si>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</si>
  <si>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</si>
  <si>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</si>
  <si>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</si>
  <si>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</si>
  <si>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</si>
  <si>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</si>
  <si>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</si>
  <si>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</si>
  <si>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</si>
  <si>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</si>
  <si>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</si>
  <si>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</si>
  <si>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</si>
  <si>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</si>
  <si>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</si>
  <si>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</si>
  <si>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</si>
  <si>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</si>
  <si>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</si>
  <si>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</si>
  <si>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</si>
  <si>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</si>
  <si>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</si>
  <si>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</si>
  <si>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</si>
  <si>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</si>
  <si>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</si>
  <si>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</si>
  <si>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</si>
  <si>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</si>
  <si>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</si>
  <si>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</si>
  <si>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</si>
  <si>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</si>
  <si>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</si>
  <si>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</si>
  <si>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</si>
  <si>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</si>
  <si>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</si>
  <si>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</si>
  <si>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</si>
  <si>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</si>
  <si>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</si>
  <si>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</si>
  <si>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</si>
  <si>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</si>
  <si>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</si>
  <si>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</si>
  <si>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</si>
  <si>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</si>
  <si>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</si>
  <si>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</si>
  <si>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</si>
  <si>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</si>
  <si>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</si>
  <si>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</si>
  <si>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</si>
  <si>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</si>
  <si>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</si>
  <si>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</si>
  <si>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</si>
  <si>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</si>
  <si>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</si>
  <si>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</si>
  <si>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</si>
  <si>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</si>
  <si>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</si>
  <si>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</si>
  <si>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</si>
  <si>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</si>
  <si>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</si>
  <si>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</si>
  <si>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</si>
  <si>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</si>
  <si>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</si>
  <si>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</si>
  <si>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</si>
  <si>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</si>
  <si>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</si>
  <si>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</si>
  <si>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</si>
  <si>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</si>
  <si>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</si>
  <si>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</si>
  <si>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</si>
  <si>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</si>
  <si>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</si>
  <si>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</si>
  <si>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</si>
  <si>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</si>
  <si>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</si>
  <si>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</si>
  <si>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</si>
  <si>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</si>
  <si>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</si>
  <si>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</si>
  <si>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</si>
  <si>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</si>
  <si>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</si>
  <si>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</si>
  <si>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</si>
  <si>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</si>
  <si>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</si>
  <si>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</si>
  <si>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</si>
  <si>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</si>
  <si>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</si>
  <si>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</si>
  <si>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</si>
  <si>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</si>
  <si>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</si>
  <si>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</si>
  <si>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</si>
  <si>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</si>
  <si>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</si>
  <si>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</si>
  <si>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</si>
  <si>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</si>
  <si>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</si>
  <si>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</si>
  <si>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</si>
  <si>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</si>
  <si>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</si>
  <si>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</si>
  <si>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</si>
  <si>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</si>
  <si>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</si>
  <si>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</si>
  <si>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</si>
  <si>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</si>
  <si>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</si>
  <si>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</si>
  <si>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</si>
  <si>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</si>
  <si>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</si>
  <si>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</si>
  <si>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</si>
  <si>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</si>
  <si>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</si>
  <si>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</si>
  <si>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</si>
  <si>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</si>
  <si>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</si>
  <si>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</si>
  <si>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</si>
  <si>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</si>
  <si>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</si>
  <si>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</si>
  <si>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</si>
  <si>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</si>
  <si>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</si>
  <si>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</si>
  <si>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</si>
  <si>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</si>
  <si>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</si>
  <si>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</si>
  <si>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</si>
  <si>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</si>
  <si>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</si>
  <si>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</si>
  <si>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</si>
  <si>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</si>
  <si>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</si>
  <si>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</si>
  <si>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</si>
  <si>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</si>
  <si>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</si>
  <si>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</si>
  <si>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</si>
  <si>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</si>
  <si>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</si>
  <si>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</si>
  <si>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</si>
  <si>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</si>
  <si>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</si>
  <si>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</si>
  <si>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</si>
  <si>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</si>
  <si>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</si>
  <si>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</si>
  <si>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</si>
  <si>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</si>
  <si>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</si>
  <si>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</si>
  <si>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</si>
  <si>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</si>
  <si>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</si>
  <si>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</si>
  <si>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</si>
  <si>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</si>
  <si>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</si>
  <si>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</si>
  <si>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</si>
  <si>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</si>
  <si>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</si>
  <si>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</si>
  <si>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</si>
  <si>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</si>
  <si>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</si>
  <si>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</si>
  <si>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</si>
  <si>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</si>
  <si>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</si>
  <si>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</si>
  <si>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</si>
  <si>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</si>
  <si>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</si>
  <si>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</si>
  <si>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</si>
  <si>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</si>
  <si>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</si>
  <si>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</si>
  <si>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</si>
  <si>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</si>
  <si>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</si>
  <si>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</si>
  <si>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</si>
  <si>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</si>
  <si>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</si>
  <si>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</si>
  <si>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</si>
  <si>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</si>
  <si>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</si>
  <si>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</si>
  <si>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</si>
  <si>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</si>
  <si>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</si>
  <si>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</si>
  <si>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</si>
  <si>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</si>
  <si>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</si>
  <si>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</si>
  <si>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</si>
  <si>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</si>
  <si>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</si>
  <si>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</si>
  <si>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</si>
  <si>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</si>
  <si>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</si>
  <si>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</si>
  <si>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</si>
  <si>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</si>
  <si>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</si>
  <si>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</si>
  <si>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</si>
  <si>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</si>
  <si>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</si>
  <si>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</si>
  <si>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</si>
  <si>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</si>
  <si>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</si>
  <si>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</si>
  <si>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</si>
  <si>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</si>
  <si>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</si>
  <si>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</si>
  <si>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</si>
  <si>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</si>
  <si>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</si>
  <si>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</si>
  <si>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</si>
  <si>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</si>
  <si>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</si>
  <si>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</si>
  <si>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</si>
  <si>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</si>
  <si>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</si>
  <si>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</si>
  <si>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</si>
  <si>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</si>
  <si>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</si>
  <si>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</si>
  <si>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</si>
  <si>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</si>
  <si>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</si>
  <si>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</si>
  <si>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</si>
  <si>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</si>
  <si>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</si>
  <si>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</si>
  <si>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</si>
  <si>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</si>
  <si>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</si>
  <si>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</si>
  <si>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</si>
  <si>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</si>
  <si>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</si>
  <si>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</si>
  <si>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</si>
  <si>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</si>
  <si>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</si>
  <si>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</si>
  <si>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</si>
  <si>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</si>
  <si>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</si>
  <si>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</si>
  <si>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</si>
  <si>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</si>
  <si>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</si>
  <si>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</si>
  <si>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</si>
  <si>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</si>
  <si>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</si>
  <si>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</si>
  <si>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</si>
  <si>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</si>
  <si>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</si>
  <si>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</si>
  <si>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</si>
  <si>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</si>
  <si>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</si>
  <si>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</si>
  <si>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</si>
  <si>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</si>
  <si>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</si>
  <si>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</si>
  <si>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</si>
  <si>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</si>
  <si>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</si>
  <si>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</si>
  <si>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</si>
  <si>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</si>
  <si>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</si>
  <si>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</si>
  <si>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</si>
  <si>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</si>
  <si>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</si>
  <si>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</si>
  <si>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</si>
  <si>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</si>
  <si>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</si>
  <si>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</si>
  <si>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</si>
  <si>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</si>
  <si>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</si>
  <si>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</si>
  <si>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</si>
  <si>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</si>
  <si>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</si>
  <si>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</si>
  <si>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</si>
  <si>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</si>
  <si>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</si>
  <si>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</si>
  <si>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</si>
  <si>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</si>
  <si>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</si>
  <si>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</si>
  <si>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</si>
  <si>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</si>
  <si>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</si>
  <si>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</si>
  <si>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</si>
  <si>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</si>
  <si>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</si>
  <si>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</si>
  <si>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</si>
  <si>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</si>
  <si>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</si>
  <si>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</si>
  <si>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</si>
  <si>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</si>
  <si>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</si>
  <si>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</si>
  <si>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</si>
  <si>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</si>
  <si>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</si>
  <si>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</si>
  <si>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</si>
  <si>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</si>
  <si>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</si>
  <si>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</si>
  <si>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</si>
  <si>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</si>
  <si>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</si>
  <si>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</si>
  <si>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</si>
  <si>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</si>
  <si>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</si>
  <si>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</si>
  <si>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</si>
  <si>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</si>
  <si>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</si>
  <si>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</si>
  <si>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</si>
  <si>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</si>
  <si>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</si>
  <si>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</si>
  <si>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</si>
  <si>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</si>
  <si>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</si>
  <si>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</si>
  <si>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</si>
  <si>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</si>
  <si>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</si>
  <si>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</si>
  <si>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</si>
  <si>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</si>
  <si>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</si>
  <si>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</si>
  <si>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</si>
  <si>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</si>
  <si>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</si>
  <si>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</si>
  <si>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</si>
  <si>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</si>
  <si>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</si>
  <si>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</si>
  <si>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</si>
  <si>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</si>
  <si>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</si>
  <si>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</si>
  <si>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</si>
  <si>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</si>
  <si>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</si>
  <si>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</si>
  <si>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</si>
  <si>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</si>
  <si>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</si>
  <si>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</si>
  <si>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</si>
  <si>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</si>
  <si>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</si>
  <si>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</si>
  <si>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</si>
  <si>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</si>
  <si>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</si>
  <si>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</si>
  <si>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</si>
  <si>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</si>
  <si>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</si>
  <si>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</si>
  <si>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</si>
  <si>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</si>
  <si>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</si>
  <si>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</si>
  <si>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</si>
  <si>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</si>
  <si>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</si>
  <si>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</si>
  <si>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</si>
  <si>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</si>
  <si>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</si>
  <si>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</si>
  <si>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</si>
  <si>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</si>
  <si>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</si>
  <si>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</si>
  <si>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</si>
  <si>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</si>
  <si>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</si>
  <si>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</si>
  <si>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</si>
  <si>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</si>
  <si>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</si>
  <si>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</si>
  <si>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</si>
  <si>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</si>
  <si>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</si>
  <si>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</si>
  <si>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</si>
  <si>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</si>
  <si>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</si>
  <si>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</si>
  <si>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</si>
  <si>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</si>
  <si>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</si>
  <si>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</si>
  <si>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</si>
  <si>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</si>
  <si>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</si>
  <si>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</si>
  <si>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</si>
  <si>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</si>
  <si>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</si>
  <si>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</si>
  <si>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</si>
  <si>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</si>
  <si>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</si>
  <si>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</si>
  <si>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</si>
  <si>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</si>
  <si>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</si>
  <si>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</si>
  <si>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</si>
  <si>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</si>
  <si>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</si>
  <si>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</si>
  <si>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</si>
  <si>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</si>
  <si>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</si>
  <si>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</si>
  <si>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</si>
  <si>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</si>
  <si>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</si>
  <si>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</si>
  <si>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</si>
  <si>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</si>
  <si>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</si>
  <si>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</si>
  <si>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</si>
  <si>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</si>
  <si>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</si>
  <si>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</si>
  <si>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</si>
  <si>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</si>
  <si>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</si>
  <si>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</si>
  <si>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</si>
  <si>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</si>
  <si>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</si>
  <si>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</si>
  <si>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</si>
  <si>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</si>
  <si>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</si>
  <si>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</si>
  <si>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</si>
  <si>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</si>
  <si>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</si>
  <si>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</si>
  <si>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</si>
  <si>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</si>
  <si>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</si>
  <si>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</si>
  <si>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</si>
  <si>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</si>
  <si>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</si>
  <si>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</si>
  <si>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</si>
  <si>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</si>
  <si>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</si>
  <si>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</si>
  <si>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</si>
  <si>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</si>
  <si>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</si>
  <si>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</si>
  <si>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</si>
  <si>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</si>
  <si>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</si>
  <si>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</si>
  <si>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</si>
  <si>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</si>
  <si>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</si>
  <si>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</si>
  <si>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</si>
  <si>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</si>
  <si>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</si>
  <si>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</si>
  <si>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</si>
  <si>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</si>
  <si>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</si>
  <si>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</si>
  <si>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</si>
  <si>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</si>
  <si>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</si>
  <si>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</si>
  <si>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</si>
  <si>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</si>
  <si>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</si>
  <si>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</si>
  <si>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</si>
  <si>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</si>
  <si>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</si>
  <si>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</si>
  <si>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</si>
  <si>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</si>
  <si>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</si>
  <si>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</si>
  <si>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</si>
  <si>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</si>
  <si>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</si>
  <si>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</si>
  <si>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</si>
  <si>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</si>
  <si>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</si>
  <si>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</si>
  <si>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</si>
  <si>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</si>
  <si>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</si>
  <si>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</si>
  <si>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</si>
  <si>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</si>
  <si>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</si>
  <si>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</si>
  <si>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</si>
  <si>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</si>
  <si>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</si>
  <si>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</si>
  <si>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</si>
  <si>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</si>
  <si>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</si>
  <si>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</si>
  <si>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</si>
  <si>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</si>
  <si>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</si>
  <si>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</si>
  <si>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</si>
  <si>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</si>
  <si>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</si>
  <si>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</si>
  <si>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</si>
  <si>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</si>
  <si>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</si>
  <si>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</si>
  <si>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</si>
  <si>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</si>
  <si>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</si>
  <si>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</si>
  <si>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</si>
  <si>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</si>
  <si>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</si>
  <si>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</si>
  <si>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</si>
  <si>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</si>
  <si>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</si>
  <si>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</si>
  <si>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</si>
  <si>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</si>
  <si>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</si>
  <si>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</si>
  <si>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</si>
  <si>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</si>
  <si>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</si>
  <si>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</si>
  <si>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</si>
  <si>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</si>
  <si>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</si>
  <si>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</si>
  <si>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</si>
  <si>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</si>
  <si>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</si>
  <si>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</si>
  <si>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</si>
  <si>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</si>
  <si>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</si>
  <si>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</si>
  <si>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</si>
  <si>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</si>
  <si>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</si>
  <si>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</si>
  <si>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</si>
  <si>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</si>
  <si>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</si>
  <si>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</si>
  <si>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</si>
  <si>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</si>
  <si>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</si>
  <si>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</si>
  <si>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</si>
  <si>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</si>
  <si>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</si>
  <si>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</si>
  <si>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</si>
  <si>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</si>
  <si>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</si>
  <si>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</si>
  <si>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</si>
  <si>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</si>
  <si>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</si>
  <si>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</si>
  <si>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</si>
  <si>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</si>
  <si>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</si>
  <si>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</si>
  <si>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</si>
  <si>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</si>
  <si>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</si>
  <si>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</si>
  <si>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</si>
  <si>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</si>
  <si>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</si>
  <si>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</si>
  <si>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</si>
  <si>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</si>
  <si>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</si>
  <si>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</si>
  <si>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</si>
  <si>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</si>
  <si>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</si>
  <si>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</si>
  <si>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</si>
  <si>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</si>
  <si>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</si>
  <si>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</si>
  <si>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</si>
  <si>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</si>
  <si>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</si>
  <si>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</si>
  <si>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</si>
  <si>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</si>
  <si>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</si>
  <si>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</si>
  <si>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</si>
  <si>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</si>
  <si>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</si>
  <si>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</si>
  <si>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</si>
  <si>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</si>
  <si>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</si>
  <si>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</si>
  <si>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</si>
  <si>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</si>
  <si>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</si>
  <si>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</si>
  <si>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</si>
  <si>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</si>
  <si>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</si>
  <si>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</si>
  <si>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</si>
  <si>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</si>
  <si>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</si>
  <si>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</si>
  <si>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</si>
  <si>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</si>
  <si>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</si>
  <si>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</si>
  <si>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</si>
  <si>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</si>
  <si>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</si>
  <si>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</si>
  <si>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</si>
  <si>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</si>
  <si>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</si>
  <si>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</si>
  <si>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</si>
  <si>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</si>
  <si>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</si>
  <si>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</si>
  <si>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</si>
  <si>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</si>
  <si>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</si>
  <si>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</si>
  <si>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</si>
  <si>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</si>
  <si>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</si>
  <si>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</si>
  <si>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</si>
  <si>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</si>
  <si>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</si>
  <si>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</si>
  <si>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</si>
  <si>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</si>
  <si>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</si>
  <si>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</si>
  <si>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</si>
  <si>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</si>
  <si>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</si>
  <si>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</si>
  <si>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</si>
  <si>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</si>
  <si>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</si>
  <si>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</si>
  <si>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</si>
  <si>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</si>
  <si>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</si>
  <si>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</si>
  <si>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</si>
  <si>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</si>
  <si>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</si>
  <si>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</si>
  <si>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</si>
  <si>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</si>
  <si>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</si>
  <si>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</si>
  <si>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</si>
  <si>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</si>
  <si>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</si>
  <si>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</si>
  <si>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</si>
  <si>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</si>
  <si>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</si>
  <si>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</si>
  <si>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</si>
  <si>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</si>
  <si>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</si>
  <si>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</si>
  <si>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</si>
  <si>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</si>
  <si>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</si>
  <si>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</si>
  <si>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</si>
  <si>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</si>
  <si>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</si>
  <si>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</si>
  <si>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</si>
  <si>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</si>
  <si>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</si>
  <si>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</si>
  <si>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</si>
  <si>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</si>
  <si>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</si>
  <si>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</si>
  <si>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</si>
  <si>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</si>
  <si>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</si>
  <si>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</si>
  <si>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</si>
  <si>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</si>
  <si>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</si>
  <si>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</si>
  <si>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</si>
  <si>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</si>
  <si>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</si>
  <si>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</si>
  <si>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</si>
  <si>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</si>
  <si>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</si>
  <si>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</si>
  <si>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</si>
  <si>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</si>
  <si>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</si>
  <si>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</si>
  <si>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</si>
  <si>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</si>
  <si>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</si>
  <si>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</si>
  <si>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</si>
  <si>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</si>
  <si>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</si>
  <si>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</si>
  <si>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</si>
  <si>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</si>
  <si>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</si>
  <si>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</si>
  <si>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</si>
  <si>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</si>
  <si>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</si>
  <si>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</si>
  <si>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</si>
  <si>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</si>
  <si>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</si>
  <si>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</si>
  <si>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</si>
  <si>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</si>
  <si>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</si>
  <si>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</si>
  <si>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</si>
  <si>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</si>
  <si>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</si>
  <si>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</si>
  <si>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</si>
  <si>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</si>
  <si>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</si>
  <si>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</si>
  <si>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</si>
  <si>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</si>
  <si>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</si>
  <si>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</si>
  <si>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</si>
  <si>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</si>
  <si>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</si>
  <si>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</si>
  <si>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</si>
  <si>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</si>
  <si>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</si>
  <si>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</si>
  <si>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</si>
  <si>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</si>
  <si>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</si>
  <si>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</si>
  <si>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</si>
  <si>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</si>
  <si>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</si>
  <si>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</si>
  <si>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</si>
  <si>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</si>
  <si>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</si>
  <si>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</si>
  <si>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</si>
  <si>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</si>
  <si>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</si>
  <si>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</si>
  <si>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</si>
  <si>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</si>
  <si>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</si>
  <si>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</si>
  <si>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</si>
  <si>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</si>
  <si>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</si>
  <si>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</si>
  <si>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</si>
  <si>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</si>
  <si>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</si>
  <si>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</si>
  <si>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</si>
  <si>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</si>
  <si>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</si>
  <si>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</si>
  <si>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</si>
  <si>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</si>
  <si>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</si>
  <si>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</si>
  <si>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</si>
  <si>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</si>
  <si>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</si>
  <si>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</si>
  <si>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</si>
  <si>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</si>
  <si>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</si>
  <si>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</si>
  <si>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</si>
  <si>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</si>
  <si>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</si>
  <si>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</si>
  <si>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</si>
  <si>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</si>
  <si>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</si>
  <si>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</si>
  <si>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</si>
  <si>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</si>
  <si>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</si>
  <si>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</si>
  <si>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</si>
  <si>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</si>
  <si>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</si>
  <si>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</si>
  <si>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</si>
  <si>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</si>
  <si>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</si>
  <si>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</si>
  <si>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</si>
  <si>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</si>
  <si>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</si>
  <si>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</si>
  <si>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</si>
  <si>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</si>
  <si>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</si>
  <si>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</si>
  <si>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</si>
  <si>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</si>
  <si>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</si>
  <si>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</si>
  <si>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</si>
  <si>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</si>
  <si>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</si>
  <si>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</si>
  <si>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</si>
  <si>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</si>
  <si>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</si>
  <si>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</si>
  <si>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</si>
  <si>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</si>
  <si>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</si>
  <si>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</si>
  <si>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</si>
  <si>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</si>
  <si>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</si>
  <si>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</si>
  <si>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</si>
  <si>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</si>
  <si>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</si>
  <si>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</si>
  <si>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</si>
  <si>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</si>
  <si>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</si>
  <si>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</si>
  <si>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</si>
  <si>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</si>
  <si>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</si>
  <si>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</si>
  <si>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</si>
  <si>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</si>
  <si>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</si>
  <si>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</si>
  <si>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</si>
  <si>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</si>
  <si>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</si>
  <si>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</si>
  <si>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</si>
  <si>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</si>
  <si>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</si>
  <si>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</si>
  <si>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</si>
  <si>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</si>
  <si>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</si>
  <si>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</si>
  <si>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</si>
  <si>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</si>
  <si>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</si>
  <si>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</si>
  <si>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</si>
  <si>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</si>
  <si>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</si>
  <si>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</si>
  <si>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</si>
  <si>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</si>
  <si>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</si>
  <si>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</si>
  <si>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</si>
  <si>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</si>
  <si>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</si>
  <si>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</si>
  <si>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</si>
  <si>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</si>
  <si>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</si>
  <si>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</si>
  <si>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</si>
  <si>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</si>
  <si>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</si>
  <si>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</si>
  <si>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</si>
  <si>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</si>
  <si>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</si>
  <si>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</si>
  <si>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</si>
  <si>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</si>
  <si>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</si>
  <si>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</si>
  <si>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</si>
  <si>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</si>
  <si>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</si>
  <si>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</si>
  <si>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</si>
  <si>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</si>
  <si>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</si>
  <si>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</si>
  <si>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</si>
  <si>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</si>
  <si>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</si>
  <si>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</si>
  <si>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</si>
  <si>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</si>
  <si>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</si>
  <si>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</si>
  <si>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</si>
  <si>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</si>
  <si>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</si>
  <si>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</si>
  <si>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</si>
  <si>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</si>
  <si>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</si>
  <si>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</si>
  <si>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</si>
  <si>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</si>
  <si>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</si>
  <si>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</si>
  <si>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</si>
  <si>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</si>
  <si>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</si>
  <si>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</si>
  <si>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</si>
  <si>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</si>
  <si>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</si>
  <si>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</si>
  <si>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</si>
  <si>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</si>
  <si>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</si>
  <si>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</si>
  <si>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</si>
  <si>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</si>
  <si>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</si>
  <si>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</si>
  <si>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</si>
  <si>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</si>
  <si>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</si>
  <si>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</si>
  <si>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</si>
  <si>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</si>
  <si>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</si>
  <si>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</si>
  <si>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</si>
  <si>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</si>
  <si>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</si>
  <si>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</si>
  <si>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</si>
  <si>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</si>
  <si>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</si>
  <si>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</si>
  <si>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</si>
  <si>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</si>
  <si>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</si>
  <si>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</si>
  <si>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</si>
  <si>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</si>
  <si>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</si>
  <si>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</si>
  <si>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</si>
  <si>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</si>
  <si>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</si>
  <si>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</si>
  <si>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</si>
  <si>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</si>
  <si>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</si>
  <si>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</si>
  <si>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</si>
  <si>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</si>
  <si>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</si>
  <si>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</si>
  <si>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</si>
  <si>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</si>
  <si>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</si>
  <si>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</si>
  <si>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</si>
  <si>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</si>
  <si>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</si>
  <si>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</si>
  <si>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</si>
  <si>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</si>
  <si>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</si>
  <si>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</si>
  <si>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</si>
  <si>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</si>
  <si>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</si>
  <si>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</si>
  <si>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</si>
  <si>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</si>
  <si>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</si>
  <si>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</si>
  <si>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</si>
  <si>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</si>
  <si>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</si>
  <si>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</si>
  <si>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</si>
  <si>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</si>
  <si>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</si>
  <si>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</si>
  <si>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</si>
  <si>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</si>
  <si>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</si>
  <si>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</si>
  <si>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</si>
  <si>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</si>
  <si>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</si>
  <si>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</si>
  <si>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</si>
  <si>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</si>
  <si>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</si>
  <si>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</si>
  <si>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</si>
  <si>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</si>
  <si>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</si>
  <si>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</si>
  <si>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</si>
  <si>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</si>
  <si>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</si>
  <si>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</si>
  <si>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</si>
  <si>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</si>
  <si>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</si>
  <si>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</si>
  <si>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</si>
  <si>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</si>
  <si>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</si>
  <si>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</si>
  <si>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</si>
  <si>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</si>
  <si>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</si>
  <si>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</si>
  <si>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</si>
  <si>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</si>
  <si>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</si>
  <si>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</si>
  <si>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</si>
  <si>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</si>
  <si>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</si>
  <si>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</si>
  <si>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</si>
  <si>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</si>
  <si>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</si>
  <si>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</si>
  <si>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</si>
  <si>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</si>
  <si>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</si>
  <si>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</si>
  <si>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</si>
  <si>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</si>
  <si>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</si>
  <si>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</si>
  <si>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</si>
  <si>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</si>
  <si>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</si>
  <si>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</si>
  <si>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</si>
  <si>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</si>
  <si>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</si>
  <si>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</si>
  <si>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</si>
  <si>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</si>
  <si>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</si>
  <si>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</si>
  <si>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</si>
  <si>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</si>
  <si>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</si>
  <si>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</si>
  <si>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</si>
  <si>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</si>
  <si>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</si>
  <si>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</si>
  <si>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</si>
  <si>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</si>
  <si>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</si>
  <si>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</si>
  <si>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</si>
  <si>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</si>
  <si>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</si>
  <si>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</si>
  <si>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</si>
  <si>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</si>
  <si>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</si>
  <si>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</si>
  <si>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</si>
  <si>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</si>
  <si>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</si>
  <si>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</si>
  <si>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</si>
  <si>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</si>
  <si>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</si>
  <si>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</si>
  <si>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</si>
  <si>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</si>
  <si>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</si>
  <si>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</si>
  <si>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</si>
  <si>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</si>
  <si>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</si>
  <si>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</si>
  <si>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</si>
  <si>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</si>
  <si>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</si>
  <si>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</si>
  <si>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</si>
  <si>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</si>
  <si>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</si>
  <si>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</si>
  <si>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</si>
  <si>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</si>
  <si>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</si>
  <si>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</si>
  <si>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</si>
  <si>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</si>
  <si>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</si>
  <si>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</si>
  <si>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</si>
  <si>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</si>
  <si>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</si>
  <si>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</si>
  <si>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</si>
  <si>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</si>
  <si>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</si>
  <si>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</si>
  <si>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</si>
  <si>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</si>
  <si>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</si>
  <si>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</si>
  <si>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</si>
  <si>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</si>
  <si>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</si>
  <si>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</si>
  <si>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</si>
  <si>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</si>
  <si>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</si>
  <si>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</si>
  <si>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</si>
  <si>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</si>
  <si>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</si>
  <si>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</si>
  <si>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</si>
  <si>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</si>
  <si>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</si>
  <si>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</si>
  <si>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</si>
  <si>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</si>
  <si>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</si>
  <si>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</si>
  <si>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</si>
  <si>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</si>
  <si>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</si>
  <si>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</si>
  <si>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</si>
  <si>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</si>
  <si>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</si>
  <si>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</si>
  <si>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</si>
  <si>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</si>
  <si>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</si>
  <si>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</si>
  <si>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</si>
  <si>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</si>
  <si>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</si>
  <si>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</si>
  <si>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</si>
  <si>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</si>
  <si>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</si>
  <si>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</si>
  <si>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</si>
  <si>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</si>
  <si>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</si>
  <si>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</si>
  <si>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</si>
  <si>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</si>
  <si>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</si>
  <si>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</si>
  <si>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</si>
  <si>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</si>
  <si>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</si>
  <si>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</si>
  <si>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</si>
  <si>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</si>
  <si>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</si>
  <si>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</si>
  <si>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</si>
  <si>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</si>
  <si>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</si>
  <si>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</si>
  <si>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</si>
  <si>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</si>
  <si>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</si>
  <si>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</si>
  <si>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</si>
  <si>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</si>
  <si>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</si>
  <si>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</si>
  <si>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</si>
  <si>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</si>
  <si>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</si>
  <si>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</si>
  <si>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</si>
  <si>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</si>
  <si>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</si>
  <si>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</si>
  <si>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</si>
  <si>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</si>
  <si>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</si>
  <si>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</si>
  <si>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</si>
  <si>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</si>
  <si>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</si>
  <si>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</si>
  <si>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</si>
  <si>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</si>
  <si>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</si>
  <si>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</si>
  <si>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</si>
  <si>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</si>
  <si>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</si>
  <si>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</si>
  <si>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</si>
  <si>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</si>
  <si>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</si>
  <si>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</si>
  <si>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</si>
  <si>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</si>
  <si>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</si>
  <si>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</si>
  <si>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</si>
  <si>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</si>
  <si>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</si>
  <si>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</si>
  <si>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</si>
  <si>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</si>
  <si>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</si>
  <si>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</si>
  <si>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</si>
  <si>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</si>
  <si>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</si>
  <si>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</si>
  <si>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</si>
  <si>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</si>
  <si>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</si>
  <si>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</si>
  <si>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</si>
  <si>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</si>
  <si>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</si>
  <si>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</si>
  <si>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</si>
  <si>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</si>
  <si>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</si>
  <si>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</si>
  <si>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</si>
  <si>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</si>
  <si>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</si>
  <si>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</si>
  <si>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</si>
  <si>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</si>
  <si>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</si>
  <si>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</si>
  <si>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</si>
  <si>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</si>
  <si>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</si>
  <si>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</si>
  <si>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</si>
  <si>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</si>
  <si>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</si>
  <si>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</si>
  <si>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</si>
  <si>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</si>
  <si>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</si>
  <si>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</si>
  <si>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</si>
  <si>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</si>
  <si>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</si>
  <si>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</si>
  <si>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</si>
  <si>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</si>
  <si>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</si>
  <si>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</si>
  <si>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</si>
  <si>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</si>
  <si>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</si>
  <si>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</si>
  <si>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</si>
  <si>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</si>
  <si>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</si>
  <si>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</si>
  <si>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</si>
  <si>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</si>
  <si>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</si>
  <si>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</si>
  <si>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</si>
  <si>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</si>
  <si>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</si>
  <si>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</si>
  <si>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</si>
  <si>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</si>
  <si>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</si>
  <si>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</si>
  <si>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</si>
  <si>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</si>
  <si>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</si>
  <si>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</si>
  <si>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</si>
  <si>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</si>
  <si>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</si>
  <si>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</si>
  <si>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</si>
  <si>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</si>
  <si>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</si>
  <si>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</si>
  <si>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</si>
  <si>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</si>
  <si>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</si>
  <si>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</si>
  <si>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</si>
  <si>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</si>
  <si>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</si>
  <si>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</si>
  <si>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</si>
  <si>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</si>
  <si>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</si>
  <si>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</si>
  <si>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</si>
  <si>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</si>
  <si>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</si>
  <si>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</si>
  <si>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</si>
  <si>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</si>
  <si>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</si>
  <si>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</si>
  <si>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</si>
  <si>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</si>
  <si>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</si>
  <si>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</si>
  <si>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</si>
  <si>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</si>
  <si>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</si>
  <si>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</si>
  <si>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</si>
  <si>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</si>
  <si>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</si>
  <si>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</si>
  <si>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</si>
  <si>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</si>
  <si>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</si>
  <si>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</si>
  <si>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</si>
  <si>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</si>
  <si>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</si>
  <si>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</si>
  <si>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</si>
  <si>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</si>
  <si>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</si>
  <si>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</si>
  <si>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</si>
  <si>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</si>
  <si>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</si>
  <si>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</si>
  <si>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</si>
  <si>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</si>
  <si>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</si>
  <si>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</si>
  <si>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</si>
  <si>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</si>
  <si>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</si>
  <si>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</si>
  <si>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</si>
  <si>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</si>
  <si>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</si>
  <si>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</si>
  <si>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</si>
  <si>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</si>
  <si>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</si>
  <si>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</si>
  <si>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</si>
  <si>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</si>
  <si>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</si>
  <si>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</si>
  <si>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</si>
  <si>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</si>
  <si>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</si>
  <si>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</si>
  <si>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</si>
  <si>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</si>
  <si>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</si>
  <si>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</si>
  <si>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</si>
  <si>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</si>
  <si>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</si>
  <si>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</si>
  <si>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</si>
  <si>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</si>
  <si>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</si>
  <si>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</si>
  <si>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</si>
  <si>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</si>
  <si>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</si>
  <si>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</si>
  <si>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</si>
  <si>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</si>
  <si>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</si>
  <si>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</si>
  <si>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</si>
  <si>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</si>
  <si>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</si>
  <si>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</si>
  <si>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</si>
  <si>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</si>
  <si>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</si>
  <si>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</si>
  <si>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</si>
  <si>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</si>
  <si>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</si>
  <si>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</si>
  <si>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</si>
  <si>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</si>
  <si>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</si>
  <si>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</si>
  <si>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</si>
  <si>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</si>
  <si>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</si>
  <si>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</si>
  <si>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</si>
  <si>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</si>
  <si>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</si>
  <si>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</si>
  <si>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</si>
  <si>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</si>
  <si>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</si>
  <si>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</si>
  <si>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</si>
  <si>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</si>
  <si>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</si>
  <si>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</si>
  <si>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</si>
  <si>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</si>
  <si>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</si>
  <si>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</si>
  <si>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</si>
  <si>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</si>
  <si>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</si>
  <si>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</si>
  <si>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</si>
  <si>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</si>
  <si>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</si>
  <si>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</si>
  <si>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</si>
  <si>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</si>
  <si>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</si>
  <si>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</si>
  <si>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</si>
  <si>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</si>
  <si>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</si>
  <si>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</si>
  <si>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</si>
  <si>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</si>
  <si>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</si>
  <si>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</si>
  <si>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</si>
  <si>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</si>
  <si>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</si>
  <si>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</si>
  <si>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</si>
  <si>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</si>
  <si>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</si>
  <si>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</si>
  <si>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</si>
  <si>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</si>
  <si>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</si>
  <si>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</si>
  <si>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</si>
  <si>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</si>
  <si>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</si>
  <si>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</si>
  <si>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</si>
  <si>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</si>
  <si>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</si>
  <si>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</si>
  <si>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</si>
  <si>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</si>
  <si>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</si>
  <si>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</si>
  <si>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</si>
  <si>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</si>
  <si>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</si>
  <si>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</si>
  <si>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</si>
  <si>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</si>
  <si>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</si>
  <si>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</si>
  <si>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</si>
  <si>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</si>
  <si>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</si>
  <si>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</si>
  <si>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</si>
  <si>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</si>
  <si>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</si>
  <si>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</si>
  <si>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</si>
  <si>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</si>
  <si>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</si>
  <si>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</si>
  <si>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</si>
  <si>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</si>
  <si>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</si>
  <si>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</si>
  <si>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</si>
  <si>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</si>
  <si>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</si>
  <si>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</si>
  <si>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</si>
  <si>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</si>
  <si>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</si>
  <si>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</si>
  <si>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</si>
  <si>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</si>
  <si>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</si>
  <si>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</si>
  <si>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</si>
  <si>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</si>
  <si>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</si>
  <si>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</si>
  <si>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</si>
  <si>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</si>
  <si>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</si>
  <si>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</si>
  <si>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</si>
  <si>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</si>
  <si>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</si>
  <si>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</si>
  <si>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</si>
  <si>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</si>
  <si>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</si>
  <si>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</si>
  <si>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</si>
  <si>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</si>
  <si>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</si>
  <si>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</si>
  <si>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</si>
  <si>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</si>
  <si>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</si>
  <si>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</si>
  <si>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</si>
  <si>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</si>
  <si>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</si>
  <si>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</si>
  <si>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</si>
  <si>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</si>
  <si>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</si>
  <si>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</si>
  <si>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</si>
  <si>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</si>
  <si>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</si>
  <si>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</si>
  <si>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</si>
  <si>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</si>
  <si>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</si>
  <si>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</si>
  <si>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</si>
  <si>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</si>
  <si>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</si>
  <si>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</si>
  <si>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</si>
  <si>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</si>
  <si>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</si>
  <si>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</si>
  <si>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</si>
  <si>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</si>
  <si>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</si>
  <si>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</si>
  <si>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</si>
  <si>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</si>
  <si>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</si>
  <si>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</si>
  <si>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</si>
  <si>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</si>
  <si>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</si>
  <si>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</si>
  <si>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</si>
  <si>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</si>
  <si>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</si>
  <si>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</si>
  <si>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</si>
  <si>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</si>
  <si>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</si>
  <si>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</si>
  <si>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</si>
  <si>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</si>
  <si>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</si>
  <si>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</si>
  <si>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</si>
  <si>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</si>
  <si>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</si>
  <si>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</si>
  <si>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</si>
  <si>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</si>
  <si>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</si>
  <si>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</si>
  <si>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</si>
  <si>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</si>
  <si>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</si>
  <si>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</si>
  <si>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</si>
  <si>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</si>
  <si>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</si>
  <si>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</si>
  <si>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</si>
  <si>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</si>
  <si>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</si>
  <si>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</si>
  <si>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</si>
  <si>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</si>
  <si>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</si>
  <si>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</si>
  <si>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</si>
  <si>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</si>
  <si>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</si>
  <si>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</si>
  <si>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</si>
  <si>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</si>
  <si>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</si>
  <si>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</si>
  <si>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</si>
  <si>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</si>
  <si>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</si>
  <si>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</si>
  <si>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</si>
  <si>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</si>
  <si>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</si>
  <si>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</si>
  <si>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</si>
  <si>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</si>
  <si>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</si>
  <si>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</si>
  <si>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</si>
  <si>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</si>
  <si>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</si>
  <si>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</si>
  <si>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</si>
  <si>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</si>
  <si>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</si>
  <si>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</si>
  <si>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</si>
  <si>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</si>
  <si>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</si>
  <si>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</si>
  <si>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</si>
  <si>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</si>
  <si>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</si>
  <si>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</si>
  <si>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</si>
  <si>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</si>
  <si>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</si>
  <si>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</si>
  <si>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</si>
  <si>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</si>
  <si>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</si>
  <si>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</si>
  <si>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</si>
  <si>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</si>
  <si>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</si>
  <si>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</si>
  <si>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</si>
  <si>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</si>
  <si>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</si>
  <si>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</si>
  <si>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</si>
  <si>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</si>
  <si>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</si>
  <si>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</si>
  <si>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</si>
  <si>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</si>
  <si>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</si>
  <si>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</si>
  <si>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</si>
  <si>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</si>
  <si>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</si>
  <si>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</si>
  <si>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</si>
  <si>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</si>
  <si>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</si>
  <si>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</si>
  <si>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</si>
  <si>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</si>
  <si>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</si>
  <si>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</si>
  <si>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</si>
  <si>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</si>
  <si>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</si>
  <si>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</si>
  <si>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</si>
  <si>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</si>
  <si>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</si>
  <si>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</si>
  <si>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</si>
  <si>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</si>
  <si>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</si>
  <si>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</si>
  <si>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</si>
  <si>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</si>
  <si>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</si>
  <si>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</si>
  <si>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</si>
  <si>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</si>
  <si>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</si>
  <si>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</si>
  <si>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</si>
  <si>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</si>
  <si>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</si>
  <si>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</si>
  <si>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</si>
  <si>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</si>
  <si>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</si>
  <si>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</si>
  <si>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</si>
  <si>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</si>
  <si>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</si>
  <si>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</si>
  <si>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</si>
  <si>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</si>
  <si>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</si>
  <si>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</si>
  <si>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</si>
  <si>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</si>
  <si>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</si>
  <si>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</si>
  <si>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</si>
  <si>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</si>
  <si>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</si>
  <si>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</si>
  <si>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</si>
  <si>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</si>
  <si>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</si>
  <si>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</si>
  <si>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</si>
  <si>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</si>
  <si>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</si>
  <si>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</si>
  <si>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</si>
  <si>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</si>
  <si>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</si>
  <si>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</si>
  <si>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</si>
  <si>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</si>
  <si>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</si>
  <si>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</si>
  <si>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</si>
  <si>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</si>
  <si>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</si>
  <si>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</si>
  <si>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</si>
  <si>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</si>
  <si>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</si>
  <si>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</si>
  <si>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</si>
  <si>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</si>
  <si>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</si>
  <si>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</si>
  <si>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</si>
  <si>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</si>
  <si>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</si>
  <si>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</si>
  <si>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</si>
  <si>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</si>
  <si>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</si>
  <si>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</si>
  <si>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</si>
  <si>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</si>
  <si>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</si>
  <si>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</si>
  <si>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</si>
  <si>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</si>
  <si>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</si>
  <si>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</si>
  <si>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</si>
  <si>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</si>
  <si>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</si>
  <si>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</si>
  <si>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</si>
  <si>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</si>
  <si>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</si>
  <si>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</si>
  <si>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</si>
  <si>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</si>
  <si>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</si>
  <si>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</si>
  <si>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</si>
  <si>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</si>
  <si>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</si>
  <si>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</si>
  <si>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</si>
  <si>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</si>
  <si>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</si>
  <si>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</si>
  <si>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</si>
  <si>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</si>
  <si>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</si>
  <si>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</si>
  <si>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</si>
  <si>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</si>
  <si>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</si>
  <si>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</si>
  <si>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</si>
  <si>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</si>
  <si>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</si>
  <si>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</si>
  <si>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</si>
  <si>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</si>
  <si>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</si>
  <si>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</si>
  <si>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</si>
  <si>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</si>
  <si>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</si>
  <si>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</si>
  <si>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</si>
  <si>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</si>
  <si>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</si>
  <si>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</si>
  <si>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</si>
  <si>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</si>
  <si>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</si>
  <si>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</si>
  <si>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</si>
  <si>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</si>
  <si>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</si>
  <si>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</si>
  <si>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</si>
  <si>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</si>
  <si>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</si>
  <si>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</si>
  <si>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</si>
  <si>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</si>
  <si>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</si>
  <si>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</si>
  <si>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</si>
  <si>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</si>
  <si>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</si>
  <si>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</si>
  <si>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</si>
  <si>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</si>
  <si>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</si>
  <si>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</si>
  <si>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</si>
  <si>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</si>
  <si>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</si>
  <si>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</si>
  <si>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</si>
  <si>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</si>
  <si>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</si>
  <si>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</si>
  <si>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</si>
  <si>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</si>
  <si>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</si>
  <si>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</si>
  <si>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</si>
  <si>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</si>
  <si>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</si>
  <si>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</si>
  <si>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</si>
  <si>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</si>
  <si>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</si>
  <si>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</si>
  <si>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</si>
  <si>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</si>
  <si>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</si>
  <si>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</si>
  <si>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</si>
  <si>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</si>
  <si>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</si>
  <si>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</si>
  <si>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</si>
  <si>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</si>
  <si>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</si>
  <si>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</si>
  <si>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</si>
  <si>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</si>
  <si>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</si>
  <si>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</si>
  <si>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</si>
  <si>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</si>
  <si>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</si>
  <si>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</si>
  <si>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</si>
  <si>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</si>
  <si>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</si>
  <si>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</si>
  <si>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</si>
  <si>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</si>
  <si>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</si>
  <si>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</si>
  <si>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</si>
  <si>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</si>
  <si>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</si>
  <si>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</si>
  <si>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</si>
  <si>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</si>
  <si>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</si>
  <si>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</si>
  <si>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</si>
  <si>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</si>
  <si>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</si>
  <si>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</si>
  <si>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</si>
  <si>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</si>
  <si>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</si>
  <si>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</si>
  <si>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</si>
  <si>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</si>
  <si>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</si>
  <si>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</si>
  <si>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</si>
  <si>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</si>
  <si>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</si>
  <si>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</si>
  <si>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</si>
  <si>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</si>
  <si>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</si>
  <si>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</si>
  <si>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</si>
  <si>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</si>
  <si>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</si>
  <si>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</si>
  <si>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</si>
  <si>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</si>
  <si>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</si>
  <si>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</si>
  <si>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</si>
  <si>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</si>
  <si>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</si>
  <si>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</si>
  <si>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</si>
  <si>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</si>
  <si>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</si>
  <si>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</si>
  <si>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</si>
  <si>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</si>
  <si>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</si>
  <si>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</si>
  <si>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</si>
  <si>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</si>
  <si>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</si>
  <si>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</si>
  <si>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</si>
  <si>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</si>
  <si>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</si>
  <si>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</si>
  <si>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</si>
  <si>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</si>
  <si>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</si>
  <si>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</si>
  <si>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</si>
  <si>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</si>
  <si>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</si>
  <si>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</si>
  <si>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</si>
  <si>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</si>
  <si>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</si>
  <si>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</si>
  <si>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</si>
  <si>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</si>
  <si>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</si>
  <si>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</si>
  <si>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</si>
  <si>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</si>
  <si>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</si>
  <si>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</si>
  <si>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</si>
  <si>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</si>
  <si>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</si>
  <si>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</si>
  <si>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</si>
  <si>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</si>
  <si>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</si>
  <si>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</si>
  <si>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</si>
  <si>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</si>
  <si>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</si>
  <si>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</si>
  <si>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</si>
  <si>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</si>
  <si>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</si>
  <si>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</si>
  <si>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</si>
  <si>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</si>
  <si>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</si>
  <si>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</si>
  <si>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</si>
  <si>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</si>
  <si>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</si>
  <si>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</si>
  <si>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</si>
  <si>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</si>
  <si>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</si>
  <si>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</si>
  <si>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</si>
  <si>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</si>
  <si>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</si>
  <si>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</si>
  <si>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</si>
  <si>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</si>
  <si>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</si>
  <si>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</si>
  <si>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</si>
  <si>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</si>
  <si>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</si>
  <si>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</si>
  <si>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</si>
  <si>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</si>
  <si>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</si>
  <si>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</si>
  <si>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</si>
  <si>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</si>
  <si>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</si>
  <si>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</si>
  <si>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</si>
  <si>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</si>
  <si>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</si>
  <si>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</si>
  <si>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</si>
  <si>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</si>
  <si>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</si>
  <si>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</si>
  <si>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</si>
  <si>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</si>
  <si>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</si>
  <si>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</si>
  <si>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</si>
  <si>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</si>
  <si>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</si>
  <si>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</si>
  <si>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</si>
  <si>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</si>
  <si>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</si>
  <si>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</si>
  <si>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</si>
  <si>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</si>
  <si>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</si>
  <si>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</si>
  <si>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</si>
  <si>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</si>
  <si>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</si>
  <si>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</si>
  <si>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</si>
  <si>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</si>
  <si>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</si>
  <si>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</si>
  <si>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</si>
  <si>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</si>
  <si>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</si>
  <si>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</si>
  <si>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</si>
  <si>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</si>
  <si>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</si>
  <si>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</si>
  <si>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</si>
  <si>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</si>
  <si>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</si>
  <si>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</si>
  <si>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</si>
  <si>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</si>
  <si>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</si>
  <si>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</si>
  <si>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</si>
  <si>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</si>
  <si>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</si>
  <si>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</si>
  <si>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</si>
  <si>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</si>
  <si>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</si>
  <si>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</si>
  <si>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</si>
  <si>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</si>
  <si>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</si>
  <si>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</si>
  <si>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</si>
  <si>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</si>
  <si>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</si>
  <si>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</si>
  <si>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</si>
  <si>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</si>
  <si>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</si>
  <si>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</si>
  <si>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</si>
  <si>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</si>
  <si>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</si>
  <si>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</si>
  <si>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</si>
  <si>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</si>
  <si>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</si>
  <si>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</si>
  <si>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</si>
  <si>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</si>
  <si>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</si>
  <si>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</si>
  <si>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</si>
  <si>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</si>
  <si>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</si>
  <si>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</si>
  <si>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</si>
  <si>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</si>
  <si>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</si>
  <si>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</si>
  <si>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</si>
  <si>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</si>
  <si>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</si>
  <si>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</si>
  <si>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</si>
  <si>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</si>
  <si>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</si>
  <si>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</si>
  <si>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</si>
  <si>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</si>
  <si>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</si>
  <si>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</si>
  <si>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</si>
  <si>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</si>
  <si>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</si>
  <si>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</si>
  <si>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</si>
  <si>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</si>
  <si>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</si>
  <si>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</si>
  <si>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</si>
  <si>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</si>
  <si>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</si>
  <si>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</si>
  <si>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</si>
  <si>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</si>
  <si>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</si>
  <si>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</si>
  <si>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</si>
  <si>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</si>
  <si>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</si>
  <si>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</si>
  <si>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</si>
  <si>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</si>
  <si>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</si>
  <si>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</si>
  <si>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</si>
  <si>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</si>
  <si>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</si>
  <si>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</si>
  <si>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</si>
  <si>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</si>
  <si>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</si>
  <si>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</si>
  <si>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</si>
  <si>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</si>
  <si>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</si>
  <si>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</si>
  <si>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</si>
  <si>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</si>
  <si>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</si>
  <si>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</si>
  <si>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</si>
  <si>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</si>
  <si>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</si>
  <si>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</si>
  <si>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</si>
  <si>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</si>
  <si>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</si>
  <si>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</si>
  <si>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</si>
  <si>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</si>
  <si>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</si>
  <si>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</si>
  <si>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</si>
  <si>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</si>
  <si>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</si>
  <si>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</si>
  <si>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</si>
  <si>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</si>
  <si>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</si>
  <si>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</si>
  <si>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</si>
  <si>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</si>
  <si>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</si>
  <si>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</si>
  <si>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</si>
  <si>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</si>
  <si>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</si>
  <si>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</si>
  <si>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</si>
  <si>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</si>
  <si>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</si>
  <si>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</si>
  <si>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</si>
  <si>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</si>
  <si>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</si>
  <si>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</si>
  <si>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</si>
  <si>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</si>
  <si>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</si>
  <si>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</si>
  <si>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</si>
  <si>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</si>
  <si>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</si>
  <si>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</si>
  <si>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</si>
  <si>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</si>
  <si>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</si>
  <si>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</si>
  <si>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</si>
  <si>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</si>
  <si>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</si>
  <si>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</si>
  <si>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</si>
  <si>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</si>
  <si>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</si>
  <si>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</si>
  <si>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</si>
  <si>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</si>
  <si>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</si>
  <si>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</si>
  <si>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</si>
  <si>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</si>
  <si>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</si>
  <si>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</si>
  <si>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</si>
  <si>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</si>
  <si>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</si>
  <si>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</si>
  <si>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</si>
  <si>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</si>
  <si>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</si>
  <si>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</si>
  <si>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</si>
  <si>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</si>
  <si>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</si>
  <si>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</si>
  <si>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</si>
  <si>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</si>
  <si>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</si>
  <si>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</si>
  <si>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</si>
  <si>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</si>
  <si>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</si>
  <si>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</si>
  <si>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</si>
  <si>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</si>
  <si>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</si>
  <si>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</si>
  <si>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</si>
  <si>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</si>
  <si>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</si>
  <si>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</si>
  <si>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</si>
  <si>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</si>
  <si>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</si>
  <si>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</si>
  <si>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</si>
  <si>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</si>
  <si>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</si>
  <si>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</si>
  <si>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</si>
  <si>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</si>
  <si>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</si>
  <si>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</si>
  <si>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</si>
  <si>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</si>
  <si>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</si>
  <si>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</si>
  <si>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</si>
  <si>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</si>
  <si>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</si>
  <si>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</si>
  <si>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</si>
  <si>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</si>
  <si>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</si>
  <si>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</si>
  <si>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</si>
  <si>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</si>
  <si>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</si>
  <si>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</si>
  <si>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</si>
  <si>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</si>
  <si>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</si>
  <si>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</si>
  <si>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</si>
  <si>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</si>
  <si>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</si>
  <si>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</si>
  <si>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</si>
  <si>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</si>
  <si>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</si>
  <si>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</si>
  <si>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</si>
  <si>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</si>
  <si>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</si>
  <si>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</si>
  <si>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</si>
  <si>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</si>
  <si>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</si>
  <si>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</si>
  <si>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</si>
  <si>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</si>
  <si>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</si>
  <si>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</si>
  <si>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</si>
  <si>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</si>
  <si>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</si>
  <si>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</si>
  <si>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</si>
  <si>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</si>
  <si>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</si>
  <si>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</si>
  <si>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</si>
  <si>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</si>
  <si>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</si>
  <si>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</si>
  <si>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</si>
  <si>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</si>
  <si>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</si>
  <si>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</si>
  <si>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</si>
  <si>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</si>
  <si>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</si>
  <si>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</si>
  <si>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</si>
  <si>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</si>
  <si>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</si>
  <si>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</si>
  <si>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</si>
  <si>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</si>
  <si>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</si>
  <si>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</si>
  <si>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</si>
  <si>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</si>
  <si>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</si>
  <si>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</si>
  <si>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</si>
  <si>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</si>
  <si>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</si>
  <si>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</si>
  <si>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</si>
  <si>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</si>
  <si>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</si>
  <si>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</si>
  <si>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</si>
  <si>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</si>
  <si>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</si>
  <si>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</si>
  <si>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</si>
  <si>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</si>
  <si>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</si>
  <si>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</si>
  <si>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</si>
  <si>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</si>
  <si>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</si>
  <si>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</si>
  <si>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</si>
  <si>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</si>
  <si>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</si>
  <si>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</si>
  <si>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</si>
  <si>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</si>
  <si>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</si>
  <si>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</si>
  <si>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</si>
  <si>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</si>
  <si>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</si>
  <si>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</si>
  <si>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</si>
  <si>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</si>
  <si>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</si>
  <si>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</si>
  <si>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</si>
  <si>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</si>
  <si>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</si>
  <si>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</si>
  <si>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</si>
  <si>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</si>
  <si>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</si>
  <si>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</si>
  <si>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</si>
  <si>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</si>
  <si>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</si>
  <si>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</si>
  <si>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</si>
  <si>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</si>
  <si>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</si>
  <si>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</si>
  <si>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</si>
  <si>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</si>
  <si>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</si>
  <si>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</si>
  <si>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</si>
  <si>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</si>
  <si>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</si>
  <si>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</si>
  <si>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</si>
  <si>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</si>
  <si>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</si>
  <si>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</si>
  <si>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</si>
  <si>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</si>
  <si>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</si>
  <si>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</si>
  <si>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</si>
  <si>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</si>
  <si>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</si>
  <si>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</si>
  <si>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</si>
  <si>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</si>
  <si>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</si>
  <si>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</si>
  <si>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</si>
  <si>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</si>
  <si>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</si>
  <si>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</si>
  <si>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</si>
  <si>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</si>
  <si>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</si>
  <si>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</si>
  <si>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</si>
  <si>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</si>
  <si>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</si>
  <si>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</si>
  <si>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</si>
  <si>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</si>
  <si>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</si>
  <si>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</si>
  <si>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</si>
  <si>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</si>
  <si>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</si>
  <si>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</si>
  <si>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</si>
  <si>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</si>
  <si>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</si>
  <si>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</si>
  <si>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</si>
  <si>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</si>
  <si>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</si>
  <si>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</si>
  <si>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</si>
  <si>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</si>
  <si>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</si>
  <si>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</si>
  <si>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</si>
  <si>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</si>
  <si>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</si>
  <si>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</si>
  <si>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</si>
  <si>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</si>
  <si>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</si>
  <si>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</si>
  <si>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</si>
  <si>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</si>
  <si>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</si>
  <si>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</si>
  <si>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</si>
  <si>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</si>
  <si>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</si>
  <si>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</si>
  <si>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</si>
  <si>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</si>
  <si>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</si>
  <si>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</si>
  <si>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</si>
  <si>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</si>
  <si>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</si>
  <si>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</si>
  <si>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</si>
  <si>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</si>
  <si>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</si>
  <si>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</si>
  <si>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</si>
  <si>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</si>
  <si>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</si>
  <si>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</si>
  <si>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</si>
  <si>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</si>
  <si>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</si>
  <si>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</si>
  <si>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</si>
  <si>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</si>
  <si>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</si>
  <si>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</si>
  <si>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</si>
  <si>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</si>
  <si>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</si>
  <si>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</si>
  <si>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</si>
  <si>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</si>
  <si>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</si>
  <si>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</si>
  <si>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</si>
  <si>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</si>
  <si>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</si>
  <si>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</si>
  <si>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</si>
  <si>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</si>
  <si>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</si>
  <si>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</si>
  <si>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</si>
  <si>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</si>
  <si>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</si>
  <si>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</si>
  <si>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</si>
  <si>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</si>
  <si>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</si>
  <si>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</si>
  <si>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</si>
  <si>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</si>
  <si>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</si>
  <si>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</si>
  <si>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</si>
  <si>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</si>
  <si>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</si>
  <si>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</si>
  <si>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</si>
  <si>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</si>
  <si>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</si>
  <si>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</si>
  <si>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</si>
  <si>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</si>
  <si>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</si>
  <si>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</si>
  <si>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</si>
  <si>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</si>
  <si>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</si>
  <si>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</si>
  <si>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</si>
  <si>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</si>
  <si>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</si>
  <si>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</si>
  <si>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</si>
  <si>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</si>
  <si>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</si>
  <si>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</si>
  <si>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</si>
  <si>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</si>
  <si>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</si>
  <si>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</si>
  <si>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</si>
  <si>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</si>
  <si>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</si>
  <si>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</si>
  <si>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</si>
  <si>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</si>
  <si>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</si>
  <si>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</si>
  <si>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</si>
  <si>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</si>
  <si>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</si>
  <si>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</si>
  <si>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</si>
  <si>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</si>
  <si>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</si>
  <si>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</si>
  <si>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</si>
  <si>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</si>
  <si>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</si>
  <si>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</si>
  <si>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</si>
  <si>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</si>
  <si>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</si>
  <si>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</si>
  <si>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</si>
  <si>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</si>
  <si>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</si>
  <si>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</si>
  <si>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</si>
  <si>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</si>
  <si>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</si>
  <si>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</si>
  <si>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</si>
  <si>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</si>
  <si>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</si>
  <si>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</si>
  <si>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</si>
  <si>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</si>
  <si>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</si>
  <si>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</si>
  <si>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</si>
  <si>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</si>
  <si>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</si>
  <si>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</si>
  <si>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</si>
  <si>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</si>
  <si>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</si>
  <si>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</si>
  <si>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</si>
  <si>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</si>
  <si>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</si>
  <si>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</si>
  <si>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</si>
  <si>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</si>
  <si>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</si>
  <si>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</si>
  <si>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</si>
  <si>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</si>
  <si>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</si>
  <si>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</si>
  <si>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</si>
  <si>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</si>
  <si>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</si>
  <si>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</si>
  <si>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</si>
  <si>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</si>
  <si>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</si>
  <si>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</si>
  <si>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</si>
  <si>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</si>
  <si>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</si>
  <si>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</si>
  <si>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</si>
  <si>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</si>
  <si>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</si>
  <si>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</si>
  <si>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</si>
  <si>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</si>
  <si>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</si>
  <si>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</si>
  <si>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</si>
  <si>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</si>
  <si>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</si>
  <si>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</si>
  <si>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</si>
  <si>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</si>
  <si>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</si>
  <si>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</si>
  <si>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</si>
  <si>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</si>
  <si>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</si>
  <si>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</si>
  <si>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</si>
  <si>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</si>
  <si>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</si>
  <si>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</si>
  <si>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</si>
  <si>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</si>
  <si>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</si>
  <si>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</si>
  <si>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</si>
  <si>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</si>
  <si>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</si>
  <si>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</si>
  <si>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</si>
  <si>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</si>
  <si>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</si>
  <si>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</si>
  <si>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</si>
  <si>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</si>
  <si>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</si>
  <si>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</si>
  <si>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</si>
  <si>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</si>
  <si>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</si>
  <si>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</si>
  <si>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</si>
  <si>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</si>
  <si>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</si>
  <si>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</si>
  <si>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</si>
  <si>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</si>
  <si>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</si>
  <si>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</si>
  <si>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</si>
  <si>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</si>
  <si>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</si>
  <si>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</si>
  <si>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</si>
  <si>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</si>
  <si>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</si>
  <si>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</si>
  <si>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</si>
  <si>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</si>
  <si>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</si>
  <si>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</si>
  <si>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</si>
  <si>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</si>
  <si>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</si>
  <si>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</si>
  <si>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</si>
  <si>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</si>
  <si>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</si>
  <si>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</si>
  <si>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</si>
  <si>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</si>
  <si>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</si>
  <si>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</si>
  <si>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</si>
  <si>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</si>
  <si>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</si>
  <si>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</si>
  <si>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</si>
  <si>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</si>
  <si>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</si>
  <si>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</si>
  <si>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</si>
  <si>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</si>
  <si>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</si>
  <si>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</si>
  <si>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</si>
  <si>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</si>
  <si>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</si>
  <si>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</si>
  <si>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</si>
  <si>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</si>
  <si>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</si>
  <si>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</si>
  <si>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</si>
  <si>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</si>
  <si>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</si>
  <si>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</si>
  <si>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</si>
  <si>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</si>
  <si>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</si>
  <si>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</si>
  <si>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</si>
  <si>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</si>
  <si>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</si>
  <si>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</si>
  <si>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</si>
  <si>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</si>
  <si>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</si>
  <si>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</si>
  <si>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</si>
  <si>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</si>
  <si>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</si>
  <si>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</si>
  <si>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</si>
  <si>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</si>
  <si>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</si>
  <si>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</si>
  <si>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</si>
  <si>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</si>
  <si>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</si>
  <si>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</si>
  <si>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</si>
  <si>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</si>
  <si>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</si>
  <si>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</si>
  <si>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</si>
  <si>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</si>
  <si>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</si>
  <si>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</si>
  <si>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</si>
  <si>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</si>
  <si>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</si>
  <si>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</si>
  <si>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</si>
  <si>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</si>
  <si>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</si>
  <si>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</si>
  <si>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</si>
  <si>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</si>
  <si>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</si>
  <si>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</si>
  <si>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</si>
  <si>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</si>
  <si>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</si>
  <si>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</si>
  <si>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</si>
  <si>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</si>
  <si>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</si>
  <si>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</si>
  <si>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</si>
  <si>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</si>
  <si>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</si>
  <si>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</si>
  <si>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</si>
  <si>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</si>
  <si>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</si>
  <si>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</si>
  <si>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</si>
  <si>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</si>
  <si>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</si>
  <si>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</si>
  <si>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</si>
  <si>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</si>
  <si>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</si>
  <si>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</si>
  <si>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</si>
  <si>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</si>
  <si>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</si>
  <si>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</si>
  <si>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</si>
  <si>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</si>
  <si>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</si>
  <si>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</si>
  <si>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</si>
  <si>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</si>
  <si>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</si>
  <si>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</si>
  <si>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</si>
  <si>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</si>
  <si>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</si>
  <si>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</si>
  <si>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</si>
  <si>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</si>
  <si>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</si>
  <si>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</si>
  <si>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</si>
  <si>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</si>
  <si>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</si>
  <si>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</si>
  <si>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</si>
  <si>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</si>
  <si>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</si>
  <si>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</si>
  <si>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</si>
  <si>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</si>
  <si>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</si>
  <si>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</si>
  <si>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</si>
  <si>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</si>
  <si>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</si>
  <si>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</si>
  <si>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</si>
  <si>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</si>
  <si>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</si>
  <si>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</si>
  <si>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</si>
  <si>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</si>
  <si>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</si>
  <si>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</si>
  <si>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</si>
  <si>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</si>
  <si>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</si>
  <si>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</si>
  <si>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</si>
  <si>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</si>
  <si>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</si>
  <si>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</si>
  <si>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</si>
  <si>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</si>
  <si>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</si>
  <si>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</si>
  <si>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</si>
  <si>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</si>
  <si>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</si>
  <si>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</si>
  <si>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</si>
  <si>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</si>
  <si>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</si>
  <si>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</si>
  <si>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</si>
  <si>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</si>
  <si>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</si>
  <si>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</si>
  <si>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</si>
  <si>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</si>
  <si>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</si>
  <si>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</si>
  <si>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</si>
  <si>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</si>
  <si>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</si>
  <si>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</si>
  <si>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</si>
  <si>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</si>
  <si>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</si>
  <si>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</si>
  <si>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</si>
  <si>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</si>
  <si>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</si>
  <si>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</si>
  <si>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</si>
  <si>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</si>
  <si>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</si>
  <si>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</si>
  <si>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</si>
  <si>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</si>
  <si>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</si>
  <si>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</si>
  <si>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</si>
  <si>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</si>
  <si>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</si>
  <si>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</si>
  <si>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</si>
  <si>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</si>
  <si>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</si>
  <si>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</si>
  <si>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</si>
  <si>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</si>
  <si>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</si>
  <si>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</si>
  <si>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</si>
  <si>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</si>
  <si>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</si>
  <si>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</si>
  <si>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</si>
  <si>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</si>
  <si>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</si>
  <si>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</si>
  <si>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</si>
  <si>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</si>
  <si>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</si>
  <si>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</si>
  <si>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</si>
  <si>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</si>
  <si>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</si>
  <si>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</si>
  <si>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</si>
  <si>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</si>
  <si>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</si>
  <si>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</si>
  <si>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</si>
  <si>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</si>
  <si>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</si>
  <si>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</si>
  <si>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</si>
  <si>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</si>
  <si>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</si>
  <si>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</si>
  <si>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</si>
  <si>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</si>
  <si>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</si>
  <si>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</si>
  <si>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</si>
  <si>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</si>
  <si>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</si>
  <si>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</si>
  <si>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</si>
  <si>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</si>
  <si>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</si>
  <si>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</si>
  <si>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</si>
  <si>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</si>
  <si>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</si>
  <si>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</si>
  <si>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</si>
  <si>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</si>
  <si>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</si>
  <si>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</si>
  <si>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</si>
  <si>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</si>
  <si>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</si>
  <si>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</si>
  <si>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</si>
  <si>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</si>
  <si>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</si>
  <si>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</si>
  <si>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</si>
  <si>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</si>
  <si>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</si>
  <si>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</si>
  <si>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</si>
  <si>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</si>
  <si>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</si>
  <si>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</si>
  <si>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</si>
  <si>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</si>
  <si>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</si>
  <si>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</si>
  <si>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</si>
  <si>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</si>
  <si>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</si>
  <si>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</si>
  <si>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</si>
  <si>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</si>
  <si>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</si>
  <si>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</si>
  <si>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</si>
  <si>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</si>
  <si>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</si>
  <si>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</si>
  <si>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</si>
  <si>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</si>
  <si>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</si>
  <si>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</si>
  <si>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</si>
  <si>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</si>
  <si>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</si>
  <si>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</si>
  <si>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</si>
  <si>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</si>
  <si>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</si>
  <si>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</si>
  <si>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</si>
  <si>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</si>
  <si>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</si>
  <si>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</si>
  <si>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</si>
  <si>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</si>
  <si>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</si>
  <si>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</si>
  <si>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</si>
  <si>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</si>
  <si>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</si>
  <si>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</si>
  <si>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</si>
  <si>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</si>
  <si>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</si>
  <si>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</si>
  <si>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</si>
  <si>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</si>
  <si>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</si>
  <si>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</si>
  <si>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</si>
  <si>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</si>
  <si>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</si>
  <si>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</si>
  <si>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</si>
  <si>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</si>
  <si>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</si>
  <si>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</si>
  <si>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</si>
  <si>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</si>
  <si>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</si>
  <si>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</si>
  <si>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</si>
  <si>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</si>
  <si>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</si>
  <si>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</si>
  <si>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</si>
  <si>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</si>
  <si>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</si>
  <si>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</si>
  <si>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</si>
  <si>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</si>
  <si>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</si>
  <si>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</si>
  <si>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</si>
  <si>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</si>
  <si>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</si>
  <si>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</si>
  <si>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</si>
  <si>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</si>
  <si>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</si>
  <si>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</si>
  <si>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</si>
  <si>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</si>
  <si>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</si>
  <si>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</si>
  <si>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</si>
  <si>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</si>
  <si>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</si>
  <si>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</si>
  <si>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</si>
  <si>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</si>
  <si>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</si>
  <si>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</si>
  <si>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</si>
  <si>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</si>
  <si>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</si>
  <si>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</si>
  <si>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</si>
  <si>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</si>
  <si>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</si>
  <si>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</si>
  <si>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</si>
  <si>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</si>
  <si>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</si>
  <si>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</si>
  <si>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</si>
  <si>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</si>
  <si>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</si>
  <si>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</si>
  <si>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</si>
  <si>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</si>
  <si>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</si>
  <si>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</si>
  <si>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</si>
  <si>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</si>
  <si>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</si>
  <si>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</si>
  <si>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</si>
  <si>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</si>
  <si>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</si>
  <si>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</si>
  <si>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</si>
  <si>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</si>
  <si>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</si>
  <si>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</si>
  <si>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</si>
  <si>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</si>
  <si>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</si>
  <si>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</si>
  <si>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</si>
  <si>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</si>
  <si>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</si>
  <si>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</si>
  <si>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</si>
  <si>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</si>
  <si>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</si>
  <si>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</si>
  <si>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</si>
  <si>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</si>
  <si>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</si>
  <si>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</si>
  <si>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</si>
  <si>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</si>
  <si>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</si>
  <si>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</si>
  <si>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</si>
  <si>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</si>
  <si>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</si>
  <si>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</si>
  <si>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</si>
  <si>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</si>
  <si>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</si>
  <si>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</si>
  <si>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</si>
  <si>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</si>
  <si>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</si>
  <si>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</si>
  <si>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</si>
  <si>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</si>
  <si>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</si>
  <si>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</si>
  <si>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</si>
  <si>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</si>
  <si>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</si>
  <si>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</si>
  <si>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</si>
  <si>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</si>
  <si>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</si>
  <si>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</si>
  <si>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</si>
  <si>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</si>
  <si>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</si>
  <si>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</si>
  <si>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</si>
  <si>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</si>
  <si>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</si>
  <si>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</si>
  <si>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</si>
  <si>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</si>
  <si>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</si>
  <si>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</si>
  <si>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</si>
  <si>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</si>
  <si>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</si>
  <si>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</si>
  <si>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</si>
  <si>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</si>
  <si>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</si>
  <si>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</si>
  <si>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</si>
  <si>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</si>
  <si>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</si>
  <si>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</si>
  <si>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</si>
  <si>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</si>
  <si>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</si>
  <si>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</si>
  <si>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</si>
  <si>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</si>
  <si>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</si>
  <si>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</si>
  <si>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</si>
  <si>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</si>
  <si>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</si>
  <si>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</si>
  <si>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</si>
  <si>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</si>
  <si>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</si>
  <si>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</si>
  <si>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</si>
  <si>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</si>
  <si>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</si>
  <si>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</si>
  <si>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</si>
  <si>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</si>
  <si>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</si>
  <si>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</si>
  <si>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</si>
  <si>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</si>
  <si>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</si>
  <si>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</si>
  <si>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</si>
  <si>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</si>
  <si>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</si>
  <si>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</si>
  <si>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</si>
  <si>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</si>
  <si>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</si>
  <si>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</si>
  <si>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</si>
  <si>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</si>
  <si>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</si>
  <si>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</si>
  <si>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</si>
  <si>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</si>
  <si>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</si>
  <si>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</si>
  <si>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</si>
  <si>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</si>
  <si>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</si>
  <si>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</si>
  <si>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</si>
  <si>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</si>
  <si>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</si>
  <si>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</si>
  <si>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</si>
  <si>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</si>
  <si>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</si>
  <si>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</si>
  <si>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</si>
  <si>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</si>
  <si>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</si>
  <si>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</si>
  <si>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</si>
  <si>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</si>
  <si>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</si>
  <si>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</si>
  <si>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</si>
  <si>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</si>
  <si>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</si>
  <si>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</si>
  <si>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</si>
  <si>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</si>
  <si>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</si>
  <si>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</si>
  <si>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</si>
  <si>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</si>
  <si>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</si>
  <si>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</si>
  <si>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</si>
  <si>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</si>
  <si>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</si>
  <si>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</si>
  <si>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</si>
  <si>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</si>
  <si>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</si>
  <si>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</si>
  <si>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</si>
  <si>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</si>
  <si>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</si>
  <si>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</si>
  <si>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</si>
  <si>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</si>
  <si>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</si>
  <si>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</si>
  <si>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</si>
  <si>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</si>
  <si>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</si>
  <si>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</si>
  <si>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</si>
  <si>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</si>
  <si>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</si>
  <si>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</si>
  <si>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</si>
  <si>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</si>
  <si>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</si>
  <si>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</si>
  <si>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</si>
  <si>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</si>
  <si>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</si>
  <si>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</si>
  <si>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</si>
  <si>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</si>
  <si>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</si>
  <si>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</si>
  <si>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</si>
  <si>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</si>
  <si>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</si>
  <si>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</si>
  <si>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</si>
  <si>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</si>
  <si>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</si>
  <si>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</si>
  <si>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</si>
  <si>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</si>
  <si>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</si>
  <si>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</si>
  <si>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</si>
  <si>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</si>
  <si>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</si>
  <si>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</si>
  <si>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</si>
  <si>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</si>
  <si>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</si>
  <si>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</si>
  <si>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</si>
  <si>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</si>
  <si>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</si>
  <si>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</si>
  <si>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</si>
  <si>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</si>
  <si>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</si>
  <si>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</si>
  <si>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</si>
  <si>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</si>
  <si>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</si>
  <si>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</si>
  <si>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</si>
  <si>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</si>
  <si>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</si>
  <si>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</si>
  <si>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</si>
  <si>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</si>
  <si>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</si>
  <si>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</si>
  <si>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</si>
  <si>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</si>
  <si>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</si>
  <si>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</si>
  <si>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</si>
  <si>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</si>
  <si>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</si>
  <si>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</si>
  <si>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</si>
  <si>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</si>
  <si>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</si>
  <si>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</si>
  <si>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</si>
  <si>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</si>
  <si>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</si>
  <si>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</si>
  <si>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</si>
  <si>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</si>
  <si>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</si>
  <si>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</si>
  <si>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</si>
  <si>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</si>
  <si>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</si>
  <si>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</si>
  <si>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</si>
  <si>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</si>
  <si>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</si>
  <si>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</si>
  <si>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</si>
  <si>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</si>
  <si>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</si>
  <si>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</si>
  <si>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</si>
  <si>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</si>
  <si>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</si>
  <si>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</si>
  <si>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</si>
  <si>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</si>
  <si>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</si>
  <si>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</si>
  <si>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</si>
  <si>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</si>
  <si>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</si>
  <si>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</si>
  <si>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</si>
  <si>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</si>
  <si>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</si>
  <si>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</si>
  <si>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</si>
  <si>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</si>
  <si>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</si>
  <si>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</si>
  <si>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</si>
  <si>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</si>
  <si>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</si>
  <si>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</si>
  <si>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</si>
  <si>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</si>
  <si>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</si>
  <si>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</si>
  <si>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</si>
  <si>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</si>
  <si>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</si>
  <si>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</si>
  <si>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</si>
  <si>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</si>
  <si>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</si>
  <si>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</si>
  <si>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</si>
  <si>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</si>
  <si>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</si>
  <si>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</si>
  <si>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</si>
  <si>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</si>
  <si>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</si>
  <si>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</si>
  <si>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</si>
  <si>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</si>
  <si>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</si>
  <si>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</si>
  <si>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</si>
  <si>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</si>
  <si>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</si>
  <si>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</si>
  <si>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</si>
  <si>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</si>
  <si>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</si>
  <si>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</si>
  <si>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</si>
  <si>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</si>
  <si>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</si>
  <si>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</si>
  <si>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</si>
  <si>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</si>
  <si>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</si>
  <si>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</si>
  <si>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</si>
  <si>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</si>
  <si>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</si>
  <si>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</si>
  <si>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</si>
  <si>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</si>
  <si>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</si>
  <si>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</si>
  <si>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</si>
  <si>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</si>
  <si>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</si>
  <si>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</si>
  <si>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</si>
  <si>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</si>
  <si>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</si>
  <si>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</si>
  <si>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</si>
  <si>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</si>
  <si>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</si>
  <si>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</si>
  <si>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</si>
  <si>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</si>
  <si>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</si>
  <si>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</si>
  <si>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</si>
  <si>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</si>
  <si>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</si>
  <si>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</si>
  <si>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</si>
  <si>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</si>
  <si>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</si>
  <si>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</si>
  <si>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</si>
  <si>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</si>
  <si>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</si>
  <si>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</si>
  <si>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</si>
  <si>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</si>
  <si>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</si>
  <si>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</si>
  <si>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</si>
  <si>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</si>
  <si>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</si>
  <si>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</si>
  <si>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</si>
  <si>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</si>
  <si>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</si>
  <si>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</si>
  <si>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</si>
  <si>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</si>
  <si>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</si>
  <si>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</si>
  <si>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</si>
  <si>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</si>
  <si>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</si>
  <si>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</si>
  <si>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</si>
  <si>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</si>
  <si>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</si>
  <si>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</si>
  <si>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</si>
  <si>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</si>
  <si>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</si>
  <si>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</si>
  <si>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</si>
  <si>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</si>
  <si>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</si>
  <si>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</si>
  <si>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</si>
  <si>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</si>
  <si>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</si>
  <si>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</si>
  <si>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</si>
  <si>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</si>
  <si>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</si>
  <si>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</si>
  <si>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</si>
  <si>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</si>
  <si>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</si>
  <si>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</si>
  <si>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</si>
  <si>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</si>
  <si>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</si>
  <si>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</si>
  <si>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</si>
  <si>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</si>
  <si>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</si>
  <si>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</si>
  <si>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</si>
  <si>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</si>
  <si>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</si>
  <si>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</si>
  <si>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</si>
  <si>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</si>
  <si>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</si>
  <si>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</si>
  <si>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</si>
  <si>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</si>
  <si>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</si>
  <si>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</si>
  <si>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</si>
  <si>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</si>
  <si>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</si>
  <si>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</si>
  <si>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</si>
  <si>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</si>
  <si>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</si>
  <si>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</si>
  <si>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</si>
  <si>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</si>
  <si>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</si>
  <si>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</si>
  <si>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</si>
  <si>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</si>
  <si>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</si>
  <si>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</si>
  <si>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</si>
  <si>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</si>
  <si>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</si>
  <si>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</si>
  <si>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</si>
  <si>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</si>
  <si>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</si>
  <si>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</si>
  <si>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</si>
  <si>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</si>
  <si>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</si>
  <si>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</si>
  <si>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</si>
  <si>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</si>
  <si>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</si>
  <si>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</si>
  <si>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</si>
  <si>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</si>
  <si>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</si>
  <si>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</si>
  <si>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</si>
  <si>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</si>
  <si>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</si>
  <si>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</si>
  <si>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</si>
  <si>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</si>
  <si>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</si>
  <si>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</si>
  <si>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</si>
  <si>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</si>
  <si>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</si>
  <si>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</si>
  <si>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</si>
  <si>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</si>
  <si>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</si>
  <si>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</si>
  <si>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</si>
  <si>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</si>
  <si>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</si>
  <si>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</si>
  <si>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</si>
  <si>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</si>
  <si>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</si>
  <si>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</si>
  <si>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</si>
  <si>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</si>
  <si>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</si>
  <si>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</si>
  <si>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</si>
  <si>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</si>
  <si>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</si>
  <si>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</si>
  <si>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</si>
  <si>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</si>
  <si>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</si>
  <si>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</si>
  <si>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</si>
  <si>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</si>
  <si>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</si>
  <si>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</si>
  <si>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</si>
  <si>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</si>
  <si>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</si>
  <si>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</si>
  <si>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</si>
  <si>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</si>
  <si>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</si>
  <si>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</si>
  <si>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</si>
  <si>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</si>
  <si>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</si>
  <si>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</si>
  <si>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</si>
  <si>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</si>
  <si>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</si>
  <si>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</si>
  <si>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</si>
  <si>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</si>
  <si>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</si>
  <si>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</si>
  <si>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</si>
  <si>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</si>
  <si>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</si>
  <si>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</si>
  <si>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</si>
  <si>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</si>
  <si>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</si>
  <si>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</si>
  <si>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</si>
  <si>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</si>
  <si>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</si>
  <si>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</si>
  <si>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</si>
  <si>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</si>
  <si>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</si>
  <si>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</si>
  <si>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</si>
  <si>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</si>
  <si>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</si>
  <si>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</si>
  <si>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</si>
  <si>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</si>
  <si>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</si>
  <si>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</si>
  <si>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</si>
  <si>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</si>
  <si>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</si>
  <si>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</si>
  <si>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</si>
  <si>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</si>
  <si>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</si>
  <si>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</si>
  <si>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</si>
  <si>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</si>
  <si>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</si>
  <si>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</si>
  <si>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</si>
  <si>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</si>
  <si>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</si>
  <si>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</si>
  <si>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</si>
  <si>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</si>
  <si>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</si>
  <si>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</si>
  <si>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</si>
  <si>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</si>
  <si>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</si>
  <si>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</si>
  <si>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</si>
  <si>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</si>
  <si>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</si>
  <si>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</si>
  <si>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</si>
  <si>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</si>
  <si>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</si>
  <si>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</si>
  <si>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</si>
  <si>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</si>
  <si>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</si>
  <si>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</si>
  <si>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</si>
  <si>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</si>
  <si>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</si>
  <si>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</si>
  <si>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</si>
  <si>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</si>
  <si>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</si>
  <si>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</si>
  <si>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</si>
  <si>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</si>
  <si>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</si>
  <si>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</si>
  <si>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</si>
  <si>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</si>
  <si>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</si>
  <si>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</si>
  <si>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</si>
  <si>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</si>
  <si>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</si>
  <si>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</si>
  <si>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</si>
  <si>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</si>
  <si>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</si>
  <si>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</si>
  <si>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</si>
  <si>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</si>
  <si>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</si>
  <si>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</si>
  <si>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</si>
  <si>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</si>
  <si>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</si>
  <si>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</si>
  <si>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</si>
  <si>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</si>
  <si>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</si>
  <si>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</si>
  <si>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</si>
  <si>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</si>
  <si>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</si>
  <si>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</si>
  <si>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</si>
  <si>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</si>
  <si>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</si>
  <si>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</si>
  <si>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</si>
  <si>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</si>
  <si>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</si>
  <si>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</si>
  <si>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</si>
  <si>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</si>
  <si>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</si>
  <si>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</si>
  <si>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</si>
  <si>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</si>
  <si>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</si>
  <si>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</si>
  <si>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</si>
  <si>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</si>
  <si>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</si>
  <si>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</si>
  <si>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</si>
  <si>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</si>
  <si>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</si>
  <si>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</si>
  <si>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</si>
  <si>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</si>
  <si>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</si>
  <si>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</si>
  <si>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</si>
  <si>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</si>
  <si>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</si>
  <si>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</si>
  <si>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</si>
  <si>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</si>
  <si>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</si>
  <si>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</si>
  <si>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</si>
  <si>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</si>
  <si>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</si>
  <si>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</si>
  <si>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</si>
  <si>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</si>
  <si>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</si>
  <si>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</si>
  <si>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</si>
  <si>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</si>
  <si>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</si>
  <si>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</si>
  <si>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</si>
  <si>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</si>
  <si>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</si>
  <si>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</si>
  <si>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</si>
  <si>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</si>
  <si>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</si>
  <si>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</si>
  <si>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</si>
  <si>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</si>
  <si>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</si>
  <si>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</si>
  <si>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</si>
  <si>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</si>
  <si>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</si>
  <si>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</si>
  <si>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</si>
  <si>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</si>
  <si>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</si>
  <si>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</si>
  <si>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</si>
  <si>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</si>
  <si>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</si>
  <si>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</si>
  <si>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</si>
  <si>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</si>
  <si>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</si>
  <si>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</si>
  <si>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</si>
  <si>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</si>
  <si>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</si>
  <si>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</si>
  <si>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</si>
  <si>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</si>
  <si>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</si>
  <si>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</si>
  <si>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</si>
  <si>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</si>
  <si>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</si>
  <si>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</si>
  <si>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</si>
  <si>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</si>
  <si>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</si>
  <si>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</si>
  <si>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</si>
  <si>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</si>
  <si>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</si>
  <si>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</si>
  <si>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</si>
  <si>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</si>
  <si>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</si>
  <si>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</si>
  <si>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</si>
  <si>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</si>
  <si>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</si>
  <si>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</si>
  <si>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</si>
  <si>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</si>
  <si>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</si>
  <si>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</si>
  <si>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</si>
  <si>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</si>
  <si>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</si>
  <si>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</si>
  <si>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</si>
  <si>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</si>
  <si>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</si>
  <si>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</si>
  <si>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</si>
  <si>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</si>
  <si>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</si>
  <si>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</si>
  <si>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</si>
  <si>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</si>
  <si>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</si>
  <si>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</si>
  <si>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</si>
  <si>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</si>
  <si>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</si>
  <si>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</si>
  <si>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</si>
  <si>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</si>
  <si>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</si>
  <si>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</si>
  <si>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</si>
  <si>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</si>
  <si>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</si>
  <si>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</si>
  <si>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</si>
  <si>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</si>
  <si>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</si>
  <si>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</si>
  <si>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</si>
  <si>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</si>
  <si>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</si>
  <si>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</si>
  <si>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</si>
  <si>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</si>
  <si>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</si>
  <si>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</si>
  <si>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</si>
  <si>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</si>
  <si>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</si>
  <si>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</si>
  <si>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</si>
  <si>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</si>
  <si>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</si>
  <si>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</si>
  <si>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</si>
  <si>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</si>
  <si>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</si>
  <si>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</si>
  <si>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</si>
  <si>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</si>
  <si>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</si>
  <si>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</si>
  <si>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</si>
  <si>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</si>
  <si>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</si>
  <si>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</si>
  <si>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</si>
  <si>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</si>
  <si>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</si>
  <si>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</si>
  <si>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</si>
  <si>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</si>
  <si>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</si>
  <si>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</si>
  <si>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</si>
  <si>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</si>
  <si>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</si>
  <si>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</si>
  <si>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</si>
  <si>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</si>
  <si>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</si>
  <si>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</si>
  <si>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</si>
  <si>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</si>
  <si>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</si>
  <si>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</si>
  <si>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</si>
  <si>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</si>
  <si>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</si>
  <si>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</si>
  <si>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</si>
  <si>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</si>
  <si>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</si>
  <si>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</si>
  <si>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</si>
  <si>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</si>
  <si>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</si>
  <si>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</si>
  <si>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</si>
  <si>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</si>
  <si>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</si>
  <si>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</si>
  <si>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</si>
  <si>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</si>
  <si>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</si>
  <si>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</si>
  <si>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</si>
  <si>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</si>
  <si>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</si>
  <si>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</si>
  <si>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</si>
  <si>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</si>
  <si>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</si>
  <si>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</si>
  <si>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</si>
  <si>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</si>
  <si>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</si>
  <si>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</si>
  <si>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</si>
  <si>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</si>
  <si>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</si>
  <si>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</si>
  <si>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</si>
  <si>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</si>
  <si>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</si>
  <si>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</si>
  <si>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</si>
  <si>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</si>
  <si>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</si>
  <si>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</si>
  <si>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</si>
  <si>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</si>
  <si>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</si>
  <si>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</si>
  <si>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</si>
  <si>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</si>
  <si>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</si>
  <si>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</si>
  <si>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</si>
  <si>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</si>
  <si>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</si>
  <si>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</si>
  <si>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</si>
  <si>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</si>
  <si>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</si>
  <si>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</si>
  <si>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</si>
  <si>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</si>
  <si>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</si>
  <si>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</si>
  <si>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</si>
  <si>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</si>
  <si>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</si>
  <si>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</si>
  <si>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</si>
  <si>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</si>
  <si>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</si>
  <si>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</si>
  <si>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</si>
  <si>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</si>
  <si>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</si>
  <si>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</si>
  <si>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</si>
  <si>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</si>
  <si>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</si>
  <si>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</si>
  <si>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</si>
  <si>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</si>
  <si>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</si>
  <si>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</si>
  <si>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</si>
  <si>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</si>
  <si>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</si>
  <si>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</si>
  <si>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</si>
  <si>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</si>
  <si>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</si>
  <si>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</si>
  <si>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</si>
  <si>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</si>
  <si>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</si>
  <si>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</si>
  <si>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</si>
  <si>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</si>
  <si>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</si>
  <si>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</si>
  <si>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</si>
  <si>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</si>
  <si>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</si>
  <si>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</si>
  <si>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</si>
  <si>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</si>
  <si>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</si>
  <si>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</si>
  <si>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</si>
  <si>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</si>
  <si>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</si>
  <si>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</si>
  <si>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</si>
  <si>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</si>
  <si>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</si>
  <si>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</si>
  <si>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</si>
  <si>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</si>
  <si>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</si>
  <si>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</si>
  <si>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</si>
  <si>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</si>
  <si>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</si>
  <si>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</si>
  <si>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</si>
  <si>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</si>
  <si>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</si>
  <si>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</si>
  <si>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</si>
  <si>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</si>
  <si>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</si>
  <si>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</si>
  <si>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</si>
  <si>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</si>
  <si>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</si>
  <si>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</si>
  <si>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</si>
  <si>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</si>
  <si>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</si>
  <si>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</si>
  <si>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</si>
  <si>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</si>
  <si>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</si>
  <si>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</si>
  <si>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</si>
  <si>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</si>
  <si>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</si>
  <si>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</si>
  <si>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</si>
  <si>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</si>
  <si>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</si>
  <si>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</si>
  <si>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</si>
  <si>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</si>
  <si>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</si>
  <si>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</si>
  <si>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</si>
  <si>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</si>
  <si>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</si>
  <si>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</si>
  <si>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</si>
  <si>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</si>
  <si>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</si>
  <si>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</si>
  <si>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</si>
  <si>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</si>
  <si>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</si>
  <si>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</si>
  <si>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</si>
  <si>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</si>
  <si>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</si>
  <si>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</si>
  <si>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</si>
  <si>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</si>
  <si>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</si>
  <si>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</si>
  <si>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</si>
  <si>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</si>
  <si>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</si>
  <si>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</si>
  <si>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</si>
  <si>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</si>
  <si>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</si>
  <si>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</si>
  <si>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</si>
  <si>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</si>
  <si>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</si>
  <si>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</si>
  <si>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</si>
  <si>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</si>
  <si>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</si>
  <si>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</si>
  <si>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</si>
  <si>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</si>
  <si>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</si>
  <si>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</si>
  <si>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</si>
  <si>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</si>
  <si>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</si>
  <si>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</si>
  <si>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</si>
  <si>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</si>
  <si>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</si>
  <si>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</si>
  <si>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</si>
  <si>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</si>
  <si>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</si>
  <si>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</si>
  <si>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</si>
  <si>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</si>
  <si>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</si>
  <si>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</si>
  <si>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</si>
  <si>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</si>
  <si>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</si>
  <si>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</si>
  <si>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</si>
  <si>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</si>
  <si>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</si>
  <si>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</si>
  <si>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</si>
  <si>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</si>
  <si>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</si>
  <si>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</si>
  <si>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</si>
  <si>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</si>
  <si>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</si>
  <si>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</si>
  <si>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</si>
  <si>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</si>
  <si>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</si>
  <si>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</si>
  <si>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</si>
  <si>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</si>
  <si>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</si>
  <si>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</si>
  <si>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</si>
  <si>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</si>
  <si>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</si>
  <si>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</si>
  <si>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</si>
  <si>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</si>
  <si>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</si>
  <si>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</si>
  <si>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</si>
  <si>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</si>
  <si>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</si>
  <si>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</si>
  <si>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</si>
  <si>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</si>
  <si>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</si>
  <si>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</si>
  <si>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</si>
  <si>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</si>
  <si>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</si>
  <si>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</si>
  <si>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</si>
  <si>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</si>
  <si>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</si>
  <si>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</si>
  <si>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</si>
  <si>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</si>
  <si>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</si>
  <si>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</si>
  <si>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</si>
  <si>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</si>
  <si>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</si>
  <si>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</si>
  <si>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</si>
  <si>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</si>
  <si>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</si>
  <si>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</si>
  <si>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</si>
  <si>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</si>
  <si>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</si>
  <si>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</si>
  <si>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</si>
  <si>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</si>
  <si>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</si>
  <si>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</si>
  <si>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</si>
  <si>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</si>
  <si>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</si>
  <si>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</si>
  <si>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</si>
  <si>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</si>
  <si>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</si>
  <si>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</si>
  <si>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</si>
  <si>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</si>
  <si>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</si>
  <si>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</si>
  <si>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</si>
  <si>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</si>
  <si>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</si>
  <si>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</si>
  <si>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</si>
  <si>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</si>
  <si>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</si>
  <si>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</si>
  <si>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</si>
  <si>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</si>
  <si>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</si>
  <si>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</si>
  <si>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</si>
  <si>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</si>
  <si>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</si>
  <si>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</si>
  <si>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</si>
  <si>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</si>
  <si>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</si>
  <si>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</si>
  <si>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</si>
  <si>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</si>
  <si>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</si>
  <si>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</si>
  <si>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</si>
  <si>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</si>
  <si>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</si>
  <si>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</si>
  <si>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</si>
  <si>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</si>
  <si>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</si>
  <si>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</si>
  <si>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</si>
  <si>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</si>
  <si>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</si>
  <si>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</si>
  <si>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</si>
  <si>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</si>
  <si>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</si>
  <si>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</si>
  <si>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</si>
  <si>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</si>
  <si>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</si>
  <si>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</si>
  <si>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</si>
  <si>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</si>
  <si>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</si>
  <si>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</si>
  <si>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</si>
  <si>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</si>
  <si>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</si>
  <si>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</si>
  <si>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</si>
  <si>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</si>
  <si>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</si>
  <si>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</si>
  <si>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</si>
  <si>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</si>
  <si>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</si>
  <si>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</si>
  <si>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</si>
  <si>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</si>
  <si>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</si>
  <si>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</si>
  <si>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</si>
  <si>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</si>
  <si>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</si>
  <si>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</si>
  <si>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</si>
  <si>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</si>
  <si>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</si>
  <si>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</si>
  <si>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</si>
  <si>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</si>
  <si>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</si>
  <si>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</si>
  <si>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</si>
  <si>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</si>
  <si>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</si>
  <si>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</si>
  <si>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</si>
  <si>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</si>
  <si>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</si>
  <si>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</si>
  <si>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</si>
  <si>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</si>
  <si>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</si>
  <si>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</si>
  <si>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</si>
  <si>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</si>
  <si>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</si>
  <si>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</si>
  <si>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</si>
  <si>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</si>
  <si>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</si>
  <si>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</si>
  <si>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</si>
  <si>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</si>
  <si>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</si>
  <si>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</si>
  <si>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</si>
  <si>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</si>
  <si>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</si>
  <si>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</si>
  <si>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</si>
  <si>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</si>
  <si>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</si>
  <si>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</si>
  <si>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</si>
  <si>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</si>
  <si>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</si>
  <si>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</si>
  <si>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</si>
  <si>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</si>
  <si>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</si>
  <si>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</si>
  <si>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</si>
  <si>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</si>
  <si>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</si>
  <si>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</si>
  <si>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</si>
  <si>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</si>
  <si>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</si>
  <si>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</si>
  <si>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</si>
  <si>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</si>
  <si>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</si>
  <si>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</si>
  <si>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</si>
  <si>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</si>
  <si>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</si>
  <si>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</si>
  <si>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</si>
  <si>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</si>
  <si>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</si>
  <si>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</si>
  <si>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</si>
  <si>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</si>
  <si>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</si>
  <si>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</si>
  <si>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</si>
  <si>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</si>
  <si>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</si>
  <si>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</si>
  <si>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</si>
  <si>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</si>
  <si>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</si>
  <si>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</si>
  <si>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</si>
  <si>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</si>
  <si>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</si>
  <si>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</si>
  <si>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</si>
  <si>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</si>
  <si>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</si>
  <si>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</si>
  <si>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</si>
  <si>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</si>
  <si>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</si>
  <si>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</si>
  <si>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</si>
  <si>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</si>
  <si>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</si>
  <si>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</si>
  <si>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</si>
  <si>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</si>
  <si>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</si>
  <si>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</si>
  <si>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</si>
  <si>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</si>
  <si>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</si>
  <si>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</si>
  <si>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</si>
  <si>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</si>
  <si>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</si>
  <si>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</si>
  <si>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</si>
  <si>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</si>
  <si>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</si>
  <si>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</si>
  <si>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</si>
  <si>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</si>
  <si>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</si>
  <si>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</si>
  <si>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</si>
  <si>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</si>
  <si>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</si>
  <si>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</si>
  <si>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</si>
  <si>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</si>
  <si>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</si>
  <si>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</si>
  <si>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</si>
  <si>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</si>
  <si>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</si>
  <si>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</si>
  <si>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</si>
  <si>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</si>
  <si>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</si>
  <si>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</si>
  <si>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</si>
  <si>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</si>
  <si>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</si>
  <si>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</si>
  <si>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</si>
  <si>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</si>
  <si>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</si>
  <si>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</si>
  <si>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</si>
  <si>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</si>
  <si>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</si>
  <si>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</si>
  <si>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</si>
  <si>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</si>
  <si>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</si>
  <si>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</si>
  <si>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</si>
  <si>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</si>
  <si>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</si>
  <si>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</si>
  <si>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</si>
  <si>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</si>
  <si>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</si>
  <si>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</si>
  <si>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</si>
  <si>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</si>
  <si>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</si>
  <si>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</si>
  <si>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</si>
  <si>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</si>
  <si>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</si>
  <si>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</si>
  <si>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</si>
  <si>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</si>
  <si>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</si>
  <si>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</si>
  <si>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</si>
  <si>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</si>
  <si>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</si>
  <si>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</si>
  <si>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</si>
  <si>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</si>
  <si>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</si>
  <si>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</si>
  <si>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</si>
  <si>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</si>
  <si>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</si>
  <si>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</si>
  <si>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</si>
  <si>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</si>
  <si>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</si>
  <si>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</si>
  <si>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</si>
  <si>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</si>
  <si>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</si>
  <si>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</si>
  <si>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</si>
  <si>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</si>
  <si>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</si>
  <si>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</si>
  <si>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</si>
  <si>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</si>
  <si>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</si>
  <si>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</si>
  <si>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</si>
  <si>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</si>
  <si>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</si>
  <si>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</si>
  <si>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</si>
  <si>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</si>
  <si>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</si>
  <si>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</si>
  <si>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</si>
  <si>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</si>
  <si>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</si>
  <si>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</si>
  <si>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</si>
  <si>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</si>
  <si>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</si>
  <si>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</si>
  <si>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</si>
  <si>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</si>
  <si>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</si>
  <si>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</si>
  <si>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</si>
  <si>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</si>
  <si>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</si>
  <si>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</si>
  <si>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</si>
  <si>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</si>
  <si>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</si>
  <si>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</si>
  <si>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</si>
  <si>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</si>
  <si>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</si>
  <si>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</si>
  <si>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</si>
  <si>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</si>
  <si>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</si>
  <si>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</si>
  <si>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</si>
  <si>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</si>
  <si>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</si>
  <si>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</si>
  <si>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</si>
  <si>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</si>
  <si>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</si>
  <si>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</si>
  <si>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</si>
  <si>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</si>
  <si>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</si>
  <si>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</si>
  <si>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</si>
  <si>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</si>
  <si>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</si>
  <si>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</si>
  <si>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</si>
  <si>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</si>
  <si>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</si>
  <si>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</si>
  <si>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</si>
  <si>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</si>
  <si>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</si>
  <si>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</si>
  <si>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</si>
  <si>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</si>
  <si>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</si>
  <si>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</si>
  <si>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</si>
  <si>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</si>
  <si>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</si>
  <si>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</si>
  <si>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</si>
  <si>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</si>
  <si>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</si>
  <si>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</si>
  <si>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</si>
  <si>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</si>
  <si>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</si>
  <si>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</si>
  <si>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</si>
  <si>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</si>
  <si>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</si>
  <si>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</si>
  <si>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</si>
  <si>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</si>
  <si>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</si>
  <si>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</si>
  <si>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</si>
  <si>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</si>
  <si>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</si>
  <si>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</si>
  <si>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</si>
  <si>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</si>
  <si>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</si>
  <si>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</si>
  <si>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</si>
  <si>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</si>
  <si>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</si>
  <si>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</si>
  <si>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</si>
  <si>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</si>
  <si>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</si>
  <si>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</si>
  <si>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</si>
  <si>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</si>
  <si>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</si>
  <si>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</si>
  <si>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</si>
  <si>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</si>
  <si>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</si>
  <si>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</si>
  <si>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</si>
  <si>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</si>
  <si>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</si>
  <si>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</si>
  <si>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</si>
  <si>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</si>
  <si>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</si>
  <si>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</si>
  <si>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</si>
  <si>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</si>
  <si>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</si>
  <si>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</si>
  <si>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</si>
  <si>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</si>
  <si>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</si>
  <si>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</si>
  <si>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</si>
  <si>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</si>
  <si>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</si>
  <si>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</si>
  <si>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</si>
  <si>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</si>
  <si>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</si>
  <si>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</si>
  <si>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</si>
  <si>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</si>
  <si>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</si>
  <si>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</si>
  <si>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</si>
  <si>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</si>
  <si>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</si>
  <si>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</si>
  <si>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</si>
  <si>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</si>
  <si>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</si>
  <si>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</si>
  <si>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</si>
  <si>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</si>
  <si>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</si>
  <si>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</si>
  <si>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</si>
  <si>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</si>
  <si>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</si>
  <si>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</si>
  <si>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</si>
  <si>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</si>
  <si>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</si>
  <si>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</si>
  <si>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</si>
  <si>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</si>
  <si>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</si>
  <si>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</si>
  <si>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</si>
  <si>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</si>
  <si>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</si>
  <si>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</si>
  <si>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</si>
  <si>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</si>
  <si>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</si>
  <si>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</si>
  <si>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</si>
  <si>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</si>
  <si>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</si>
  <si>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</si>
  <si>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</si>
  <si>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</si>
  <si>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</si>
  <si>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</si>
  <si>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</si>
  <si>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</si>
  <si>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</si>
  <si>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</si>
  <si>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</si>
  <si>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</si>
  <si>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</si>
  <si>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</si>
  <si>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</si>
  <si>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</si>
  <si>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</si>
  <si>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</si>
  <si>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</si>
  <si>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</si>
  <si>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</si>
  <si>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</si>
  <si>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</si>
  <si>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</si>
  <si>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</si>
  <si>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</si>
  <si>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</si>
  <si>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</si>
  <si>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</si>
  <si>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</si>
  <si>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</si>
  <si>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</si>
  <si>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</si>
  <si>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</si>
  <si>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</si>
  <si>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</si>
  <si>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</si>
  <si>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</si>
  <si>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</si>
  <si>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</si>
  <si>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</si>
  <si>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</si>
  <si>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</si>
  <si>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</si>
  <si>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</si>
  <si>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</si>
  <si>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</si>
  <si>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</si>
  <si>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</si>
  <si>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</si>
  <si>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</si>
  <si>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</si>
  <si>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</si>
  <si>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</si>
  <si>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</si>
  <si>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</si>
  <si>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</si>
  <si>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</si>
  <si>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</si>
  <si>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</si>
  <si>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</si>
  <si>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</si>
  <si>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</si>
  <si>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</si>
  <si>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</si>
  <si>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</si>
  <si>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</si>
  <si>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</si>
  <si>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</si>
  <si>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</si>
  <si>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</si>
  <si>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</si>
  <si>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</si>
  <si>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</si>
  <si>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</si>
  <si>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</si>
  <si>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</si>
  <si>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</si>
  <si>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</si>
  <si>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</si>
  <si>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</si>
  <si>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</si>
  <si>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</si>
  <si>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</si>
  <si>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</si>
  <si>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</si>
  <si>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</si>
  <si>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</si>
  <si>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</si>
  <si>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</si>
  <si>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</si>
  <si>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</si>
  <si>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</si>
  <si>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</si>
  <si>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</si>
  <si>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</si>
  <si>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</si>
  <si>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</si>
  <si>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</si>
  <si>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</si>
  <si>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</si>
  <si>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</si>
  <si>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</si>
  <si>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</si>
  <si>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</si>
  <si>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</si>
  <si>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</si>
  <si>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</si>
  <si>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</si>
  <si>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</si>
  <si>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</si>
  <si>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</si>
  <si>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</si>
  <si>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</si>
  <si>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</si>
  <si>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</si>
  <si>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</si>
  <si>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</si>
  <si>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</si>
  <si>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</si>
  <si>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</si>
  <si>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</si>
  <si>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</si>
  <si>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</si>
  <si>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</si>
  <si>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</si>
  <si>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</si>
  <si>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</si>
  <si>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</si>
  <si>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</si>
  <si>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</si>
  <si>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</si>
  <si>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</si>
  <si>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</si>
  <si>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</si>
  <si>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</si>
  <si>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</si>
  <si>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</si>
  <si>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</si>
  <si>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</si>
  <si>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</si>
  <si>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</si>
  <si>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</si>
  <si>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</si>
  <si>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</si>
  <si>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</si>
  <si>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</si>
  <si>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</si>
  <si>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</si>
  <si>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</si>
  <si>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</si>
  <si>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</si>
  <si>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</si>
  <si>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</si>
  <si>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</si>
  <si>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</si>
  <si>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</si>
  <si>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</si>
  <si>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</si>
  <si>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</si>
  <si>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</si>
  <si>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</si>
  <si>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</si>
  <si>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</si>
  <si>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</si>
  <si>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</si>
  <si>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</si>
  <si>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</si>
  <si>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</si>
  <si>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</si>
  <si>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</si>
  <si>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</si>
  <si>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</si>
  <si>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</si>
  <si>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</si>
  <si>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</si>
  <si>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</si>
  <si>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</si>
  <si>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</si>
  <si>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</si>
  <si>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</si>
  <si>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</si>
  <si>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</si>
  <si>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</si>
  <si>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</si>
  <si>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</si>
  <si>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</si>
  <si>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</si>
  <si>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</si>
  <si>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</si>
  <si>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</si>
  <si>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</si>
  <si>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</si>
  <si>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</si>
  <si>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</si>
  <si>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</si>
  <si>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</si>
  <si>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</si>
  <si>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</si>
  <si>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</si>
  <si>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</si>
  <si>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</si>
  <si>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</si>
  <si>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</si>
  <si>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</si>
  <si>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</si>
  <si>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</si>
  <si>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</si>
  <si>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</si>
  <si>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</si>
  <si>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</si>
  <si>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</si>
  <si>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</si>
  <si>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</si>
  <si>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</si>
  <si>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</si>
  <si>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</si>
  <si>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</si>
  <si>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</si>
  <si>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</si>
  <si>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</si>
  <si>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</si>
  <si>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</si>
  <si>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</si>
  <si>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</si>
  <si>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</si>
  <si>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</si>
  <si>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</si>
  <si>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</si>
  <si>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</si>
  <si>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</si>
  <si>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</si>
  <si>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</si>
  <si>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</si>
  <si>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</si>
  <si>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</si>
  <si>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</si>
  <si>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</si>
  <si>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</si>
  <si>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</si>
  <si>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</si>
  <si>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</si>
  <si>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</si>
  <si>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</si>
  <si>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</si>
  <si>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</si>
  <si>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</si>
  <si>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</si>
  <si>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</si>
  <si>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</si>
  <si>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</si>
  <si>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</si>
  <si>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</si>
  <si>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</si>
  <si>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</si>
  <si>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</si>
  <si>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</si>
  <si>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</si>
  <si>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</si>
  <si>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</si>
  <si>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</si>
  <si>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</si>
  <si>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</si>
  <si>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</si>
  <si>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</si>
  <si>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</si>
  <si>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</si>
  <si>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</si>
  <si>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</si>
  <si>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</si>
  <si>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</si>
  <si>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</si>
  <si>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</si>
  <si>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</si>
  <si>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</si>
  <si>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</si>
  <si>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</si>
  <si>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</si>
  <si>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</si>
  <si>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</si>
  <si>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</si>
  <si>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</si>
  <si>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</si>
  <si>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</si>
  <si>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</si>
  <si>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</si>
  <si>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</si>
  <si>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</si>
  <si>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</si>
  <si>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</si>
  <si>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</si>
  <si>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</si>
  <si>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</si>
  <si>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</si>
  <si>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</si>
  <si>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</si>
  <si>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</si>
  <si>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</si>
  <si>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</si>
  <si>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</si>
  <si>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</si>
  <si>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</si>
  <si>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</si>
  <si>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</si>
  <si>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</si>
  <si>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</si>
  <si>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</si>
  <si>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</si>
  <si>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</si>
  <si>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</si>
  <si>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</si>
  <si>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</si>
  <si>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</si>
  <si>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</si>
  <si>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</si>
  <si>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</si>
  <si>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</si>
  <si>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</si>
  <si>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</si>
  <si>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</si>
  <si>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</si>
  <si>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</si>
  <si>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</si>
  <si>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</si>
  <si>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</si>
  <si>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</si>
  <si>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</si>
  <si>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</si>
  <si>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</si>
  <si>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</si>
  <si>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</si>
  <si>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</si>
  <si>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</si>
  <si>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</si>
  <si>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</si>
  <si>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</si>
  <si>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</si>
  <si>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</si>
  <si>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</si>
  <si>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</si>
  <si>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</si>
  <si>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</si>
  <si>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</si>
  <si>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</si>
  <si>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</si>
  <si>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</si>
  <si>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</si>
  <si>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</si>
  <si>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</si>
  <si>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</si>
  <si>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</si>
  <si>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</si>
  <si>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</si>
  <si>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</si>
  <si>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</si>
  <si>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</si>
  <si>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</si>
  <si>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</si>
  <si>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</si>
  <si>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</si>
  <si>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</si>
  <si>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</si>
  <si>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</si>
  <si>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</si>
  <si>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</si>
  <si>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</si>
  <si>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</si>
  <si>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</si>
  <si>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</si>
  <si>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</si>
  <si>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</si>
  <si>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</si>
  <si>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</si>
  <si>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</si>
  <si>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</si>
  <si>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</si>
  <si>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</si>
  <si>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</si>
  <si>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</si>
  <si>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</si>
  <si>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</si>
  <si>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</si>
  <si>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</si>
  <si>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</si>
  <si>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</si>
  <si>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</si>
  <si>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</si>
  <si>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</si>
  <si>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</si>
  <si>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</si>
  <si>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</si>
  <si>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</si>
  <si>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</si>
  <si>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</si>
  <si>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</si>
  <si>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</si>
  <si>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</si>
  <si>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</si>
  <si>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</si>
  <si>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</si>
  <si>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</si>
  <si>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</si>
  <si>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</si>
  <si>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</si>
  <si>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</si>
  <si>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</si>
  <si>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</si>
  <si>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</si>
  <si>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</si>
  <si>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</si>
  <si>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</si>
  <si>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</si>
  <si>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</si>
  <si>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</si>
  <si>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</si>
  <si>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</si>
  <si>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</si>
  <si>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</si>
  <si>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</si>
  <si>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</si>
  <si>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</si>
  <si>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</si>
  <si>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</si>
  <si>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</si>
  <si>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</si>
  <si>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</si>
  <si>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</si>
  <si>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</si>
  <si>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</si>
  <si>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</si>
  <si>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</si>
  <si>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</si>
  <si>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</si>
  <si>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</si>
  <si>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</si>
  <si>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</si>
  <si>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</si>
  <si>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</si>
  <si>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</si>
  <si>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</si>
  <si>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</si>
  <si>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</si>
  <si>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</si>
  <si>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</si>
  <si>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</si>
  <si>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</si>
  <si>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</si>
  <si>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</si>
  <si>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</si>
  <si>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</si>
  <si>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</si>
  <si>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</si>
  <si>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</si>
  <si>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</si>
  <si>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</si>
  <si>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</si>
  <si>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</si>
  <si>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</si>
  <si>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</si>
  <si>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</si>
  <si>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</si>
  <si>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</si>
  <si>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</si>
  <si>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</si>
  <si>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</si>
  <si>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</si>
  <si>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</si>
  <si>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</si>
  <si>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</si>
  <si>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</si>
  <si>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</si>
  <si>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</si>
  <si>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</si>
  <si>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</si>
  <si>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</si>
  <si>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</si>
  <si>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</si>
  <si>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</si>
  <si>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</si>
  <si>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</si>
  <si>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</si>
  <si>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</si>
  <si>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</si>
  <si>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</si>
  <si>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</si>
  <si>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</si>
  <si>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</si>
  <si>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</si>
  <si>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</si>
  <si>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</si>
  <si>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</si>
  <si>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</si>
  <si>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</si>
  <si>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</si>
  <si>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</si>
  <si>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</si>
  <si>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</si>
  <si>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</si>
  <si>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</si>
  <si>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</si>
  <si>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</si>
  <si>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</si>
  <si>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</si>
  <si>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</si>
  <si>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</si>
  <si>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</si>
  <si>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</si>
  <si>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</si>
  <si>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</si>
  <si>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</si>
  <si>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</si>
  <si>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</si>
  <si>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</si>
  <si>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</si>
  <si>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</si>
  <si>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</si>
  <si>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</si>
  <si>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</si>
  <si>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</si>
  <si>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</si>
  <si>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</si>
  <si>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</si>
  <si>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</si>
  <si>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</si>
  <si>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</si>
  <si>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</si>
  <si>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</si>
  <si>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</si>
  <si>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</si>
  <si>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</si>
  <si>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</si>
  <si>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</si>
  <si>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</si>
  <si>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</si>
  <si>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</si>
  <si>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</si>
  <si>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</si>
  <si>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</si>
  <si>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</si>
  <si>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</si>
  <si>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</si>
  <si>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</si>
  <si>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</si>
  <si>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</si>
  <si>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</si>
  <si>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</si>
  <si>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</si>
  <si>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</si>
  <si>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</si>
  <si>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</si>
  <si>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</si>
  <si>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</si>
  <si>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</si>
  <si>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</si>
  <si>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</si>
  <si>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</si>
  <si>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</si>
  <si>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</si>
  <si>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</si>
  <si>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</si>
  <si>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</si>
  <si>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</si>
  <si>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</si>
  <si>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</si>
  <si>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</si>
  <si>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</si>
  <si>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</si>
  <si>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</si>
  <si>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</si>
  <si>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</si>
  <si>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</si>
  <si>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</si>
  <si>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</si>
  <si>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</si>
  <si>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</si>
  <si>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</si>
  <si>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</si>
  <si>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</si>
  <si>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</si>
  <si>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</si>
  <si>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</si>
  <si>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</si>
  <si>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</si>
  <si>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</si>
  <si>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</si>
  <si>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</si>
  <si>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</si>
  <si>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</si>
  <si>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</si>
  <si>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</si>
  <si>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</si>
  <si>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</si>
  <si>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</si>
  <si>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</si>
  <si>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</si>
  <si>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</si>
  <si>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</si>
  <si>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</si>
  <si>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</si>
  <si>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</si>
  <si>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</si>
  <si>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</si>
  <si>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</si>
  <si>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</si>
  <si>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</si>
  <si>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</si>
  <si>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</si>
  <si>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</si>
  <si>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</si>
  <si>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</si>
  <si>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</si>
  <si>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</si>
  <si>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</si>
  <si>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</si>
  <si>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</si>
  <si>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</si>
  <si>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</si>
  <si>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</si>
  <si>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</si>
  <si>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</si>
  <si>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</si>
  <si>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</si>
  <si>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</si>
  <si>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</si>
  <si>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</si>
  <si>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</si>
  <si>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</si>
  <si>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</si>
  <si>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</si>
  <si>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</si>
  <si>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</si>
  <si>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</si>
  <si>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</si>
  <si>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</si>
  <si>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</si>
  <si>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</si>
  <si>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</si>
  <si>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</si>
  <si>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</si>
  <si>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</si>
  <si>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</si>
  <si>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</si>
  <si>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</si>
  <si>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</si>
  <si>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</si>
  <si>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</si>
  <si>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</si>
  <si>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</si>
  <si>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</si>
  <si>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</si>
  <si>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</si>
  <si>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</si>
  <si>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</si>
  <si>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</si>
  <si>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</si>
  <si>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</si>
  <si>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</si>
  <si>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</si>
  <si>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</si>
  <si>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</si>
  <si>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</si>
  <si>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</si>
  <si>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</si>
  <si>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</si>
  <si>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</si>
  <si>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</si>
  <si>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</si>
  <si>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</si>
  <si>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</si>
  <si>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</si>
  <si>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</si>
  <si>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</si>
  <si>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</si>
  <si>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</si>
  <si>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</si>
  <si>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</si>
  <si>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</si>
  <si>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</si>
  <si>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</si>
  <si>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</si>
  <si>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</si>
  <si>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</si>
  <si>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</si>
  <si>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</si>
  <si>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</si>
  <si>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</si>
  <si>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</si>
  <si>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</si>
  <si>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</si>
  <si>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</si>
  <si>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</si>
  <si>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</si>
  <si>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</si>
  <si>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</si>
  <si>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</si>
  <si>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</si>
  <si>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</si>
  <si>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</si>
  <si>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</si>
  <si>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</si>
  <si>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</si>
  <si>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</si>
  <si>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</si>
  <si>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</si>
  <si>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</si>
  <si>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</si>
  <si>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</si>
  <si>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</si>
  <si>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</si>
  <si>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</si>
  <si>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</si>
  <si>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</si>
  <si>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</si>
  <si>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</si>
  <si>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</si>
  <si>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</si>
  <si>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</si>
  <si>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</si>
  <si>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</si>
  <si>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</si>
  <si>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</si>
  <si>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</si>
  <si>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</si>
  <si>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</si>
  <si>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</si>
  <si>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</si>
  <si>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</si>
  <si>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</si>
  <si>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</si>
  <si>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</si>
  <si>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</si>
  <si>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</si>
  <si>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</si>
  <si>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</si>
  <si>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</si>
  <si>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</si>
  <si>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</si>
  <si>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</si>
  <si>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</si>
  <si>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</si>
  <si>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</si>
  <si>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</si>
  <si>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</si>
  <si>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</si>
  <si>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</si>
  <si>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</si>
  <si>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</si>
  <si>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</si>
  <si>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</si>
  <si>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</si>
  <si>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</si>
  <si>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</si>
  <si>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</si>
  <si>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</si>
  <si>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</si>
  <si>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</si>
  <si>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</si>
  <si>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</si>
  <si>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</si>
  <si>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</si>
  <si>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</si>
  <si>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</si>
  <si>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</si>
  <si>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</si>
  <si>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</si>
  <si>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</si>
  <si>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</si>
  <si>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</si>
  <si>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</si>
  <si>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</si>
  <si>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</si>
  <si>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</si>
  <si>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</si>
  <si>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</si>
  <si>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</si>
  <si>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</si>
  <si>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</si>
  <si>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</si>
  <si>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</si>
  <si>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</si>
  <si>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</si>
  <si>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</si>
  <si>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</si>
  <si>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</si>
  <si>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</si>
  <si>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</si>
  <si>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</si>
  <si>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</si>
  <si>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</si>
  <si>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</si>
  <si>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</si>
  <si>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</si>
  <si>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</si>
  <si>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</si>
  <si>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</si>
  <si>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</si>
  <si>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</si>
  <si>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</si>
  <si>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</si>
  <si>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</si>
  <si>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</si>
  <si>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</si>
  <si>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</si>
  <si>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</si>
  <si>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</si>
  <si>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</si>
  <si>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</si>
  <si>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</si>
  <si>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</si>
  <si>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</si>
  <si>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</si>
  <si>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</si>
  <si>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</si>
  <si>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</si>
  <si>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</si>
  <si>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</si>
  <si>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</si>
  <si>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</si>
  <si>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</si>
  <si>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</si>
  <si>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</si>
  <si>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</si>
  <si>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</si>
  <si>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</si>
  <si>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</si>
  <si>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</si>
  <si>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</si>
  <si>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</si>
  <si>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</si>
  <si>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</si>
  <si>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</si>
  <si>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</si>
  <si>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</si>
  <si>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</si>
  <si>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</si>
  <si>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</si>
  <si>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</si>
  <si>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</si>
  <si>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</si>
  <si>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</si>
  <si>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</si>
  <si>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</si>
  <si>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</si>
  <si>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</si>
  <si>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</si>
  <si>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</si>
  <si>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</si>
  <si>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</si>
  <si>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</si>
  <si>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</si>
  <si>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</si>
  <si>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</si>
  <si>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</si>
  <si>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</si>
  <si>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</si>
  <si>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</si>
  <si>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</si>
  <si>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</si>
  <si>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</si>
  <si>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</si>
  <si>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</si>
  <si>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</si>
  <si>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</si>
  <si>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</si>
  <si>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</si>
  <si>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</si>
  <si>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</si>
  <si>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</si>
  <si>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</si>
  <si>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</si>
  <si>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</si>
  <si>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</si>
  <si>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</si>
  <si>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</si>
  <si>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</si>
  <si>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</si>
  <si>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</si>
  <si>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</si>
  <si>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</si>
  <si>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</si>
  <si>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</si>
  <si>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</si>
  <si>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</si>
  <si>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</si>
  <si>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</si>
  <si>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</si>
  <si>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</si>
  <si>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</si>
  <si>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</si>
  <si>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</si>
  <si>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</si>
  <si>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</si>
  <si>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</si>
  <si>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</si>
  <si>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</si>
  <si>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</si>
  <si>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</si>
  <si>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</si>
  <si>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</si>
  <si>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</si>
  <si>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</si>
  <si>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</si>
  <si>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</si>
  <si>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</si>
  <si>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</si>
  <si>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</si>
  <si>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</si>
  <si>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</si>
  <si>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</si>
  <si>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</si>
  <si>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</si>
  <si>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</si>
  <si>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</si>
  <si>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</si>
  <si>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</si>
  <si>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</si>
  <si>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</si>
  <si>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</si>
  <si>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</si>
  <si>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</si>
  <si>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</si>
  <si>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</si>
  <si>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</si>
  <si>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</si>
  <si>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</si>
  <si>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</si>
  <si>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</si>
  <si>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</si>
  <si>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</si>
  <si>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</si>
  <si>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</si>
  <si>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</si>
  <si>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</si>
  <si>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</si>
  <si>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</si>
  <si>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</si>
  <si>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</si>
  <si>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</si>
  <si>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</si>
  <si>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</si>
  <si>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</si>
  <si>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</si>
  <si>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</si>
  <si>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</si>
  <si>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</si>
  <si>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</si>
  <si>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</si>
  <si>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</si>
  <si>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</si>
  <si>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</si>
  <si>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</si>
  <si>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</si>
  <si>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</si>
  <si>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</si>
  <si>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</si>
  <si>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</si>
  <si>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</si>
  <si>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</si>
  <si>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</si>
  <si>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</si>
  <si>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</si>
  <si>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</si>
  <si>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</si>
  <si>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</si>
  <si>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</si>
  <si>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</si>
  <si>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</si>
  <si>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</si>
  <si>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</si>
  <si>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</si>
  <si>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</si>
  <si>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</si>
  <si>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</si>
  <si>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</si>
  <si>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</si>
  <si>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</si>
  <si>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</si>
  <si>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</si>
  <si>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</si>
  <si>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</si>
  <si>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</si>
  <si>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</si>
  <si>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</si>
  <si>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</si>
  <si>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</si>
  <si>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</si>
  <si>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</si>
  <si>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</si>
  <si>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</si>
  <si>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</si>
  <si>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</si>
  <si>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</si>
  <si>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</si>
  <si>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</si>
  <si>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</si>
  <si>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</si>
  <si>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</si>
  <si>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</si>
  <si>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</si>
  <si>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</si>
  <si>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</si>
  <si>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</si>
  <si>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</si>
  <si>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</si>
  <si>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</si>
  <si>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</si>
  <si>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</si>
  <si>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</si>
  <si>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</si>
  <si>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</si>
  <si>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</si>
  <si>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</si>
  <si>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</si>
  <si>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</si>
  <si>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</si>
  <si>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</si>
  <si>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</si>
  <si>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</si>
  <si>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</si>
  <si>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</si>
  <si>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</si>
  <si>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</si>
  <si>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</si>
  <si>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</si>
  <si>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</si>
  <si>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</si>
  <si>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</si>
  <si>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</si>
  <si>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</si>
  <si>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</si>
  <si>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</si>
  <si>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</si>
  <si>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</si>
  <si>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</si>
  <si>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</si>
  <si>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</si>
  <si>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</si>
  <si>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</si>
  <si>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</si>
  <si>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</si>
  <si>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</si>
  <si>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</si>
  <si>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</si>
  <si>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</si>
  <si>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</si>
  <si>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</si>
  <si>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</si>
  <si>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</si>
  <si>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</si>
  <si>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</si>
  <si>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</si>
  <si>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</si>
  <si>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</si>
  <si>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</si>
  <si>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</si>
  <si>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</si>
  <si>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</si>
  <si>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</si>
  <si>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</si>
  <si>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</si>
  <si>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</si>
  <si>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</si>
  <si>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</si>
  <si>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</si>
  <si>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</si>
  <si>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</si>
  <si>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</si>
  <si>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</si>
  <si>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</si>
  <si>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</si>
  <si>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</si>
  <si>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</si>
  <si>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</si>
  <si>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</si>
  <si>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</si>
  <si>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</si>
  <si>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</si>
  <si>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</si>
  <si>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</si>
  <si>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</si>
  <si>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</si>
  <si>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</si>
  <si>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</si>
  <si>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</si>
  <si>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</si>
  <si>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</si>
  <si>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</si>
  <si>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</si>
  <si>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</si>
  <si>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</si>
  <si>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</si>
  <si>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</si>
  <si>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</si>
  <si>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</si>
  <si>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</si>
  <si>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</si>
  <si>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</si>
  <si>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</si>
  <si>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</si>
  <si>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</si>
  <si>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</si>
  <si>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</si>
  <si>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</si>
  <si>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</si>
  <si>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</si>
  <si>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</si>
  <si>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</si>
  <si>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</si>
  <si>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</si>
  <si>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</si>
  <si>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</si>
  <si>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</si>
  <si>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</si>
  <si>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</si>
  <si>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</si>
  <si>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</si>
  <si>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</si>
  <si>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</si>
  <si>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</si>
  <si>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</si>
  <si>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</si>
  <si>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</si>
  <si>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</si>
  <si>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</si>
  <si>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</si>
  <si>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</si>
  <si>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</si>
  <si>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</si>
  <si>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</si>
  <si>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</si>
  <si>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</si>
  <si>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</si>
  <si>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</si>
  <si>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</si>
  <si>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</si>
  <si>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</si>
  <si>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</si>
  <si>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</si>
  <si>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</si>
  <si>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</si>
  <si>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</si>
  <si>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</si>
  <si>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</si>
  <si>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</si>
  <si>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</si>
  <si>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</si>
  <si>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</si>
  <si>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</si>
  <si>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</si>
  <si>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</si>
  <si>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</si>
  <si>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</si>
  <si>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</si>
  <si>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</si>
  <si>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</si>
  <si>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</si>
  <si>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</si>
  <si>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</si>
  <si>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</si>
  <si>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</si>
  <si>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</si>
  <si>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</si>
  <si>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</si>
  <si>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</si>
  <si>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</si>
  <si>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</si>
  <si>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</si>
  <si>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</si>
  <si>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</si>
  <si>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</si>
  <si>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</si>
  <si>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</si>
  <si>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</si>
  <si>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</si>
  <si>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</si>
  <si>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</si>
  <si>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</si>
  <si>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</si>
  <si>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</si>
  <si>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</si>
  <si>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</si>
  <si>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</si>
  <si>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</si>
  <si>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</si>
  <si>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</si>
  <si>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</si>
  <si>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</si>
  <si>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</si>
  <si>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</si>
  <si>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</si>
  <si>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</si>
  <si>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</si>
  <si>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</si>
  <si>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</si>
  <si>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</si>
  <si>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</si>
  <si>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</si>
  <si>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</si>
  <si>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</si>
  <si>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</si>
  <si>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</si>
  <si>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</si>
  <si>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</si>
  <si>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</si>
  <si>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</si>
  <si>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</si>
  <si>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</si>
  <si>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</si>
  <si>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</si>
  <si>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</si>
  <si>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</si>
  <si>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</si>
  <si>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</si>
  <si>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</si>
  <si>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</si>
  <si>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</si>
  <si>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</si>
  <si>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</si>
  <si>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</si>
  <si>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</si>
  <si>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</si>
  <si>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</si>
  <si>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</si>
  <si>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</si>
  <si>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</si>
  <si>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</si>
  <si>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</si>
  <si>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</si>
  <si>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</si>
  <si>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</si>
  <si>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</si>
  <si>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</si>
  <si>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</si>
  <si>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</si>
  <si>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</si>
  <si>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</si>
  <si>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</si>
  <si>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</si>
  <si>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</si>
  <si>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</si>
  <si>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</si>
  <si>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</si>
  <si>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</si>
  <si>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</si>
  <si>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</si>
  <si>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</si>
  <si>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</si>
  <si>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</si>
  <si>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</si>
  <si>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</si>
  <si>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</si>
  <si>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</si>
  <si>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</si>
  <si>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</si>
  <si>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</si>
  <si>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</si>
  <si>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</si>
  <si>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</si>
  <si>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</si>
  <si>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</si>
  <si>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</si>
  <si>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</si>
  <si>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</si>
  <si>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</si>
  <si>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</si>
  <si>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</si>
  <si>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</si>
  <si>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</si>
  <si>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</si>
  <si>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</si>
  <si>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</si>
  <si>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</si>
  <si>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</si>
  <si>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</si>
  <si>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</si>
  <si>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</si>
  <si>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</si>
  <si>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</si>
  <si>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</si>
  <si>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</si>
  <si>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</si>
  <si>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</si>
  <si>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</si>
  <si>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</si>
  <si>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</si>
  <si>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</si>
  <si>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</si>
  <si>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</si>
  <si>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</si>
  <si>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</si>
  <si>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</si>
  <si>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</si>
  <si>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</si>
  <si>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</si>
  <si>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</si>
  <si>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</si>
  <si>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</si>
  <si>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</si>
  <si>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</si>
  <si>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</si>
  <si>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</si>
  <si>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</si>
  <si>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</si>
  <si>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</si>
  <si>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</si>
  <si>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</si>
  <si>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</si>
  <si>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</si>
  <si>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</si>
  <si>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</si>
  <si>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</si>
  <si>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</si>
  <si>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</si>
  <si>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</si>
  <si>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</si>
  <si>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</si>
  <si>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</si>
  <si>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</si>
  <si>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</si>
  <si>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</si>
  <si>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</si>
  <si>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</si>
  <si>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</si>
  <si>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</si>
  <si>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</si>
  <si>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</si>
  <si>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</si>
  <si>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</si>
  <si>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</si>
  <si>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</si>
  <si>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</si>
  <si>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</si>
  <si>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</si>
  <si>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</si>
  <si>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</si>
  <si>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</si>
  <si>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</si>
  <si>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</si>
  <si>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</si>
  <si>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</si>
  <si>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</si>
  <si>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</si>
  <si>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</si>
  <si>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</si>
  <si>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</si>
  <si>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</si>
  <si>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</si>
  <si>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</si>
  <si>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</si>
  <si>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</si>
  <si>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</si>
  <si>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</si>
  <si>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</si>
  <si>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</si>
  <si>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</si>
  <si>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</si>
  <si>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</si>
  <si>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</si>
  <si>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</si>
  <si>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</si>
  <si>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</si>
  <si>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</si>
  <si>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</si>
  <si>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</si>
  <si>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</si>
  <si>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</si>
  <si>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</si>
  <si>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</si>
  <si>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</si>
  <si>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</si>
  <si>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</si>
  <si>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</si>
  <si>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</si>
  <si>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</si>
  <si>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</si>
  <si>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</si>
  <si>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</si>
  <si>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</si>
  <si>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</si>
  <si>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</si>
  <si>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</si>
  <si>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</si>
  <si>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</si>
  <si>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</si>
  <si>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</si>
  <si>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</si>
  <si>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</si>
  <si>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</si>
  <si>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</si>
  <si>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</si>
  <si>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</si>
  <si>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</si>
  <si>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</si>
  <si>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</si>
  <si>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</si>
  <si>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</si>
  <si>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</si>
  <si>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</si>
  <si>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</si>
  <si>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</si>
  <si>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</si>
  <si>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</si>
  <si>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</si>
  <si>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</si>
  <si>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</si>
  <si>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</si>
  <si>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</si>
  <si>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</si>
  <si>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</si>
  <si>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</si>
  <si>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</si>
  <si>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</si>
  <si>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</si>
  <si>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</si>
  <si>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</si>
  <si>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</si>
  <si>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</si>
  <si>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</si>
  <si>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</si>
  <si>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</si>
  <si>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</si>
  <si>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</si>
  <si>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</si>
  <si>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</si>
  <si>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</si>
  <si>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</si>
  <si>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</si>
  <si>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</si>
  <si>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</si>
  <si>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</si>
  <si>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</si>
  <si>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</si>
  <si>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</si>
  <si>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</si>
  <si>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</si>
  <si>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</si>
  <si>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</si>
  <si>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</si>
  <si>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</si>
  <si>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</si>
  <si>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</si>
  <si>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</si>
  <si>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</si>
  <si>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</si>
  <si>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</si>
  <si>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</si>
  <si>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</si>
  <si>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</si>
  <si>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</si>
  <si>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</si>
  <si>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</si>
  <si>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</si>
  <si>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</si>
  <si>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</si>
  <si>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</si>
  <si>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</si>
  <si>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</si>
  <si>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</si>
  <si>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</si>
  <si>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</si>
  <si>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</si>
  <si>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</si>
  <si>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</si>
  <si>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</si>
  <si>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</si>
  <si>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</si>
  <si>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</si>
  <si>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</si>
  <si>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</si>
  <si>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</si>
  <si>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</si>
  <si>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</si>
  <si>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</si>
  <si>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</si>
  <si>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</si>
  <si>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</si>
  <si>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</si>
  <si>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</si>
  <si>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</si>
  <si>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</si>
  <si>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</si>
  <si>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</si>
  <si>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</si>
  <si>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</si>
  <si>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</si>
  <si>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</si>
  <si>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</si>
  <si>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</si>
  <si>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</si>
  <si>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</si>
  <si>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</si>
  <si>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</si>
  <si>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</si>
  <si>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</si>
  <si>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</si>
  <si>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</si>
  <si>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</si>
  <si>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</si>
  <si>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</si>
  <si>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</si>
  <si>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</si>
  <si>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</si>
  <si>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</si>
  <si>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</si>
  <si>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</si>
  <si>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</si>
  <si>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</si>
  <si>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</si>
  <si>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</si>
  <si>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</si>
  <si>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</si>
  <si>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</si>
  <si>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</si>
  <si>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</si>
  <si>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</si>
  <si>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</si>
  <si>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</si>
  <si>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</si>
  <si>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</si>
  <si>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</si>
  <si>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</si>
  <si>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</si>
  <si>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</si>
  <si>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</si>
  <si>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</si>
  <si>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</si>
  <si>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</si>
  <si>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</si>
  <si>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</si>
  <si>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</si>
  <si>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</si>
  <si>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</si>
  <si>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</si>
  <si>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</si>
  <si>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</si>
  <si>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</si>
  <si>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</si>
  <si>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</si>
  <si>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</si>
  <si>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</si>
  <si>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</si>
  <si>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</si>
  <si>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</si>
  <si>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</si>
  <si>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</si>
  <si>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</si>
  <si>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</si>
  <si>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</si>
  <si>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</si>
  <si>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</si>
  <si>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</si>
  <si>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</si>
  <si>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</si>
  <si>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</si>
  <si>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</si>
  <si>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</si>
  <si>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</si>
  <si>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</si>
  <si>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</si>
  <si>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</si>
  <si>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</si>
  <si>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</si>
  <si>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</si>
  <si>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</si>
  <si>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</si>
  <si>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</si>
  <si>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</si>
  <si>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</si>
  <si>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</si>
  <si>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</si>
  <si>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</si>
  <si>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</si>
  <si>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</si>
  <si>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</si>
  <si>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</si>
  <si>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</si>
  <si>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</si>
  <si>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</si>
  <si>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</si>
  <si>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</si>
  <si>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</si>
  <si>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</si>
  <si>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</si>
  <si>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</si>
  <si>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</si>
  <si>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</si>
  <si>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</si>
  <si>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</si>
  <si>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</si>
  <si>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</si>
  <si>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</si>
  <si>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</si>
  <si>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</si>
  <si>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</si>
  <si>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</si>
  <si>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</si>
  <si>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</si>
  <si>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</si>
  <si>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</si>
  <si>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</si>
  <si>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</si>
  <si>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</si>
  <si>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</si>
  <si>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</si>
  <si>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</si>
  <si>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</si>
  <si>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</si>
  <si>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</si>
  <si>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</si>
  <si>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</si>
  <si>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</si>
  <si>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</si>
  <si>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</si>
  <si>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</si>
  <si>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</si>
  <si>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</si>
  <si>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</si>
  <si>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</si>
  <si>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</si>
  <si>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</si>
  <si>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</si>
  <si>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</si>
  <si>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</si>
  <si>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</si>
  <si>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</si>
  <si>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</si>
  <si>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</si>
  <si>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</si>
  <si>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</si>
  <si>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</si>
  <si>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</si>
  <si>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</si>
  <si>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</si>
  <si>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</si>
  <si>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</si>
  <si>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</si>
  <si>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</si>
  <si>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</si>
  <si>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</si>
  <si>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</si>
  <si>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</si>
  <si>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</si>
  <si>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</si>
  <si>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</si>
  <si>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</si>
  <si>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</si>
  <si>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</si>
  <si>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</si>
  <si>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</si>
  <si>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</si>
  <si>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</si>
  <si>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</si>
  <si>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</si>
  <si>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</si>
  <si>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</si>
  <si>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</si>
  <si>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</si>
  <si>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</si>
  <si>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</si>
  <si>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</si>
  <si>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</si>
  <si>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</si>
  <si>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</si>
  <si>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</si>
  <si>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</si>
  <si>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</si>
  <si>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</si>
  <si>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</si>
  <si>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</si>
  <si>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</si>
  <si>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</si>
  <si>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</si>
  <si>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</si>
  <si>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</si>
  <si>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</si>
  <si>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</si>
  <si>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</si>
  <si>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</si>
  <si>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</si>
  <si>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</si>
  <si>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</si>
  <si>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</si>
  <si>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</si>
  <si>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</si>
  <si>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</si>
  <si>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</si>
  <si>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</si>
  <si>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</si>
  <si>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</si>
  <si>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</si>
  <si>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</si>
  <si>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</si>
  <si>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</si>
  <si>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</si>
  <si>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</si>
  <si>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</si>
  <si>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</si>
  <si>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</si>
  <si>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</si>
  <si>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</si>
  <si>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</si>
  <si>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</si>
  <si>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</si>
  <si>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</si>
  <si>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</si>
  <si>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</si>
  <si>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</si>
  <si>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</si>
  <si>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</si>
  <si>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</si>
  <si>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</si>
  <si>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</si>
  <si>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</si>
  <si>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</si>
  <si>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</si>
  <si>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</si>
  <si>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</si>
  <si>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</si>
  <si>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</si>
  <si>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</si>
  <si>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</si>
  <si>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</si>
  <si>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</si>
  <si>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</si>
  <si>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</si>
  <si>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</si>
  <si>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</si>
  <si>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</si>
  <si>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</si>
  <si>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</si>
  <si>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</si>
  <si>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</si>
  <si>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</si>
  <si>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</si>
  <si>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</si>
  <si>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</si>
  <si>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</si>
  <si>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</si>
  <si>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</si>
  <si>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</si>
  <si>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</si>
  <si>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</si>
  <si>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</si>
  <si>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</si>
  <si>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</si>
  <si>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</si>
  <si>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</si>
  <si>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</si>
  <si>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</si>
  <si>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</si>
  <si>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</si>
  <si>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</si>
  <si>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</si>
  <si>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</si>
  <si>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</si>
  <si>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</si>
  <si>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</si>
  <si>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</si>
  <si>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</si>
  <si>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</si>
  <si>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</si>
  <si>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</si>
  <si>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</si>
  <si>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</si>
  <si>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</si>
  <si>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</si>
  <si>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</si>
  <si>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</si>
  <si>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</si>
  <si>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</si>
  <si>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</si>
  <si>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</si>
  <si>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</si>
  <si>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</si>
  <si>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</si>
  <si>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</si>
  <si>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</si>
  <si>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</si>
  <si>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</si>
  <si>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</si>
  <si>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</si>
  <si>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</si>
  <si>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</si>
  <si>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</si>
  <si>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</si>
  <si>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</si>
  <si>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</si>
  <si>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</si>
  <si>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</si>
  <si>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</si>
  <si>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</si>
  <si>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</si>
  <si>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</si>
  <si>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</si>
  <si>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</si>
  <si>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</si>
  <si>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</si>
  <si>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</si>
  <si>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</si>
  <si>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</si>
  <si>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</si>
  <si>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</si>
  <si>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</si>
  <si>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</si>
  <si>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</si>
  <si>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</si>
  <si>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</si>
  <si>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</si>
  <si>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</si>
  <si>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</si>
  <si>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</si>
  <si>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</si>
  <si>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</si>
  <si>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</si>
  <si>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</si>
  <si>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</si>
  <si>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</si>
  <si>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</si>
  <si>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</si>
  <si>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</si>
  <si>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</si>
  <si>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</si>
  <si>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</si>
  <si>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</si>
  <si>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</si>
  <si>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</si>
  <si>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</si>
  <si>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</si>
  <si>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</si>
  <si>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</si>
  <si>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</si>
  <si>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</si>
  <si>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</si>
  <si>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</si>
  <si>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</si>
  <si>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</si>
  <si>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</si>
  <si>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</si>
  <si>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</si>
  <si>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</si>
  <si>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</si>
  <si>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</si>
  <si>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</si>
  <si>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</si>
  <si>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</si>
  <si>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</si>
  <si>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</si>
  <si>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</si>
  <si>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</si>
  <si>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</si>
  <si>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</si>
  <si>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</si>
  <si>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</si>
  <si>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</si>
  <si>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</si>
  <si>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</si>
  <si>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</si>
  <si>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</si>
  <si>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</si>
  <si>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</si>
  <si>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</si>
  <si>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</si>
  <si>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</si>
  <si>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</si>
  <si>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</si>
  <si>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</si>
  <si>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</si>
  <si>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</si>
  <si>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</si>
  <si>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</si>
  <si>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</si>
  <si>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</si>
  <si>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</si>
  <si>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</si>
  <si>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</si>
  <si>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</si>
  <si>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</si>
  <si>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</si>
  <si>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</si>
  <si>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</si>
  <si>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</si>
  <si>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</si>
  <si>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</si>
  <si>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</si>
  <si>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</si>
  <si>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</si>
  <si>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</si>
  <si>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</si>
  <si>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</si>
  <si>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</si>
  <si>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</si>
  <si>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</si>
  <si>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</si>
  <si>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</si>
  <si>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</si>
  <si>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</si>
  <si>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</si>
  <si>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</si>
  <si>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</si>
  <si>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</si>
  <si>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</si>
  <si>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</si>
  <si>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</si>
  <si>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</si>
  <si>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</si>
  <si>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</si>
  <si>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</si>
  <si>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</si>
  <si>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</si>
  <si>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</si>
  <si>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</si>
  <si>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</si>
  <si>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</si>
  <si>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</si>
  <si>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</si>
  <si>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</si>
  <si>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</si>
  <si>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</si>
  <si>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</si>
  <si>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</si>
  <si>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</si>
  <si>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</si>
  <si>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</si>
  <si>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</si>
  <si>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</si>
  <si>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</si>
  <si>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</si>
  <si>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</si>
  <si>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</si>
  <si>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</si>
  <si>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</si>
  <si>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</si>
  <si>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</si>
  <si>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</si>
  <si>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</si>
  <si>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</si>
  <si>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</si>
  <si>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</si>
  <si>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</si>
  <si>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</si>
  <si>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</si>
  <si>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</si>
  <si>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</si>
  <si>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</si>
  <si>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</si>
  <si>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</si>
  <si>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</si>
  <si>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</si>
  <si>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</si>
  <si>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</si>
  <si>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</si>
  <si>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</si>
  <si>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</si>
  <si>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</si>
  <si>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</si>
  <si>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</si>
  <si>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</si>
  <si>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</si>
  <si>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</si>
  <si>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</si>
  <si>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</si>
  <si>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</si>
  <si>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</si>
  <si>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</si>
  <si>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</si>
  <si>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</si>
  <si>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</si>
  <si>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</si>
  <si>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</si>
  <si>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</si>
  <si>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</si>
  <si>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</si>
  <si>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</si>
  <si>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</si>
  <si>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</si>
  <si>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</si>
  <si>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</si>
  <si>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</si>
  <si>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</si>
  <si>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</si>
  <si>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</si>
  <si>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</si>
  <si>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</si>
  <si>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</si>
  <si>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</si>
  <si>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</si>
  <si>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</si>
  <si>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</si>
  <si>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</si>
  <si>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</si>
  <si>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</si>
  <si>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</si>
  <si>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</si>
  <si>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</si>
  <si>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</si>
  <si>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</si>
  <si>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</si>
  <si>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</si>
  <si>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</si>
  <si>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</si>
  <si>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</si>
  <si>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</si>
  <si>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</si>
  <si>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</si>
  <si>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</si>
  <si>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</si>
  <si>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</si>
  <si>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</si>
  <si>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</si>
  <si>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</si>
  <si>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</si>
  <si>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</si>
  <si>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</si>
  <si>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</si>
  <si>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</si>
  <si>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</si>
  <si>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</si>
  <si>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</si>
  <si>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</si>
  <si>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</si>
  <si>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</si>
  <si>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</si>
  <si>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</si>
  <si>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</si>
  <si>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</si>
  <si>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</si>
  <si>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</si>
  <si>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</si>
  <si>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</si>
  <si>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</si>
  <si>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</si>
  <si>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</si>
  <si>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</si>
  <si>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</si>
  <si>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</si>
  <si>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</si>
  <si>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</si>
  <si>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</si>
  <si>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</si>
  <si>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</si>
  <si>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</si>
  <si>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</si>
  <si>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</si>
  <si>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</si>
  <si>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</si>
  <si>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</si>
  <si>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</si>
  <si>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</si>
  <si>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</si>
  <si>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</si>
  <si>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</si>
  <si>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</si>
  <si>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</si>
  <si>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</si>
  <si>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</si>
  <si>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</si>
  <si>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</si>
  <si>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</si>
  <si>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</si>
  <si>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</si>
  <si>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</si>
  <si>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</si>
  <si>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</si>
  <si>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</si>
  <si>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</si>
  <si>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</si>
  <si>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</si>
  <si>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</si>
  <si>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</si>
  <si>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</si>
  <si>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</si>
  <si>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</si>
  <si>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</si>
  <si>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</si>
  <si>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</si>
  <si>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</si>
  <si>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</si>
  <si>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</si>
  <si>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</si>
  <si>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</si>
  <si>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</si>
  <si>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</si>
  <si>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</si>
  <si>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</si>
  <si>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</si>
  <si>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</si>
  <si>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</si>
  <si>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</si>
  <si>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</si>
  <si>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</si>
  <si>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</si>
  <si>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</si>
  <si>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</si>
  <si>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</si>
  <si>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</si>
  <si>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</si>
  <si>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</si>
  <si>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</si>
  <si>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</si>
  <si>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</si>
  <si>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</si>
  <si>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</si>
  <si>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</si>
  <si>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</si>
  <si>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</si>
  <si>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</si>
  <si>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</si>
  <si>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</si>
  <si>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</si>
  <si>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</si>
  <si>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</si>
  <si>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</si>
  <si>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</si>
  <si>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</si>
  <si>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</si>
  <si>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</si>
  <si>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</si>
  <si>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</si>
  <si>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</si>
  <si>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</si>
  <si>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</si>
  <si>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</si>
  <si>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</si>
  <si>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</si>
  <si>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</si>
  <si>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</si>
  <si>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</si>
  <si>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</si>
  <si>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</si>
  <si>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</si>
  <si>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</si>
  <si>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</si>
  <si>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</si>
  <si>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</si>
  <si>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</si>
  <si>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</si>
  <si>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</si>
  <si>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</si>
  <si>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</si>
  <si>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</si>
  <si>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</si>
  <si>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</si>
  <si>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</si>
  <si>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</si>
  <si>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</si>
  <si>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</si>
  <si>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</si>
  <si>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</si>
  <si>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</si>
  <si>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</si>
  <si>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</si>
  <si>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</si>
  <si>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</si>
  <si>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</si>
  <si>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</si>
  <si>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</si>
  <si>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</si>
  <si>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</si>
  <si>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</si>
  <si>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</si>
  <si>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</si>
  <si>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</si>
  <si>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</si>
  <si>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</si>
  <si>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</si>
  <si>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</si>
  <si>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</si>
  <si>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</si>
  <si>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</si>
  <si>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</si>
  <si>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</si>
  <si>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</si>
  <si>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</si>
  <si>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</si>
  <si>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</si>
  <si>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</si>
  <si>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</si>
  <si>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</si>
  <si>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</si>
  <si>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</si>
  <si>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</si>
  <si>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</si>
  <si>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</si>
  <si>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</si>
  <si>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</si>
  <si>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</si>
  <si>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</si>
  <si>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</si>
  <si>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</si>
  <si>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</si>
  <si>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</si>
  <si>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</si>
  <si>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</si>
  <si>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</si>
  <si>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</si>
  <si>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</si>
  <si>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</si>
  <si>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</si>
  <si>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</si>
  <si>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</si>
  <si>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</si>
  <si>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</si>
  <si>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</si>
  <si>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</si>
  <si>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</si>
  <si>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</si>
  <si>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</si>
  <si>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</si>
  <si>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</si>
  <si>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</si>
  <si>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</si>
  <si>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</si>
  <si>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</si>
  <si>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</si>
  <si>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</si>
  <si>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</si>
  <si>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</si>
  <si>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</si>
  <si>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</si>
  <si>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</si>
  <si>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</si>
  <si>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</si>
  <si>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</si>
  <si>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</si>
  <si>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</si>
  <si>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</si>
  <si>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</si>
  <si>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</si>
  <si>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</si>
  <si>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</si>
  <si>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</si>
  <si>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</si>
  <si>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</si>
  <si>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</si>
  <si>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</si>
  <si>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</si>
  <si>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</si>
  <si>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</si>
  <si>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</si>
  <si>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</si>
  <si>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</si>
  <si>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</si>
  <si>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</si>
  <si>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</si>
  <si>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</si>
  <si>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</si>
  <si>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</si>
  <si>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</si>
  <si>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</si>
  <si>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</si>
  <si>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</si>
  <si>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</si>
  <si>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</si>
  <si>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</si>
  <si>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</si>
  <si>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</si>
  <si>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</si>
  <si>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</si>
  <si>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</si>
  <si>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</si>
  <si>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</si>
  <si>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</si>
  <si>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</si>
  <si>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</si>
  <si>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</si>
  <si>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</si>
  <si>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</si>
  <si>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</si>
  <si>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</si>
  <si>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</si>
  <si>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</si>
  <si>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</si>
  <si>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</si>
  <si>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</si>
  <si>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</si>
  <si>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</si>
  <si>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</si>
  <si>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</si>
  <si>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</si>
  <si>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</si>
  <si>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</si>
  <si>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</si>
  <si>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</si>
  <si>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</si>
  <si>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</si>
  <si>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</si>
  <si>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</si>
  <si>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</si>
  <si>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</si>
  <si>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</si>
  <si>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</si>
  <si>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</si>
  <si>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</si>
  <si>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</si>
  <si>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</si>
  <si>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</si>
  <si>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</si>
  <si>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</si>
  <si>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</si>
  <si>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</si>
  <si>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</si>
  <si>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</si>
  <si>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</si>
  <si>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</si>
  <si>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</si>
  <si>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</si>
  <si>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</si>
  <si>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</si>
  <si>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</si>
  <si>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</si>
  <si>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</si>
  <si>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</si>
  <si>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</si>
  <si>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</si>
  <si>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</si>
  <si>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</si>
  <si>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</si>
  <si>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</si>
  <si>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</si>
  <si>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</si>
  <si>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</si>
  <si>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</si>
  <si>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</si>
  <si>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</si>
  <si>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</si>
  <si>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</si>
  <si>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</si>
  <si>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</si>
  <si>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</si>
  <si>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</si>
  <si>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</si>
  <si>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</si>
  <si>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</si>
  <si>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</si>
  <si>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</si>
  <si>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</si>
  <si>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</si>
  <si>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</si>
  <si>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</si>
  <si>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</si>
  <si>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</si>
  <si>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</si>
  <si>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</si>
  <si>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</si>
  <si>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</si>
  <si>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</si>
  <si>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</si>
  <si>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</si>
  <si>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</si>
  <si>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</si>
  <si>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</si>
  <si>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</si>
  <si>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</si>
  <si>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</si>
  <si>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</si>
  <si>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</si>
  <si>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</si>
  <si>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</si>
  <si>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</si>
  <si>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</si>
  <si>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</si>
  <si>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</si>
  <si>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</si>
  <si>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</si>
  <si>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</si>
  <si>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</si>
  <si>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</si>
  <si>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</si>
  <si>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</si>
  <si>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</si>
  <si>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</si>
  <si>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</si>
  <si>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</si>
  <si>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</si>
  <si>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</si>
  <si>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</si>
  <si>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</si>
  <si>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</si>
  <si>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</si>
  <si>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</si>
  <si>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</si>
  <si>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</si>
  <si>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</si>
  <si>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</si>
  <si>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</si>
  <si>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</si>
  <si>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</si>
  <si>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</si>
  <si>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</si>
  <si>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</si>
  <si>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</si>
  <si>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</si>
  <si>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</si>
  <si>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</si>
  <si>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</si>
  <si>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</si>
  <si>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</si>
  <si>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</si>
  <si>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</si>
  <si>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</si>
  <si>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</si>
  <si>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</si>
  <si>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</si>
  <si>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</si>
  <si>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</si>
  <si>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</si>
  <si>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</si>
  <si>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</si>
  <si>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</si>
  <si>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</si>
  <si>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</si>
  <si>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</si>
  <si>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</si>
  <si>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</si>
  <si>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</si>
  <si>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</si>
  <si>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</si>
  <si>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</si>
  <si>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</si>
  <si>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</si>
  <si>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</si>
  <si>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</si>
  <si>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</si>
  <si>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</si>
  <si>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</si>
  <si>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</si>
  <si>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</si>
  <si>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</si>
  <si>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</si>
  <si>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</si>
  <si>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</si>
  <si>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</si>
  <si>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</si>
  <si>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</si>
  <si>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</si>
  <si>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</si>
  <si>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</si>
  <si>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</si>
  <si>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</si>
  <si>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</si>
  <si>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</si>
  <si>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</si>
  <si>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</si>
  <si>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</si>
  <si>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</si>
  <si>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</si>
  <si>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</si>
  <si>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</si>
  <si>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</si>
  <si>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</si>
  <si>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</si>
  <si>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</si>
  <si>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</si>
  <si>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</si>
  <si>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</si>
  <si>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</si>
  <si>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</si>
  <si>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</si>
  <si>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</si>
  <si>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</si>
  <si>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</si>
  <si>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</si>
  <si>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</si>
  <si>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</si>
  <si>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</si>
  <si>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</si>
  <si>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</si>
  <si>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</si>
  <si>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</si>
  <si>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</si>
  <si>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</si>
  <si>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</si>
  <si>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</si>
  <si>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</si>
  <si>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</si>
  <si>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</si>
  <si>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</si>
  <si>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</si>
  <si>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</si>
  <si>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</si>
  <si>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</si>
  <si>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</si>
  <si>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</si>
  <si>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</si>
  <si>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</si>
  <si>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</si>
  <si>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</si>
  <si>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</si>
  <si>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</si>
  <si>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</si>
  <si>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</si>
  <si>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</si>
  <si>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</si>
  <si>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</si>
  <si>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</si>
  <si>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</si>
  <si>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</si>
  <si>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</si>
  <si>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</si>
  <si>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</si>
  <si>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</si>
  <si>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</si>
  <si>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</si>
  <si>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</si>
  <si>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</si>
  <si>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</si>
  <si>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</si>
  <si>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</si>
  <si>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</si>
  <si>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</si>
  <si>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</si>
  <si>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</si>
  <si>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</si>
  <si>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</si>
  <si>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</si>
  <si>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</si>
  <si>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</si>
  <si>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</si>
  <si>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</si>
  <si>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</si>
  <si>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</si>
  <si>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</si>
  <si>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</si>
  <si>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</si>
  <si>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</si>
  <si>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</si>
  <si>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</si>
  <si>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</si>
  <si>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</si>
  <si>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</si>
  <si>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</si>
  <si>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</si>
  <si>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</si>
  <si>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</si>
  <si>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</si>
  <si>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</si>
  <si>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</si>
  <si>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</si>
  <si>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</si>
  <si>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</si>
  <si>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</si>
  <si>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</si>
  <si>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</si>
  <si>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</si>
  <si>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</si>
  <si>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</si>
  <si>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</si>
  <si>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</si>
  <si>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</si>
  <si>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</si>
  <si>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</si>
  <si>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</si>
  <si>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</si>
  <si>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</si>
  <si>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</si>
  <si>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</si>
  <si>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</si>
  <si>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</si>
  <si>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</si>
  <si>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</si>
  <si>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</si>
  <si>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</si>
  <si>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</si>
  <si>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</si>
  <si>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</si>
  <si>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</si>
  <si>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</si>
  <si>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</si>
  <si>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</si>
  <si>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</si>
  <si>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</si>
  <si>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</si>
  <si>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</si>
  <si>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</si>
  <si>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</si>
  <si>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</si>
  <si>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</si>
  <si>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</si>
  <si>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</si>
  <si>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</si>
  <si>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</si>
  <si>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</si>
  <si>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</si>
  <si>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</si>
  <si>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</si>
  <si>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</si>
  <si>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</si>
  <si>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</si>
  <si>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</si>
  <si>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</si>
  <si>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</si>
  <si>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</si>
  <si>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</si>
  <si>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</si>
  <si>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</si>
  <si>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</si>
  <si>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</si>
  <si>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</si>
  <si>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</si>
  <si>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</si>
  <si>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</si>
  <si>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</si>
  <si>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</si>
  <si>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</si>
  <si>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</si>
  <si>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</si>
  <si>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</si>
  <si>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</si>
  <si>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</si>
  <si>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</si>
  <si>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</si>
  <si>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</si>
  <si>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</si>
  <si>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</si>
  <si>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</si>
  <si>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</si>
  <si>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</si>
  <si>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</si>
  <si>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</si>
  <si>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</si>
  <si>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</si>
  <si>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</si>
  <si>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</si>
  <si>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</si>
  <si>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</si>
  <si>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</si>
  <si>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</si>
  <si>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</si>
  <si>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</si>
  <si>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</si>
  <si>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</si>
  <si>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</si>
  <si>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</si>
  <si>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</si>
  <si>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</si>
  <si>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</si>
  <si>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</si>
  <si>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</si>
  <si>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</si>
  <si>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</si>
  <si>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</si>
  <si>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</si>
  <si>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</si>
  <si>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</si>
  <si>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</si>
  <si>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</si>
  <si>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</si>
  <si>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</si>
  <si>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</si>
  <si>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</si>
  <si>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</si>
  <si>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</si>
  <si>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</si>
  <si>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</si>
  <si>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</si>
  <si>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</si>
  <si>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</si>
  <si>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</si>
  <si>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</si>
  <si>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</si>
  <si>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</si>
  <si>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</si>
  <si>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</si>
  <si>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</si>
  <si>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</si>
  <si>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</si>
  <si>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</si>
  <si>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</si>
  <si>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</si>
  <si>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</si>
  <si>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</si>
  <si>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</si>
  <si>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</si>
  <si>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</si>
  <si>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</si>
  <si>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</si>
  <si>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</si>
  <si>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</si>
  <si>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</si>
  <si>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</si>
  <si>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</si>
  <si>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</si>
  <si>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</si>
  <si>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</si>
  <si>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</si>
  <si>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</si>
  <si>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</si>
  <si>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</si>
  <si>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</si>
  <si>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</si>
  <si>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</si>
  <si>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</si>
  <si>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</si>
  <si>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</si>
  <si>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</si>
  <si>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</si>
  <si>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</si>
  <si>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</si>
  <si>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</si>
  <si>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</si>
  <si>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</si>
  <si>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</si>
  <si>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</si>
  <si>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</si>
  <si>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</si>
  <si>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</si>
  <si>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</si>
  <si>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</si>
  <si>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</si>
  <si>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</si>
  <si>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</si>
  <si>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</si>
  <si>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</si>
  <si>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</si>
  <si>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</si>
  <si>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</si>
  <si>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</si>
  <si>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</si>
  <si>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</si>
  <si>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</si>
  <si>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</si>
  <si>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</si>
  <si>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</si>
  <si>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</si>
  <si>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</si>
  <si>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</si>
  <si>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</si>
  <si>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</si>
  <si>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</si>
  <si>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</si>
  <si>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</si>
  <si>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</si>
  <si>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</si>
  <si>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</si>
  <si>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</si>
  <si>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</si>
  <si>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</si>
  <si>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</si>
  <si>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</si>
  <si>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</si>
  <si>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</si>
  <si>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</si>
  <si>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</si>
  <si>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</si>
  <si>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</si>
  <si>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</si>
  <si>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</si>
  <si>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</si>
  <si>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</si>
  <si>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</si>
  <si>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</si>
  <si>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</si>
  <si>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</si>
  <si>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</si>
  <si>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</si>
  <si>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</si>
  <si>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</si>
  <si>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</si>
  <si>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</si>
  <si>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</si>
  <si>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</si>
  <si>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</si>
  <si>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</si>
  <si>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</si>
  <si>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</si>
  <si>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</si>
  <si>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</si>
  <si>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</si>
  <si>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</si>
  <si>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</si>
  <si>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</si>
  <si>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</si>
  <si>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</si>
  <si>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</si>
  <si>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</si>
  <si>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</si>
  <si>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</si>
  <si>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</si>
  <si>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</si>
  <si>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</si>
  <si>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</si>
  <si>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</si>
  <si>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</si>
  <si>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</si>
  <si>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</si>
  <si>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</si>
  <si>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</si>
  <si>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</si>
  <si>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</si>
  <si>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</si>
  <si>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</si>
  <si>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</si>
  <si>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</si>
  <si>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</si>
  <si>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</si>
  <si>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</si>
  <si>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</si>
  <si>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</si>
  <si>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</si>
  <si>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</si>
  <si>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</si>
  <si>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</si>
  <si>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</si>
  <si>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</si>
  <si>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</si>
  <si>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</si>
  <si>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</si>
  <si>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</si>
  <si>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</si>
  <si>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</si>
  <si>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</si>
  <si>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</si>
  <si>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</si>
  <si>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</si>
  <si>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</si>
  <si>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</si>
  <si>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</si>
  <si>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</si>
  <si>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</si>
  <si>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</si>
  <si>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</si>
  <si>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</si>
  <si>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</si>
  <si>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</si>
  <si>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</si>
  <si>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</si>
  <si>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</si>
  <si>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</si>
  <si>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</si>
  <si>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</si>
  <si>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</si>
  <si>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</si>
  <si>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</si>
  <si>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</si>
  <si>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</si>
  <si>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</si>
  <si>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</si>
  <si>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</si>
  <si>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</si>
  <si>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</si>
  <si>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</si>
  <si>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</si>
  <si>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</si>
  <si>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</si>
  <si>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</si>
  <si>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</si>
  <si>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</si>
  <si>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</si>
  <si>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</si>
  <si>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</si>
  <si>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</si>
  <si>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</si>
  <si>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</si>
  <si>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</si>
  <si>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</si>
  <si>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</si>
  <si>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</si>
  <si>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</si>
  <si>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</si>
  <si>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</si>
  <si>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</si>
  <si>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</si>
  <si>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</si>
  <si>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</si>
  <si>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</si>
  <si>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</si>
  <si>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</si>
  <si>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</si>
  <si>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</si>
  <si>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</si>
  <si>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</si>
  <si>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</si>
  <si>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</si>
  <si>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</si>
  <si>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</si>
  <si>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</si>
  <si>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</si>
  <si>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</si>
  <si>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</si>
  <si>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</si>
  <si>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</si>
  <si>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</si>
  <si>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</si>
  <si>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</si>
  <si>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</si>
  <si>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</si>
  <si>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</si>
  <si>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</si>
  <si>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</si>
  <si>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</si>
  <si>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</si>
  <si>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</si>
  <si>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</si>
  <si>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</si>
  <si>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</si>
  <si>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</si>
  <si>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</si>
  <si>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</si>
  <si>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</si>
  <si>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</si>
  <si>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</si>
  <si>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</si>
  <si>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</si>
  <si>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</si>
  <si>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</si>
  <si>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</si>
  <si>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</si>
  <si>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</si>
  <si>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</si>
  <si>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</si>
  <si>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</si>
  <si>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</si>
  <si>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</si>
  <si>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</si>
  <si>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</si>
  <si>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</si>
  <si>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</si>
  <si>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</si>
  <si>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</si>
  <si>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</si>
  <si>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</si>
  <si>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</si>
  <si>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</si>
  <si>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</si>
  <si>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</si>
  <si>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</si>
  <si>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</si>
  <si>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</si>
  <si>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</si>
  <si>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</si>
  <si>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</si>
  <si>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</si>
  <si>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</si>
  <si>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</si>
  <si>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</si>
  <si>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</si>
  <si>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</si>
  <si>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</si>
  <si>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</si>
  <si>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</si>
  <si>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</si>
  <si>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</si>
  <si>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</si>
  <si>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</si>
  <si>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</si>
  <si>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</si>
  <si>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</si>
  <si>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</si>
  <si>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</si>
  <si>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</si>
  <si>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</si>
  <si>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</si>
  <si>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</si>
  <si>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</si>
  <si>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</si>
  <si>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</si>
  <si>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</si>
  <si>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</si>
  <si>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</si>
  <si>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</si>
  <si>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</si>
  <si>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</si>
  <si>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</si>
  <si>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</si>
  <si>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</si>
  <si>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</si>
  <si>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</si>
  <si>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</si>
  <si>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</si>
  <si>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</si>
  <si>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</si>
  <si>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</si>
  <si>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</si>
  <si>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</si>
  <si>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</si>
  <si>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</si>
  <si>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</si>
  <si>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</si>
  <si>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</si>
  <si>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</si>
  <si>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</si>
  <si>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</si>
  <si>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</si>
  <si>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</si>
  <si>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</si>
  <si>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</si>
  <si>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</si>
  <si>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</si>
  <si>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</si>
  <si>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</si>
  <si>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</si>
  <si>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</si>
  <si>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</si>
  <si>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</si>
  <si>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</si>
  <si>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</si>
  <si>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</si>
  <si>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</si>
  <si>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</si>
  <si>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</si>
  <si>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</si>
  <si>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</si>
  <si>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</si>
  <si>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</si>
  <si>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</si>
  <si>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</si>
  <si>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</si>
  <si>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</si>
  <si>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</si>
  <si>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</si>
  <si>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</si>
  <si>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</si>
  <si>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</si>
  <si>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</si>
  <si>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</si>
  <si>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</si>
  <si>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</si>
  <si>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</si>
  <si>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</si>
  <si>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</si>
  <si>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</si>
  <si>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</si>
  <si>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</si>
  <si>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</si>
  <si>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</si>
  <si>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</si>
  <si>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</si>
  <si>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</si>
  <si>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</si>
  <si>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</si>
  <si>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</si>
  <si>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</si>
  <si>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</si>
  <si>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</si>
  <si>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</si>
  <si>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</si>
  <si>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</si>
  <si>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</si>
  <si>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</si>
  <si>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</si>
  <si>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</si>
  <si>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</si>
  <si>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</si>
  <si>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</si>
  <si>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</si>
  <si>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</si>
  <si>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</si>
  <si>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</si>
  <si>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</si>
  <si>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</si>
  <si>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</si>
  <si>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</si>
  <si>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</si>
  <si>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</si>
  <si>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</si>
  <si>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</si>
  <si>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</si>
  <si>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</si>
  <si>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</si>
  <si>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</si>
  <si>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</si>
  <si>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</si>
  <si>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</si>
  <si>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</si>
  <si>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</si>
  <si>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</si>
  <si>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</si>
  <si>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</si>
  <si>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</si>
  <si>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</si>
  <si>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</si>
  <si>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</si>
  <si>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</si>
  <si>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</si>
  <si>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</si>
  <si>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</si>
  <si>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</si>
  <si>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</si>
  <si>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</si>
  <si>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</si>
  <si>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</si>
  <si>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</si>
  <si>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</si>
  <si>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</si>
  <si>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</si>
  <si>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</si>
  <si>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</si>
  <si>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</si>
  <si>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</si>
  <si>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</si>
  <si>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</si>
  <si>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</si>
  <si>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</si>
  <si>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</si>
  <si>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</si>
  <si>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</si>
  <si>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</si>
  <si>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</si>
  <si>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</si>
  <si>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</si>
  <si>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</si>
  <si>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</si>
  <si>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</si>
  <si>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</si>
  <si>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</si>
  <si>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</si>
  <si>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</si>
  <si>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</si>
  <si>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</si>
  <si>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</si>
  <si>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</si>
  <si>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</si>
  <si>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</si>
  <si>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</si>
  <si>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</si>
  <si>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</si>
  <si>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</si>
  <si>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</si>
  <si>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</si>
  <si>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</si>
  <si>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</si>
  <si>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</si>
  <si>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</si>
  <si>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</si>
  <si>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</si>
  <si>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</si>
  <si>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</si>
  <si>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</si>
  <si>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</si>
  <si>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</si>
  <si>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</si>
  <si>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</si>
  <si>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</si>
  <si>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</si>
  <si>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</si>
  <si>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</si>
  <si>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</si>
  <si>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</si>
  <si>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</si>
  <si>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</si>
  <si>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</si>
  <si>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</si>
  <si>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</si>
  <si>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</si>
  <si>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</si>
  <si>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</si>
  <si>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</si>
  <si>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</si>
  <si>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</si>
  <si>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</si>
  <si>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</si>
  <si>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</si>
  <si>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</si>
  <si>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</si>
  <si>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</si>
  <si>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</si>
  <si>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</si>
  <si>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</si>
  <si>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</si>
  <si>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</si>
  <si>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</si>
  <si>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</si>
  <si>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</si>
  <si>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</si>
  <si>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</si>
  <si>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</si>
  <si>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</si>
  <si>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</si>
  <si>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</si>
  <si>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</si>
  <si>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</si>
  <si>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</si>
  <si>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</si>
  <si>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</si>
  <si>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</si>
  <si>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</si>
  <si>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</si>
  <si>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</si>
  <si>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</si>
  <si>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</si>
  <si>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</si>
  <si>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</si>
  <si>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</si>
  <si>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</si>
  <si>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</si>
  <si>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</si>
  <si>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</si>
  <si>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</si>
  <si>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</si>
  <si>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</si>
  <si>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</si>
  <si>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</si>
  <si>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</si>
  <si>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</si>
  <si>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</si>
  <si>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</si>
  <si>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</si>
  <si>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</si>
  <si>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</si>
  <si>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</si>
  <si>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</si>
  <si>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</si>
  <si>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</si>
  <si>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</si>
  <si>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</si>
  <si>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</si>
  <si>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</si>
  <si>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</si>
  <si>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</si>
  <si>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</si>
  <si>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</si>
  <si>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</si>
  <si>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</si>
  <si>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</si>
  <si>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</si>
  <si>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</si>
  <si>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</si>
  <si>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</si>
  <si>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</si>
  <si>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</si>
  <si>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</si>
  <si>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</si>
  <si>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</si>
  <si>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</si>
  <si>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</si>
  <si>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</si>
  <si>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</si>
  <si>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</si>
  <si>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</si>
  <si>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</si>
  <si>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</si>
  <si>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</si>
  <si>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</si>
  <si>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</si>
  <si>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</si>
  <si>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</si>
  <si>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</si>
  <si>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</si>
  <si>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</si>
  <si>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</si>
  <si>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</si>
  <si>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</si>
  <si>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</si>
  <si>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</si>
  <si>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r>
      <t xml:space="preserve"> </t>
    </r>
    <r>
      <rPr>
        <sz val="14"/>
        <color rgb="FF000000"/>
        <rFont val="Aptos Narrow"/>
        <family val="2"/>
      </rPr>
      <t>Excel's built-in functionality called Text to Columns</t>
    </r>
    <r>
      <rPr>
        <sz val="14"/>
        <color rgb="FF000000"/>
        <rFont val="Calibri"/>
        <family val="2"/>
        <scheme val="minor"/>
      </rPr>
      <t xml:space="preserve"> </t>
    </r>
  </si>
  <si>
    <t xml:space="preserve"> Text to Columns will separate a single column data into multiple columns based on the delimiter specified or any fixed-width i.e, hypen in below case</t>
  </si>
  <si>
    <t>select the rows which you want to split -&gt; go to data tab -&gt; choose text to columns -&gt; choose delimiter -&gt; Next-&gt; Choose "Other" and enter a hyphen "-" as the delimiter-&gt; Next -&gt; given the cell value from where you want to paste the splitted value.</t>
  </si>
  <si>
    <t>=SUM(IF(ISNA(C12:C21), 20, C12:C21))</t>
  </si>
  <si>
    <t>sums all values in the column sales if there is null values ISNA will find N/A values in the specified column and replace it with 20 and then sums up all the values along with the replaced value and gives the answer.</t>
  </si>
  <si>
    <t>=INDEX(Table_A[#All],MATCH(VLOOKUP(A23,Table_B,2,0),Table_A[[#All],[Column1]],0),MATCH(VLOOKUP(B23,Table_B,2,0),Table_A[#Headers],0))</t>
  </si>
  <si>
    <t>Index function identifies the number matching the "Name " values from Table _B which inturn matches from Table_A.We first use VLOOKUP to look for  name_1 and name_2 values matching in ID column of Table_B and get the corresponding Name values which we use to search for  the row &amp; column values in Table_A using Match we find the macthing row number and column number and finally use INDEX to refer entire Table_A and matching row and column values got from Match and display it in Value column of Table_C.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</si>
</sst>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2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0000"/>
      <name val="Aptos Narrow"/>
      <family val="2"/>
    </font>
    <font>
      <sz val="12"/>
      <color rgb="FF040C28"/>
      <name val="Aptos Narrow"/>
      <family val="2"/>
    </font>
    <font>
      <sz val="12"/>
      <color rgb="FF000000"/>
      <name val="Aptos Narrow"/>
      <family val="2"/>
    </font>
    <font>
      <sz val="10"/>
      <color rgb="FF0C0D0E"/>
      <name val="Var(--ff-mono)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9" fillId="0" borderId="0" xfId="0" applyFont="1"/>
    <xf numFmtId="0" fontId="20" fillId="0" borderId="0" xfId="0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3" fillId="0" borderId="3" xfId="0" applyFont="1" applyBorder="1"/>
    <xf numFmtId="0" fontId="7" fillId="0" borderId="6" xfId="0" applyFont="1" applyBorder="1"/>
    <xf numFmtId="0" fontId="7" fillId="0" borderId="4" xfId="0" applyFont="1" applyBorder="1"/>
    <xf numFmtId="0" fontId="21" fillId="0" borderId="0" xfId="0" quotePrefix="1" applyFont="1" applyAlignment="1">
      <alignment horizontal="left" vertical="center"/>
    </xf>
    <xf numFmtId="0" fontId="3" fillId="0" borderId="0" xfId="0" quotePrefix="1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4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416"/>
      <tableStyleElement type="headerRow" dxfId="164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FC6536-0C61-4938-A26F-1457270479EA}" name="Table1" displayName="Table1" ref="A1:XFD1048576" totalsRowShown="0" headerRowDxfId="16410" dataDxfId="16409">
  <autoFilter ref="A1:XFD1048576" xr:uid="{D8FC6536-0C61-4938-A26F-1457270479EA}"/>
  <tableColumns count="16384">
    <tableColumn id="1" xr3:uid="{041A6A5B-7467-49AE-9C61-1358B6428FD1}" name="name" dataDxfId="16408"/>
    <tableColumn id="2" xr3:uid="{68DC8A66-2373-40AB-8FD3-946643444AF7}" name="ID" dataDxfId="16407"/>
    <tableColumn id="3" xr3:uid="{97EEF639-5909-400A-8416-66C496AA28F4}" name="start_day" dataDxfId="16406"/>
    <tableColumn id="4" xr3:uid="{92BC3543-656A-4518-A31F-EBAE997679DA}" name="start_time" dataDxfId="16405"/>
    <tableColumn id="5" xr3:uid="{12D49B3A-356D-41CB-BA09-0C2F43939C9E}" name="end_day" dataDxfId="16404"/>
    <tableColumn id="6" xr3:uid="{B744CB91-B256-4AC3-9BB8-C356BD4AD46A}" name="end_time" dataDxfId="16403"/>
    <tableColumn id="7" xr3:uid="{0764ABD5-B2ED-471E-9EEF-A6A0E7B9723B}" name="car1" dataDxfId="16402"/>
    <tableColumn id="8" xr3:uid="{0DB010CD-63C9-4E6D-8A25-DA6E33951239}" name="car2" dataDxfId="16401"/>
    <tableColumn id="9" xr3:uid="{694B343A-8649-496B-902B-DE1D3AF9B188}" name="car3" dataDxfId="16400"/>
    <tableColumn id="10" xr3:uid="{5AEC45C1-D2FA-4BA4-A844-C174F4EBC84B}" name="moto1" dataDxfId="16399"/>
    <tableColumn id="11" xr3:uid="{556267BA-90FA-44A6-8372-B17E49AF4985}" name="moto2" dataDxfId="16398"/>
    <tableColumn id="12" xr3:uid="{850C6B3E-0617-4139-8791-FFB148B8854E}" name="moto3" dataDxfId="16397"/>
    <tableColumn id="13" xr3:uid="{133E77A1-A494-4F79-8F1E-4C60BC1EC684}" name="bus1" dataDxfId="16396"/>
    <tableColumn id="14" xr3:uid="{949542BD-656C-453F-BBB1-E5AA89BF12BE}" name="bus2" dataDxfId="16395"/>
    <tableColumn id="15" xr3:uid="{CBE5AED3-CAA4-4B8B-BF3F-C7367B777258}" name="bus3" dataDxfId="16394"/>
    <tableColumn id="16" xr3:uid="{757D55E4-12CF-4F76-AA53-A8FF72F9C73C}" name="rv1" dataDxfId="16393"/>
    <tableColumn id="17" xr3:uid="{6DA588B6-2DBE-4FB6-85A8-9A8CC59D2C13}" name="rv2" dataDxfId="16392"/>
    <tableColumn id="18" xr3:uid="{4D9F3844-112A-4B5A-92B9-1D21F7AE485E}" name="rv3" dataDxfId="16391"/>
    <tableColumn id="19" xr3:uid="{6AF8B24E-7060-493D-B397-F8DE6D3B59EA}" name="truck1" dataDxfId="16390"/>
    <tableColumn id="20" xr3:uid="{4B732B52-89DC-4A7C-ABA1-EF040E79BEEC}" name="truck2" dataDxfId="16389"/>
    <tableColumn id="21" xr3:uid="{53317CE5-3D2E-4215-B8C1-233270CF0458}" name="taxi1" dataDxfId="16388"/>
    <tableColumn id="22" xr3:uid="{40102DAC-5270-4D49-B9CB-067F6D01632E}" name="taxi2" dataDxfId="16387"/>
    <tableColumn id="23" xr3:uid="{DBBF1E0F-4F80-4787-A126-5BD700EFA18C}" name="taxi3" dataDxfId="16386"/>
    <tableColumn id="24" xr3:uid="{111A69E7-D6D7-4524-9C27-0EED4A106322}" name="date" dataDxfId="16385"/>
    <tableColumn id="25" xr3:uid="{C2F1C62D-A376-4871-AF49-839FF3171C1E}" name="Column1" dataDxfId="16384"/>
    <tableColumn id="26" xr3:uid="{FF5916C6-1411-4191-9570-1FB5DEA2D4BC}" name="Column2" dataDxfId="16383"/>
    <tableColumn id="27" xr3:uid="{FC933050-0516-406C-A1ED-A1DE3584FA7E}" name="Column3" dataDxfId="16382"/>
    <tableColumn id="28" xr3:uid="{38A7B25A-B58A-4BD9-B43E-2C9C3008C8A0}" name="Column4" dataDxfId="16381"/>
    <tableColumn id="29" xr3:uid="{DF576BD9-CFA9-470B-A1C0-9C280E784E87}" name="Column5" dataDxfId="16380"/>
    <tableColumn id="30" xr3:uid="{5E46A80D-8042-4F1F-932D-486954DD4FDD}" name="Column6" dataDxfId="16379"/>
    <tableColumn id="31" xr3:uid="{5E20112E-EBE6-44EF-A793-2D87C1737018}" name="Column7" dataDxfId="16378"/>
    <tableColumn id="32" xr3:uid="{46FFA4C3-BCF5-4C9C-8C89-D6213CBCD8F2}" name="Column8" dataDxfId="16377"/>
    <tableColumn id="33" xr3:uid="{FC47DB5D-A297-47A3-99C2-764C288C4D47}" name="Column9" dataDxfId="16376"/>
    <tableColumn id="34" xr3:uid="{7276C851-11A6-4E34-A567-329E64E1AC7F}" name="Column10" dataDxfId="16375"/>
    <tableColumn id="35" xr3:uid="{C1F1193C-1797-4FED-ABFD-5F58441722E9}" name="Column11" dataDxfId="16374"/>
    <tableColumn id="36" xr3:uid="{0D32365A-0E2F-4117-88A1-59647A6DF26A}" name="Column12" dataDxfId="16373"/>
    <tableColumn id="37" xr3:uid="{540AA74C-BB8E-4A66-9E33-CD10104CA60D}" name="Column13" dataDxfId="16372"/>
    <tableColumn id="38" xr3:uid="{DDCEB2BF-E930-4769-83E3-7E4521AF6CC3}" name="Column14" dataDxfId="16371"/>
    <tableColumn id="39" xr3:uid="{3CB2FD0A-98DC-4505-A542-84CF325E2467}" name="Column15" dataDxfId="16370"/>
    <tableColumn id="40" xr3:uid="{74069F6C-35B5-443C-8BCD-0F7056DEE240}" name="Column16" dataDxfId="16369"/>
    <tableColumn id="41" xr3:uid="{BBFE1C1F-4CC9-497A-AE60-899DA5F5F7C6}" name="Column17" dataDxfId="16368"/>
    <tableColumn id="42" xr3:uid="{E6411C2B-D90E-45CB-AD7D-68F2E72F92F4}" name="Column18" dataDxfId="16367"/>
    <tableColumn id="43" xr3:uid="{7D1EA2A3-D0A1-47EC-B52D-E6D7B63C5EA7}" name="Column19" dataDxfId="16366"/>
    <tableColumn id="44" xr3:uid="{164A77FC-C459-49A7-9784-6C47EA35D99C}" name="Column20" dataDxfId="16365"/>
    <tableColumn id="45" xr3:uid="{3691E640-FBDD-4928-B922-A2F4CB028742}" name="Column21" dataDxfId="16364"/>
    <tableColumn id="46" xr3:uid="{8053E572-9B18-4E6E-BCFE-7EBD2F5A26F6}" name="Column22" dataDxfId="16363"/>
    <tableColumn id="47" xr3:uid="{E992840C-226B-4ED8-B141-50BC3773E37F}" name="Column23" dataDxfId="16362"/>
    <tableColumn id="48" xr3:uid="{23070D9D-4340-4F1D-ABF9-4DF91C93C3EC}" name="Column24" dataDxfId="16361"/>
    <tableColumn id="49" xr3:uid="{7F54D898-A602-457D-8146-3F99A11EFEF7}" name="Column25" dataDxfId="16360"/>
    <tableColumn id="50" xr3:uid="{15308EB2-3BD0-457C-BE25-9B208883F187}" name="Column26" dataDxfId="16359"/>
    <tableColumn id="51" xr3:uid="{D127C58D-2BAB-431F-9869-84B22C62F41C}" name="Column27" dataDxfId="16358"/>
    <tableColumn id="52" xr3:uid="{D70F317D-0B39-48F5-81C1-4DCDDDEEFFDA}" name="Column28" dataDxfId="16357"/>
    <tableColumn id="53" xr3:uid="{6503F3DE-BD5A-4AB6-B576-1DE434D980AD}" name="Column29" dataDxfId="16356"/>
    <tableColumn id="54" xr3:uid="{2AD061A6-577C-4D63-B2E3-3260C7537DA6}" name="Column30" dataDxfId="16355"/>
    <tableColumn id="55" xr3:uid="{EF6A4700-82CD-4260-B3E3-E2EE601097F4}" name="Column31" dataDxfId="16354"/>
    <tableColumn id="56" xr3:uid="{E862284D-E297-4371-931A-20C955C863EB}" name="Column32" dataDxfId="16353"/>
    <tableColumn id="57" xr3:uid="{26B387D0-AFB7-4E9D-9368-37BEC5CB4D22}" name="Column33" dataDxfId="16352"/>
    <tableColumn id="58" xr3:uid="{D9B36037-DEDE-4053-AF84-5A9D8B0DA34D}" name="Column34" dataDxfId="16351"/>
    <tableColumn id="59" xr3:uid="{EDFEA7C1-639A-48B2-AFB8-4C39DA613BCB}" name="Column35" dataDxfId="16350"/>
    <tableColumn id="60" xr3:uid="{BC542B4B-8F17-4824-ADD7-469734008497}" name="Column36" dataDxfId="16349"/>
    <tableColumn id="61" xr3:uid="{119A1E57-9BA9-46D7-8CA1-9174F3432BF9}" name="Column37" dataDxfId="16348"/>
    <tableColumn id="62" xr3:uid="{D016DFC0-3009-4020-8A0D-99CBBBE79A1B}" name="Column38" dataDxfId="16347"/>
    <tableColumn id="63" xr3:uid="{0B33ADEF-BD61-459D-9950-A0F301677413}" name="Column39" dataDxfId="16346"/>
    <tableColumn id="64" xr3:uid="{0F59F8B0-E3DA-46AB-BE68-A465F3FAD8BE}" name="Column40" dataDxfId="16345"/>
    <tableColumn id="65" xr3:uid="{8988BE4C-A74F-4921-9481-23DDC9D0F4B7}" name="Column41" dataDxfId="16344"/>
    <tableColumn id="66" xr3:uid="{79E95721-3C13-47CB-9418-E7D1FA1382CA}" name="Column42" dataDxfId="16343"/>
    <tableColumn id="67" xr3:uid="{BEC9037E-2F2C-4B86-BCD7-507834275CC6}" name="Column43" dataDxfId="16342"/>
    <tableColumn id="68" xr3:uid="{B501C01A-DC2B-4D32-A3D7-DBDFECCE5532}" name="Column44" dataDxfId="16341"/>
    <tableColumn id="69" xr3:uid="{58036B08-EFE6-4E37-BF83-DB392E8B9AC6}" name="Column45" dataDxfId="16340"/>
    <tableColumn id="70" xr3:uid="{FA57A12B-9595-4BF8-BD3E-78E73C6A9AB5}" name="Column46" dataDxfId="16339"/>
    <tableColumn id="71" xr3:uid="{D1003FC2-262D-4625-8C56-907974052FDE}" name="Column47" dataDxfId="16338"/>
    <tableColumn id="72" xr3:uid="{3529781C-6A72-49DE-8E87-AB5E662CB1DC}" name="Column48" dataDxfId="16337"/>
    <tableColumn id="73" xr3:uid="{0CDEDFC1-C2AA-466D-93B7-2821B3366897}" name="Column49" dataDxfId="16336"/>
    <tableColumn id="74" xr3:uid="{BA1D9764-E59F-4DB2-9C45-B05AD26A5357}" name="Column50" dataDxfId="16335"/>
    <tableColumn id="75" xr3:uid="{00A11844-6F91-4F43-8940-63D996F90798}" name="Column51" dataDxfId="16334"/>
    <tableColumn id="76" xr3:uid="{A2B263BB-9A62-4507-A0D7-075FA821FD18}" name="Column52" dataDxfId="16333"/>
    <tableColumn id="77" xr3:uid="{91E7A382-5DAF-4B81-BCA5-EBFA515F8A84}" name="Column53" dataDxfId="16332"/>
    <tableColumn id="78" xr3:uid="{84658752-F5D3-44B0-AAAB-01678DC07990}" name="Column54" dataDxfId="16331"/>
    <tableColumn id="79" xr3:uid="{7A8AA8E9-CA8A-440D-B5EB-1DC92658D287}" name="Column55" dataDxfId="16330"/>
    <tableColumn id="80" xr3:uid="{DC733F26-3016-4117-8295-39A87C891062}" name="Column56" dataDxfId="16329"/>
    <tableColumn id="81" xr3:uid="{23788122-76B1-459D-814B-BC536C482351}" name="Column57" dataDxfId="16328"/>
    <tableColumn id="82" xr3:uid="{7C0C4452-CBA3-4FD2-98B4-9AB33BAECE32}" name="Column58" dataDxfId="16327"/>
    <tableColumn id="83" xr3:uid="{6670D380-35EF-490B-961D-C05A52699391}" name="Column59" dataDxfId="16326"/>
    <tableColumn id="84" xr3:uid="{0BD2DD11-9A6F-491A-BDEC-5ABB8F844D22}" name="Column60" dataDxfId="16325"/>
    <tableColumn id="85" xr3:uid="{E0F1C79A-DB06-46B7-A467-3DAD63374D64}" name="Column61" dataDxfId="16324"/>
    <tableColumn id="86" xr3:uid="{16F26740-031C-4FAE-AAE2-4F19DF8E4174}" name="Column62" dataDxfId="16323"/>
    <tableColumn id="87" xr3:uid="{189DB548-3221-49CA-8F5D-D9F7F43092DC}" name="Column63" dataDxfId="16322"/>
    <tableColumn id="88" xr3:uid="{7224CDD1-7325-44EB-A157-5EE64C438129}" name="Column64" dataDxfId="16321"/>
    <tableColumn id="89" xr3:uid="{C068162D-05F7-4F16-A21C-5BE0DEF9CD5F}" name="Column65" dataDxfId="16320"/>
    <tableColumn id="90" xr3:uid="{FC7A433E-AEC3-4FA0-AFCE-B0C35BCF216D}" name="Column66" dataDxfId="16319"/>
    <tableColumn id="91" xr3:uid="{E8AAA89F-15A1-4B1C-ACF1-9865A435CFFF}" name="Column67" dataDxfId="16318"/>
    <tableColumn id="92" xr3:uid="{53A86297-8632-4580-8641-272A51584440}" name="Column68" dataDxfId="16317"/>
    <tableColumn id="93" xr3:uid="{547D3B94-B8FC-49D9-AF0E-8CB271AC3EC9}" name="Column69" dataDxfId="16316"/>
    <tableColumn id="94" xr3:uid="{CB632FD8-F138-446D-A54E-23520762F010}" name="Column70" dataDxfId="16315"/>
    <tableColumn id="95" xr3:uid="{5BB222EC-3E16-4A6C-8085-E06F2DD9A807}" name="Column71" dataDxfId="16314"/>
    <tableColumn id="96" xr3:uid="{C25871E6-4FF9-4D7B-944B-830FED0474BA}" name="Column72" dataDxfId="16313"/>
    <tableColumn id="97" xr3:uid="{58A6C64E-19F7-4340-B09E-4DE96CDD0371}" name="Column73" dataDxfId="16312"/>
    <tableColumn id="98" xr3:uid="{1B49A2B2-038F-4257-9F58-020BBFAC0DDE}" name="Column74" dataDxfId="16311"/>
    <tableColumn id="99" xr3:uid="{36484203-B476-4C9C-BF1B-C9D20064F337}" name="Column75" dataDxfId="16310"/>
    <tableColumn id="100" xr3:uid="{8BFA56A0-67FC-49B6-B911-3F1AD45F68EE}" name="Column76" dataDxfId="16309"/>
    <tableColumn id="101" xr3:uid="{67458BB1-C765-4B1C-AE72-E6A80522B663}" name="Column77" dataDxfId="16308"/>
    <tableColumn id="102" xr3:uid="{7BD9FC1C-5162-4F52-9E35-A19C7020754E}" name="Column78" dataDxfId="16307"/>
    <tableColumn id="103" xr3:uid="{4B8B50BA-4B1D-4D2F-8E1B-15F15ABBF4DB}" name="Column79" dataDxfId="16306"/>
    <tableColumn id="104" xr3:uid="{29EBB162-5A81-45A7-ADD0-151D89A6004F}" name="Column80" dataDxfId="16305"/>
    <tableColumn id="105" xr3:uid="{01027D98-31C4-4425-916B-F2A952A18207}" name="Column81" dataDxfId="16304"/>
    <tableColumn id="106" xr3:uid="{9D644918-E9C1-4CC5-9F88-E77AD7984EB1}" name="Column82" dataDxfId="16303"/>
    <tableColumn id="107" xr3:uid="{6FB62549-A20F-4D97-9BA3-591D1C8DD0F4}" name="Column83" dataDxfId="16302"/>
    <tableColumn id="108" xr3:uid="{8DF28B75-8878-46EC-AEAF-365A8E686448}" name="Column84" dataDxfId="16301"/>
    <tableColumn id="109" xr3:uid="{7491AAFD-6881-4B0C-AC20-E524B379EAC0}" name="Column85" dataDxfId="16300"/>
    <tableColumn id="110" xr3:uid="{824BB2BB-19AF-4A63-9CDB-AEAF25C88313}" name="Column86" dataDxfId="16299"/>
    <tableColumn id="111" xr3:uid="{9F4AEB66-089A-441D-8D6F-566569D0D85B}" name="Column87" dataDxfId="16298"/>
    <tableColumn id="112" xr3:uid="{B5E06FE0-0FF5-4E1E-BBFE-059E16FFFEA3}" name="Column88" dataDxfId="16297"/>
    <tableColumn id="113" xr3:uid="{3C1CCAFC-1627-4EF1-B012-E5675CE74AD1}" name="Column89" dataDxfId="16296"/>
    <tableColumn id="114" xr3:uid="{928792BE-271D-4D35-816C-BDBD86C5B2F3}" name="Column90" dataDxfId="16295"/>
    <tableColumn id="115" xr3:uid="{6AC3CC36-01B0-4DFE-AB5C-8EF024A6E242}" name="Column91" dataDxfId="16294"/>
    <tableColumn id="116" xr3:uid="{3ECEB0B8-1109-4F86-AF09-4E4372DA5241}" name="Column92" dataDxfId="16293"/>
    <tableColumn id="117" xr3:uid="{BED52F08-1564-4B4E-BB5F-904746E733C0}" name="Column93" dataDxfId="16292"/>
    <tableColumn id="118" xr3:uid="{3F52E648-2641-4825-A678-F9AB52CF8665}" name="Column94" dataDxfId="16291"/>
    <tableColumn id="119" xr3:uid="{45BD3981-8865-40B9-A9DF-D16C818B2ED1}" name="Column95" dataDxfId="16290"/>
    <tableColumn id="120" xr3:uid="{7E7BA8CF-4BAE-4280-96A0-F20180D60568}" name="Column96" dataDxfId="16289"/>
    <tableColumn id="121" xr3:uid="{0198264B-75AB-40D2-9401-297E30B2209B}" name="Column97" dataDxfId="16288"/>
    <tableColumn id="122" xr3:uid="{D6C95D38-7B64-495E-85FD-86E263235997}" name="Column98" dataDxfId="16287"/>
    <tableColumn id="123" xr3:uid="{6E577DC8-1558-4A1C-B551-4F4B72270D3B}" name="Column99" dataDxfId="16286"/>
    <tableColumn id="124" xr3:uid="{A53702C3-FB4D-4AD4-90FE-E7B946D8514D}" name="Column100" dataDxfId="16285"/>
    <tableColumn id="125" xr3:uid="{64A2AA7F-8D32-40D8-878E-FB5854D4DBA8}" name="Column101" dataDxfId="16284"/>
    <tableColumn id="126" xr3:uid="{0F3220D8-195B-43E2-83E3-63E7BD5D86C5}" name="Column102" dataDxfId="16283"/>
    <tableColumn id="127" xr3:uid="{8819B9B9-26C2-4695-88F6-5F234261ECC8}" name="Column103" dataDxfId="16282"/>
    <tableColumn id="128" xr3:uid="{638B74F7-EEFE-4A7E-BEC9-42728358BC4D}" name="Column104" dataDxfId="16281"/>
    <tableColumn id="129" xr3:uid="{8E0A4D49-F523-4725-8E00-88C258C23038}" name="Column105" dataDxfId="16280"/>
    <tableColumn id="130" xr3:uid="{3A825C09-6F2D-428A-895F-8D359DA88F24}" name="Column106" dataDxfId="16279"/>
    <tableColumn id="131" xr3:uid="{AAE14AAA-F044-4AAA-B032-9810FADEF6CC}" name="Column107" dataDxfId="16278"/>
    <tableColumn id="132" xr3:uid="{43EB943A-3C17-40F3-A8F6-43F9696D84B8}" name="Column108" dataDxfId="16277"/>
    <tableColumn id="133" xr3:uid="{0EE7B283-987E-4664-AB0B-88FC63002AD7}" name="Column109" dataDxfId="16276"/>
    <tableColumn id="134" xr3:uid="{927D7F65-2E1D-444A-87B2-8C59F44B4553}" name="Column110" dataDxfId="16275"/>
    <tableColumn id="135" xr3:uid="{8DFE701D-446E-4353-A797-486AF54807D4}" name="Column111" dataDxfId="16274"/>
    <tableColumn id="136" xr3:uid="{92C82D5B-17C0-4078-9979-1F82049F75E1}" name="Column112" dataDxfId="16273"/>
    <tableColumn id="137" xr3:uid="{79F2987B-D3C7-490B-AD87-C8DA26D897F8}" name="Column113" dataDxfId="16272"/>
    <tableColumn id="138" xr3:uid="{1F0F33EC-5F5D-4853-8D20-855D615FD1FE}" name="Column114" dataDxfId="16271"/>
    <tableColumn id="139" xr3:uid="{3966B5B3-F766-43C6-9F9D-9E671B6DA3E0}" name="Column115" dataDxfId="16270"/>
    <tableColumn id="140" xr3:uid="{3A4777AA-7175-4EBE-BC2D-23F96E7EAFE6}" name="Column116" dataDxfId="16269"/>
    <tableColumn id="141" xr3:uid="{6D059828-A4A9-4B0C-9254-E38F0244ECA5}" name="Column117" dataDxfId="16268"/>
    <tableColumn id="142" xr3:uid="{62BFC0B8-CFF0-4D4C-B2D4-6F03BA4182B4}" name="Column118" dataDxfId="16267"/>
    <tableColumn id="143" xr3:uid="{0801B48B-DAD9-4BB2-AF99-E655E75B3183}" name="Column119" dataDxfId="16266"/>
    <tableColumn id="144" xr3:uid="{B3192AEC-D927-40C3-8822-99C47AB94B00}" name="Column120" dataDxfId="16265"/>
    <tableColumn id="145" xr3:uid="{D7816A40-168C-4FE2-9608-4553166B25C9}" name="Column121" dataDxfId="16264"/>
    <tableColumn id="146" xr3:uid="{5AADEF13-D0F6-4DF1-8977-AC3782C75F14}" name="Column122" dataDxfId="16263"/>
    <tableColumn id="147" xr3:uid="{122B3761-5DE6-48CD-9350-AF67C5473F6E}" name="Column123" dataDxfId="16262"/>
    <tableColumn id="148" xr3:uid="{EE2C60A1-689E-4B4B-BFD0-EE894004EF72}" name="Column124" dataDxfId="16261"/>
    <tableColumn id="149" xr3:uid="{2F079861-2111-409F-883D-9C6CB5976118}" name="Column125" dataDxfId="16260"/>
    <tableColumn id="150" xr3:uid="{1F7AF6F6-165D-47F2-BC44-854CEFE084A5}" name="Column126" dataDxfId="16259"/>
    <tableColumn id="151" xr3:uid="{10543718-FBF5-43EC-B968-E65E12FF21A7}" name="Column127" dataDxfId="16258"/>
    <tableColumn id="152" xr3:uid="{B1DE38F9-ADD5-4BD9-90F8-1F6EC2A106D2}" name="Column128" dataDxfId="16257"/>
    <tableColumn id="153" xr3:uid="{60BD15A6-D249-475A-B785-685E7593541B}" name="Column129" dataDxfId="16256"/>
    <tableColumn id="154" xr3:uid="{361AAA6D-F9B9-496C-A516-3F206E638382}" name="Column130" dataDxfId="16255"/>
    <tableColumn id="155" xr3:uid="{24FDC61A-E876-4BC0-9DCB-6C2325DACF74}" name="Column131" dataDxfId="16254"/>
    <tableColumn id="156" xr3:uid="{CCA2474E-BA37-4CA9-A405-D2A378C96AB7}" name="Column132" dataDxfId="16253"/>
    <tableColumn id="157" xr3:uid="{A966D0AA-5D07-40CE-BE3E-3DE871845C59}" name="Column133" dataDxfId="16252"/>
    <tableColumn id="158" xr3:uid="{B5001D23-2904-49F2-B161-ACFE21E0A0C3}" name="Column134" dataDxfId="16251"/>
    <tableColumn id="159" xr3:uid="{0341C51F-9DFE-421C-A087-904CC009DD61}" name="Column135" dataDxfId="16250"/>
    <tableColumn id="160" xr3:uid="{F5D899DB-7681-441E-B4CF-73E65A2B7631}" name="Column136" dataDxfId="16249"/>
    <tableColumn id="161" xr3:uid="{1D66F7D9-1BFB-4CFD-8472-694DAA6F2D4A}" name="Column137" dataDxfId="16248"/>
    <tableColumn id="162" xr3:uid="{DEFBDF38-CAE9-4382-B890-DB0572B50297}" name="Column138" dataDxfId="16247"/>
    <tableColumn id="163" xr3:uid="{E6F5F8A9-7A77-44F5-94DB-E1079A078ABB}" name="Column139" dataDxfId="16246"/>
    <tableColumn id="164" xr3:uid="{41B67886-C9AF-434E-89E4-9117A78F9ECB}" name="Column140" dataDxfId="16245"/>
    <tableColumn id="165" xr3:uid="{081F7B38-1EB0-4C1A-8E43-9606F0132F5A}" name="Column141" dataDxfId="16244"/>
    <tableColumn id="166" xr3:uid="{B0723B46-235E-4A06-8AEF-976D9E9F1E53}" name="Column142" dataDxfId="16243"/>
    <tableColumn id="167" xr3:uid="{613C4966-120F-4D62-8C20-C886FCBF8C32}" name="Column143" dataDxfId="16242"/>
    <tableColumn id="168" xr3:uid="{AF72A526-E57B-4B0F-92FF-6C5240E19019}" name="Column144" dataDxfId="16241"/>
    <tableColumn id="169" xr3:uid="{F83BD70F-29D4-46B0-8357-C0D03413BB00}" name="Column145" dataDxfId="16240"/>
    <tableColumn id="170" xr3:uid="{2A7A0BDD-1365-4417-9B12-1B4F93361BBF}" name="Column146" dataDxfId="16239"/>
    <tableColumn id="171" xr3:uid="{E391376D-D82D-4A2B-9FC7-579E151246BE}" name="Column147" dataDxfId="16238"/>
    <tableColumn id="172" xr3:uid="{FAFC0C2C-34F6-4824-B034-3E188E6D4CAE}" name="Column148" dataDxfId="16237"/>
    <tableColumn id="173" xr3:uid="{76DE2DA1-4790-4AA4-8CD3-FA5AD13CE529}" name="Column149" dataDxfId="16236"/>
    <tableColumn id="174" xr3:uid="{40693E15-7FE8-4951-9B41-8A1D1F3E267D}" name="Column150" dataDxfId="16235"/>
    <tableColumn id="175" xr3:uid="{420B3AA7-BF7F-47BD-ABA1-C71D61D0B0AE}" name="Column151" dataDxfId="16234"/>
    <tableColumn id="176" xr3:uid="{F45A2478-B6FA-4926-9C52-3C84936C3E18}" name="Column152" dataDxfId="16233"/>
    <tableColumn id="177" xr3:uid="{524AD0F5-BF2E-4997-946D-83B00763ADE1}" name="Column153" dataDxfId="16232"/>
    <tableColumn id="178" xr3:uid="{711B27FC-EB32-4371-ADF4-494E9B6D2FF4}" name="Column154" dataDxfId="16231"/>
    <tableColumn id="179" xr3:uid="{BEB4F2A1-BFAC-44C1-86B8-ECFE37051437}" name="Column155" dataDxfId="16230"/>
    <tableColumn id="180" xr3:uid="{579B480A-D942-4B5D-A0D8-3E645C7255D0}" name="Column156" dataDxfId="16229"/>
    <tableColumn id="181" xr3:uid="{710CEA56-15CE-45AE-AD04-F95358927DF9}" name="Column157" dataDxfId="16228"/>
    <tableColumn id="182" xr3:uid="{B60FFD47-723F-41AE-A5CA-45FD25D5BC42}" name="Column158" dataDxfId="16227"/>
    <tableColumn id="183" xr3:uid="{F49354AB-9E4F-4017-9E86-95C0F1B0E966}" name="Column159" dataDxfId="16226"/>
    <tableColumn id="184" xr3:uid="{9146A27C-DFF0-4B04-99C0-2DB74E321A1F}" name="Column160" dataDxfId="16225"/>
    <tableColumn id="185" xr3:uid="{42359615-C46D-4F4B-BD0F-311E6B1362A2}" name="Column161" dataDxfId="16224"/>
    <tableColumn id="186" xr3:uid="{F8423271-3470-4F38-A998-3471DDAFDD98}" name="Column162" dataDxfId="16223"/>
    <tableColumn id="187" xr3:uid="{02EA3D49-E873-4880-8091-955B0CE0F998}" name="Column163" dataDxfId="16222"/>
    <tableColumn id="188" xr3:uid="{BDC3500A-A692-4321-9764-087FA44EC4E9}" name="Column164" dataDxfId="16221"/>
    <tableColumn id="189" xr3:uid="{ECAD4721-9B1F-4775-8889-8D7CAADDE9B3}" name="Column165" dataDxfId="16220"/>
    <tableColumn id="190" xr3:uid="{A1D731FF-40B9-4243-85E6-14148EEF7DDA}" name="Column166" dataDxfId="16219"/>
    <tableColumn id="191" xr3:uid="{8F789F4E-BEF0-48FD-A3DF-C692A3B60827}" name="Column167" dataDxfId="16218"/>
    <tableColumn id="192" xr3:uid="{4BB9A728-A291-47C3-AFCC-969AF9B0A319}" name="Column168" dataDxfId="16217"/>
    <tableColumn id="193" xr3:uid="{09BDFCB2-85D9-4F01-9228-9B28F561D320}" name="Column169" dataDxfId="16216"/>
    <tableColumn id="194" xr3:uid="{96A32D48-6813-4699-A630-93FA5BE4C9BB}" name="Column170" dataDxfId="16215"/>
    <tableColumn id="195" xr3:uid="{EA341D1B-2D6A-444F-A465-19DFFD0A4D7B}" name="Column171" dataDxfId="16214"/>
    <tableColumn id="196" xr3:uid="{64E92543-4492-4D6E-827D-CC1D0029B7EF}" name="Column172" dataDxfId="16213"/>
    <tableColumn id="197" xr3:uid="{53A9B1C6-B5E6-4F04-8AF2-BE88D44AFFF8}" name="Column173" dataDxfId="16212"/>
    <tableColumn id="198" xr3:uid="{02B1EC1E-B146-478C-B650-9D20AA0FDB96}" name="Column174" dataDxfId="16211"/>
    <tableColumn id="199" xr3:uid="{422CDBB7-42CA-4FBB-B6DD-C56B3CE7992B}" name="Column175" dataDxfId="16210"/>
    <tableColumn id="200" xr3:uid="{5141CF37-79AA-4D91-AC19-BA94C7ABA65E}" name="Column176" dataDxfId="16209"/>
    <tableColumn id="201" xr3:uid="{188AA25E-52B5-492D-93E7-24B01C9BD244}" name="Column177" dataDxfId="16208"/>
    <tableColumn id="202" xr3:uid="{B51E7A64-FAD2-43C3-90D8-9A7DE7F2BBE8}" name="Column178" dataDxfId="16207"/>
    <tableColumn id="203" xr3:uid="{05626E3E-8B38-4A70-B675-DF8D35A6D138}" name="Column179" dataDxfId="16206"/>
    <tableColumn id="204" xr3:uid="{8F4F5920-4AF5-40B2-B3FD-650785CE5114}" name="Column180" dataDxfId="16205"/>
    <tableColumn id="205" xr3:uid="{143AFAB7-0D38-4140-8D1A-D5BCD733E99D}" name="Column181" dataDxfId="16204"/>
    <tableColumn id="206" xr3:uid="{ACFA6C65-5567-4BA2-81CC-9866A29EE2E8}" name="Column182" dataDxfId="16203"/>
    <tableColumn id="207" xr3:uid="{EE43D819-FD8B-451A-B906-CC926239BA5E}" name="Column183" dataDxfId="16202"/>
    <tableColumn id="208" xr3:uid="{208093B6-D0B8-48C7-B12A-A95CBAF85364}" name="Column184" dataDxfId="16201"/>
    <tableColumn id="209" xr3:uid="{534E93DE-3BB7-4779-8D3F-E3E6D8141616}" name="Column185" dataDxfId="16200"/>
    <tableColumn id="210" xr3:uid="{A61C5C27-5B88-428A-A266-25C9A05B0DA3}" name="Column186" dataDxfId="16199"/>
    <tableColumn id="211" xr3:uid="{5CE7C425-F280-4ECF-960D-21FA3FDBA177}" name="Column187" dataDxfId="16198"/>
    <tableColumn id="212" xr3:uid="{78769802-BD5D-4074-A0B3-1A8AFAB17514}" name="Column188" dataDxfId="16197"/>
    <tableColumn id="213" xr3:uid="{49C40E3F-00C5-4659-B7BA-FF826ECBD7DD}" name="Column189" dataDxfId="16196"/>
    <tableColumn id="214" xr3:uid="{299651AD-B8DF-477B-A33C-54CD180C639E}" name="Column190" dataDxfId="16195"/>
    <tableColumn id="215" xr3:uid="{A45D1FAC-9227-48A8-AC2D-31DFD4795A56}" name="Column191" dataDxfId="16194"/>
    <tableColumn id="216" xr3:uid="{246A1510-30CC-4CF1-87BA-02928FAFFFC0}" name="Column192" dataDxfId="16193"/>
    <tableColumn id="217" xr3:uid="{A8758634-5986-4B4B-9DBB-3B2E767D29BD}" name="Column193" dataDxfId="16192"/>
    <tableColumn id="218" xr3:uid="{B8CB9E7F-2DCD-4C54-9459-222485CA2F59}" name="Column194" dataDxfId="16191"/>
    <tableColumn id="219" xr3:uid="{962CE474-D12C-4274-A82E-E936661B0011}" name="Column195" dataDxfId="16190"/>
    <tableColumn id="220" xr3:uid="{C30ED6A1-8158-4A9A-9988-A569EB3B1744}" name="Column196" dataDxfId="16189"/>
    <tableColumn id="221" xr3:uid="{A20A7047-EAD2-4561-948D-DF8263F0F8D9}" name="Column197" dataDxfId="16188"/>
    <tableColumn id="222" xr3:uid="{632736C8-F2FF-4A9D-B582-EE1AA6B3EB5A}" name="Column198" dataDxfId="16187"/>
    <tableColumn id="223" xr3:uid="{0432C945-1F7A-434F-AA87-B10F07C9B7D7}" name="Column199" dataDxfId="16186"/>
    <tableColumn id="224" xr3:uid="{8BA3A6EF-23E2-4182-8573-808E21E33677}" name="Column200" dataDxfId="16185"/>
    <tableColumn id="225" xr3:uid="{9FFF5CFF-57CB-41B6-B418-32AF74DD2C11}" name="Column201" dataDxfId="16184"/>
    <tableColumn id="226" xr3:uid="{3BBD80D7-1C49-47F1-B081-73450319D587}" name="Column202" dataDxfId="16183"/>
    <tableColumn id="227" xr3:uid="{4DE8CF67-73D4-4597-B86A-B34CD37269D0}" name="Column203" dataDxfId="16182"/>
    <tableColumn id="228" xr3:uid="{5CA33B26-A7C0-4B2A-9BAA-20737E3F75E6}" name="Column204" dataDxfId="16181"/>
    <tableColumn id="229" xr3:uid="{AD1F87AE-CAF6-44CB-8A94-A3686CA752BB}" name="Column205" dataDxfId="16180"/>
    <tableColumn id="230" xr3:uid="{7BCD2D9B-B1D2-40AB-8B6F-E40173613B25}" name="Column206" dataDxfId="16179"/>
    <tableColumn id="231" xr3:uid="{0DF397C4-BADE-4AA7-B24C-FB91B694813B}" name="Column207" dataDxfId="16178"/>
    <tableColumn id="232" xr3:uid="{E06EAABE-D2D5-4114-AD9D-DCB18D814BB2}" name="Column208" dataDxfId="16177"/>
    <tableColumn id="233" xr3:uid="{1FC57E1C-D7EF-42D1-B10B-0A1852BE9532}" name="Column209" dataDxfId="16176"/>
    <tableColumn id="234" xr3:uid="{6446FD0E-3347-4AC2-9B0A-9F850FCDC171}" name="Column210" dataDxfId="16175"/>
    <tableColumn id="235" xr3:uid="{342086ED-3B2F-485A-B654-8C503B121191}" name="Column211" dataDxfId="16174"/>
    <tableColumn id="236" xr3:uid="{B8ADE110-535F-4D7F-9D93-D6D1EE8FC625}" name="Column212" dataDxfId="16173"/>
    <tableColumn id="237" xr3:uid="{EDA883AE-845A-4C20-BFED-E54BF551C296}" name="Column213" dataDxfId="16172"/>
    <tableColumn id="238" xr3:uid="{A44D969A-F768-4710-8833-CCB5A5EA8355}" name="Column214" dataDxfId="16171"/>
    <tableColumn id="239" xr3:uid="{9D630E03-B428-4918-A0B7-12FC5B58DE13}" name="Column215" dataDxfId="16170"/>
    <tableColumn id="240" xr3:uid="{60A069B0-609C-44DC-9527-5135A3F66CBD}" name="Column216" dataDxfId="16169"/>
    <tableColumn id="241" xr3:uid="{07EE5BD9-31B9-4A03-A486-078F52E41385}" name="Column217" dataDxfId="16168"/>
    <tableColumn id="242" xr3:uid="{DD1C1A57-F498-4BC7-963D-71A754CAFA28}" name="Column218" dataDxfId="16167"/>
    <tableColumn id="243" xr3:uid="{7932F43E-7663-4583-A4FB-139DC7F31DE3}" name="Column219" dataDxfId="16166"/>
    <tableColumn id="244" xr3:uid="{E68EFB9E-20D2-4DC4-A30B-8D61E832EAE0}" name="Column220" dataDxfId="16165"/>
    <tableColumn id="245" xr3:uid="{E7D2B17B-027F-4599-8E66-42D1100EA662}" name="Column221" dataDxfId="16164"/>
    <tableColumn id="246" xr3:uid="{E2BA5131-6F56-4521-90A1-32EC8849E7B9}" name="Column222" dataDxfId="16163"/>
    <tableColumn id="247" xr3:uid="{1BCA2BA2-8473-435A-BA49-6724336339B5}" name="Column223" dataDxfId="16162"/>
    <tableColumn id="248" xr3:uid="{74DBFE4B-E4AD-49ED-96BA-3A35D9E65A2B}" name="Column224" dataDxfId="16161"/>
    <tableColumn id="249" xr3:uid="{46B97E56-AC3A-4DA6-AB2A-973FEC521619}" name="Column225" dataDxfId="16160"/>
    <tableColumn id="250" xr3:uid="{48164078-E9E5-47AB-890C-882BDCCBC3D5}" name="Column226" dataDxfId="16159"/>
    <tableColumn id="251" xr3:uid="{490F8722-B8F7-41CA-A612-DFCED5E68975}" name="Column227" dataDxfId="16158"/>
    <tableColumn id="252" xr3:uid="{169452A7-264E-47F5-9CC6-D1A46AE92809}" name="Column228" dataDxfId="16157"/>
    <tableColumn id="253" xr3:uid="{55E1072E-CEBB-4330-8ED3-0156712F18DE}" name="Column229" dataDxfId="16156"/>
    <tableColumn id="254" xr3:uid="{39E1DF37-EC9C-43F8-85A7-163A29FF3001}" name="Column230" dataDxfId="16155"/>
    <tableColumn id="255" xr3:uid="{7008D693-BEBC-4B59-AF5C-FCDFE3E5417F}" name="Column231" dataDxfId="16154"/>
    <tableColumn id="256" xr3:uid="{CFFA3213-697E-4415-B9EE-DCD2EDE38B67}" name="Column232" dataDxfId="16153"/>
    <tableColumn id="257" xr3:uid="{9AEAA7B1-E60A-4C32-966A-4575873CCDC8}" name="Column233" dataDxfId="16152"/>
    <tableColumn id="258" xr3:uid="{8883372A-B5D6-4382-8D1F-8749B6CE3E0E}" name="Column234" dataDxfId="16151"/>
    <tableColumn id="259" xr3:uid="{99B846C8-5A78-4EEB-8CE0-4F69324D7778}" name="Column235" dataDxfId="16150"/>
    <tableColumn id="260" xr3:uid="{90EE03B2-4FE4-4544-9CD9-C3A3B9FAA36E}" name="Column236" dataDxfId="16149"/>
    <tableColumn id="261" xr3:uid="{5FD51E4E-1868-448A-A3E8-5AF1B810200F}" name="Column237" dataDxfId="16148"/>
    <tableColumn id="262" xr3:uid="{F623ECE5-F990-40AC-9A97-E257914FDE4E}" name="Column238" dataDxfId="16147"/>
    <tableColumn id="263" xr3:uid="{701F7EA8-5C1D-4006-961D-E3388145C649}" name="Column239" dataDxfId="16146"/>
    <tableColumn id="264" xr3:uid="{A3A0212F-D782-4837-BE71-95D7943CF5BB}" name="Column240" dataDxfId="16145"/>
    <tableColumn id="265" xr3:uid="{3089756B-E385-4EE2-931E-DD763E16EF71}" name="Column241" dataDxfId="16144"/>
    <tableColumn id="266" xr3:uid="{A2F702CE-AC0B-4921-BF7E-D8BBC52CD4C2}" name="Column242" dataDxfId="16143"/>
    <tableColumn id="267" xr3:uid="{50102C34-8958-4773-9D5D-F44E6C162DF8}" name="Column243" dataDxfId="16142"/>
    <tableColumn id="268" xr3:uid="{CB5F0622-0FAD-4BD4-A2F9-9C99A7EE6A8B}" name="Column244" dataDxfId="16141"/>
    <tableColumn id="269" xr3:uid="{B84A31C5-4F0F-43F1-8AB3-46B17A8D1EAC}" name="Column245" dataDxfId="16140"/>
    <tableColumn id="270" xr3:uid="{0BD38927-1CAB-484F-B4EE-1AA46BB203E8}" name="Column246" dataDxfId="16139"/>
    <tableColumn id="271" xr3:uid="{A1F08148-24D2-46B6-814C-E6A14808ED4D}" name="Column247" dataDxfId="16138"/>
    <tableColumn id="272" xr3:uid="{699A112D-7EA5-4FD0-9A4C-35145821C08F}" name="Column248" dataDxfId="16137"/>
    <tableColumn id="273" xr3:uid="{C57C41C0-934B-4436-83A9-93E525AF9E8E}" name="Column249" dataDxfId="16136"/>
    <tableColumn id="274" xr3:uid="{BD9F9AC6-44C2-46E2-B2AC-DEB0E5C3A87C}" name="Column250" dataDxfId="16135"/>
    <tableColumn id="275" xr3:uid="{4603406D-B7BA-41FD-9051-3B368D5AFE5E}" name="Column251" dataDxfId="16134"/>
    <tableColumn id="276" xr3:uid="{765C75C0-2E2B-41E1-B4DA-B40200B66F1C}" name="Column252" dataDxfId="16133"/>
    <tableColumn id="277" xr3:uid="{EDFD20A0-009B-4EAC-9225-868F7D20FFAB}" name="Column253" dataDxfId="16132"/>
    <tableColumn id="278" xr3:uid="{A359D791-947C-4591-9A0F-D242B1AB44E1}" name="Column254" dataDxfId="16131"/>
    <tableColumn id="279" xr3:uid="{6103B2A1-19AE-4ED0-B0F6-40B74310337C}" name="Column255" dataDxfId="16130"/>
    <tableColumn id="280" xr3:uid="{2C632683-64D3-43A2-BDA7-DA3ED7A35F9F}" name="Column256" dataDxfId="16129"/>
    <tableColumn id="281" xr3:uid="{D04A3D19-D67E-4473-9E79-C0297C67974C}" name="Column257" dataDxfId="16128"/>
    <tableColumn id="282" xr3:uid="{232C6037-AD62-45DA-98F9-BE0FFEFE7E63}" name="Column258" dataDxfId="16127"/>
    <tableColumn id="283" xr3:uid="{AF8F3A9A-3493-4D58-BA4C-0009BB8584E4}" name="Column259" dataDxfId="16126"/>
    <tableColumn id="284" xr3:uid="{A1C0E605-60E3-453C-97E8-0594661B673E}" name="Column260" dataDxfId="16125"/>
    <tableColumn id="285" xr3:uid="{77D70454-D445-4E1D-8718-D46B18877FF0}" name="Column261" dataDxfId="16124"/>
    <tableColumn id="286" xr3:uid="{FD23F968-9A17-4171-B55D-10828D67DAA7}" name="Column262" dataDxfId="16123"/>
    <tableColumn id="287" xr3:uid="{448D587F-9590-4EDC-956E-84328D98185A}" name="Column263" dataDxfId="16122"/>
    <tableColumn id="288" xr3:uid="{1CA7BA15-F589-4591-9E22-5600804BD4E3}" name="Column264" dataDxfId="16121"/>
    <tableColumn id="289" xr3:uid="{58233A7B-B567-443E-B0DF-5E8BD313463D}" name="Column265" dataDxfId="16120"/>
    <tableColumn id="290" xr3:uid="{13F96B7F-22C2-4C10-BE04-A05C1D66AE2B}" name="Column266" dataDxfId="16119"/>
    <tableColumn id="291" xr3:uid="{081510EC-5BCD-4A68-8A54-61DC2916733E}" name="Column267" dataDxfId="16118"/>
    <tableColumn id="292" xr3:uid="{25E9C50C-E576-4AE5-BBA7-7ECB447B7320}" name="Column268" dataDxfId="16117"/>
    <tableColumn id="293" xr3:uid="{0BAF3B92-8490-4AB2-A6F3-A88DA0E9D07D}" name="Column269" dataDxfId="16116"/>
    <tableColumn id="294" xr3:uid="{C9880748-5D2F-4488-9166-4D56D2B4FF40}" name="Column270" dataDxfId="16115"/>
    <tableColumn id="295" xr3:uid="{68DA839C-4E32-4F95-A549-EBD08DA28E04}" name="Column271" dataDxfId="16114"/>
    <tableColumn id="296" xr3:uid="{7E8D590F-2C58-4DAB-BF84-2E3AC6CCBB24}" name="Column272" dataDxfId="16113"/>
    <tableColumn id="297" xr3:uid="{A5A8DC5F-23A1-4C08-A0A6-F1562095DD51}" name="Column273" dataDxfId="16112"/>
    <tableColumn id="298" xr3:uid="{E27440CB-7518-408E-8AD2-CE3CA6DBB73B}" name="Column274" dataDxfId="16111"/>
    <tableColumn id="299" xr3:uid="{CEB6A497-571B-4181-9FA0-12EB9DFC6DAF}" name="Column275" dataDxfId="16110"/>
    <tableColumn id="300" xr3:uid="{702D4BA5-7DCA-4E9B-AC48-CCC760F58937}" name="Column276" dataDxfId="16109"/>
    <tableColumn id="301" xr3:uid="{FB611753-A6DD-4AC2-B2D2-CB2A11EB2227}" name="Column277" dataDxfId="16108"/>
    <tableColumn id="302" xr3:uid="{3C5AAACF-6706-4296-A94B-D78D23F0DC94}" name="Column278" dataDxfId="16107"/>
    <tableColumn id="303" xr3:uid="{6A8A5298-F7A0-4763-A852-02EC69BC6B02}" name="Column279" dataDxfId="16106"/>
    <tableColumn id="304" xr3:uid="{2AACE216-965A-4A41-9F40-9CBCE0D7B49D}" name="Column280" dataDxfId="16105"/>
    <tableColumn id="305" xr3:uid="{54A3AB68-9BE0-4F91-847E-3A4A2EDCA367}" name="Column281" dataDxfId="16104"/>
    <tableColumn id="306" xr3:uid="{2745FB20-88EC-4B50-A952-0DCC43B479F2}" name="Column282" dataDxfId="16103"/>
    <tableColumn id="307" xr3:uid="{FB971E28-B8F6-4D0C-8D94-964137203F3D}" name="Column283" dataDxfId="16102"/>
    <tableColumn id="308" xr3:uid="{FCCEEBC6-B900-48E7-8F77-D62DCD232FB1}" name="Column284" dataDxfId="16101"/>
    <tableColumn id="309" xr3:uid="{6CE4F629-2757-4DAB-A7F7-0DE90A3E250F}" name="Column285" dataDxfId="16100"/>
    <tableColumn id="310" xr3:uid="{D8404BC5-E673-405C-9B6C-83F8288A0D09}" name="Column286" dataDxfId="16099"/>
    <tableColumn id="311" xr3:uid="{46A78EE4-7E8F-496B-96E4-9450345C1158}" name="Column287" dataDxfId="16098"/>
    <tableColumn id="312" xr3:uid="{E4A085AE-6E16-433D-AF5E-ABE18B6C5749}" name="Column288" dataDxfId="16097"/>
    <tableColumn id="313" xr3:uid="{25AEFD75-9AF2-4AC4-89F7-B0823FC0BFF2}" name="Column289" dataDxfId="16096"/>
    <tableColumn id="314" xr3:uid="{5DAA87E9-FD92-4187-86C4-06D04E8CA9F8}" name="Column290" dataDxfId="16095"/>
    <tableColumn id="315" xr3:uid="{FC72262A-4BEA-4373-9D95-F3A15F55AD14}" name="Column291" dataDxfId="16094"/>
    <tableColumn id="316" xr3:uid="{52195747-4D15-4B93-ADE6-4967696D3579}" name="Column292" dataDxfId="16093"/>
    <tableColumn id="317" xr3:uid="{74F65490-89D0-4077-B081-03E5B6018D5E}" name="Column293" dataDxfId="16092"/>
    <tableColumn id="318" xr3:uid="{F2D0719F-EB7A-4B8D-A721-C9AA325C43B6}" name="Column294" dataDxfId="16091"/>
    <tableColumn id="319" xr3:uid="{585EE1EA-FCFC-4D8B-B468-026B8811A52C}" name="Column295" dataDxfId="16090"/>
    <tableColumn id="320" xr3:uid="{19CD04A0-8829-42F7-8F45-A9415483AA30}" name="Column296" dataDxfId="16089"/>
    <tableColumn id="321" xr3:uid="{9B73988F-4241-42E7-ABC5-E4ACD0E1882D}" name="Column297" dataDxfId="16088"/>
    <tableColumn id="322" xr3:uid="{A617D4D5-D005-469F-913E-AFC288317773}" name="Column298" dataDxfId="16087"/>
    <tableColumn id="323" xr3:uid="{3306303E-ECD4-4C17-BC27-0DE206C76B26}" name="Column299" dataDxfId="16086"/>
    <tableColumn id="324" xr3:uid="{57602343-5C12-4FEA-8B50-64DD13ED3166}" name="Column300" dataDxfId="16085"/>
    <tableColumn id="325" xr3:uid="{BF78C8B8-237F-445B-91E2-7A0475CCB779}" name="Column301" dataDxfId="16084"/>
    <tableColumn id="326" xr3:uid="{0520ED32-ECF8-4612-ABF5-E59E8D8875C6}" name="Column302" dataDxfId="16083"/>
    <tableColumn id="327" xr3:uid="{7EA22FE0-DFAD-4375-9363-4AD84F603A02}" name="Column303" dataDxfId="16082"/>
    <tableColumn id="328" xr3:uid="{1B02E043-CFF4-4552-A04A-476879D03FFA}" name="Column304" dataDxfId="16081"/>
    <tableColumn id="329" xr3:uid="{9DFC860E-7432-4458-A9F3-6DB9E03B87D8}" name="Column305" dataDxfId="16080"/>
    <tableColumn id="330" xr3:uid="{60B090F4-7AA7-494B-96FF-BAFE241A5E3F}" name="Column306" dataDxfId="16079"/>
    <tableColumn id="331" xr3:uid="{DFEB1B99-AB79-4FE1-AF6D-4DE6CC968623}" name="Column307" dataDxfId="16078"/>
    <tableColumn id="332" xr3:uid="{457DCCA4-E10E-4BC8-AC60-288C6FC3A193}" name="Column308" dataDxfId="16077"/>
    <tableColumn id="333" xr3:uid="{8E360D35-64F4-49B8-AA26-8BB5078F874F}" name="Column309" dataDxfId="16076"/>
    <tableColumn id="334" xr3:uid="{81E343BB-CE6D-4F34-88C5-8890E42C7D19}" name="Column310" dataDxfId="16075"/>
    <tableColumn id="335" xr3:uid="{32854229-28D9-4EF0-852C-01CBA4C8306B}" name="Column311" dataDxfId="16074"/>
    <tableColumn id="336" xr3:uid="{5330239C-CA0B-499E-998E-1230660C5F42}" name="Column312" dataDxfId="16073"/>
    <tableColumn id="337" xr3:uid="{B018D56D-1714-4CD2-9566-91B47F222E36}" name="Column313" dataDxfId="16072"/>
    <tableColumn id="338" xr3:uid="{6992AB45-78D7-49DA-B9D6-AC1E836086D4}" name="Column314" dataDxfId="16071"/>
    <tableColumn id="339" xr3:uid="{EA1B0C24-5293-42CF-9CB8-21C7924AE1CE}" name="Column315" dataDxfId="16070"/>
    <tableColumn id="340" xr3:uid="{39062A13-BECE-423C-BF52-31D159A39361}" name="Column316" dataDxfId="16069"/>
    <tableColumn id="341" xr3:uid="{F66BB347-1D4A-47E0-93E6-8C7AC2399C71}" name="Column317" dataDxfId="16068"/>
    <tableColumn id="342" xr3:uid="{6D37CCC8-C27B-4AB4-88F3-6B288764FA44}" name="Column318" dataDxfId="16067"/>
    <tableColumn id="343" xr3:uid="{7CBB4383-D24E-49C0-B8D3-A0DE68369901}" name="Column319" dataDxfId="16066"/>
    <tableColumn id="344" xr3:uid="{AFB0C0EF-3DDA-4E39-AB8D-1CCEEF64FF48}" name="Column320" dataDxfId="16065"/>
    <tableColumn id="345" xr3:uid="{741399D5-D646-4236-B427-951E7C5DC6D6}" name="Column321" dataDxfId="16064"/>
    <tableColumn id="346" xr3:uid="{4761D0C6-01B4-4378-9AB4-3C5B99DD9C35}" name="Column322" dataDxfId="16063"/>
    <tableColumn id="347" xr3:uid="{2A84FBF4-6582-4A5B-81C2-3B34F52FA838}" name="Column323" dataDxfId="16062"/>
    <tableColumn id="348" xr3:uid="{817DFED2-6662-4816-9DF4-D3F1881E86FE}" name="Column324" dataDxfId="16061"/>
    <tableColumn id="349" xr3:uid="{05A2718D-B451-4D76-8FE4-1174C3E43A3F}" name="Column325" dataDxfId="16060"/>
    <tableColumn id="350" xr3:uid="{7C651FFE-5EBD-4AE0-8847-AD03BA42DA91}" name="Column326" dataDxfId="16059"/>
    <tableColumn id="351" xr3:uid="{EB08DE7D-A5BA-46A0-8BE0-474F320BE32C}" name="Column327" dataDxfId="16058"/>
    <tableColumn id="352" xr3:uid="{D17C5780-3BC5-491F-81FD-4E4D171B283A}" name="Column328" dataDxfId="16057"/>
    <tableColumn id="353" xr3:uid="{CC9F89D1-5A0C-4A4E-8A73-7197F9A06121}" name="Column329" dataDxfId="16056"/>
    <tableColumn id="354" xr3:uid="{B70AE620-A979-4C90-AC28-80A2E3E0E59E}" name="Column330" dataDxfId="16055"/>
    <tableColumn id="355" xr3:uid="{70D39FCF-CE95-46CA-A7B2-5881C57D1F46}" name="Column331" dataDxfId="16054"/>
    <tableColumn id="356" xr3:uid="{E79ED9E2-40F7-41A6-A3A2-384E95431347}" name="Column332" dataDxfId="16053"/>
    <tableColumn id="357" xr3:uid="{A6536C0A-8CCD-4091-B347-D51F2F0A80E1}" name="Column333" dataDxfId="16052"/>
    <tableColumn id="358" xr3:uid="{E8487E7C-5922-40FF-B5F4-E24A75993E62}" name="Column334" dataDxfId="16051"/>
    <tableColumn id="359" xr3:uid="{1DE3375F-DB61-4E9B-ACDA-CF1A58D314C8}" name="Column335" dataDxfId="16050"/>
    <tableColumn id="360" xr3:uid="{CC54DA3F-3730-44A1-BF13-E0BBB51B644A}" name="Column336" dataDxfId="16049"/>
    <tableColumn id="361" xr3:uid="{9F7DB87F-804D-47F7-AE8C-3E0E359AC1AE}" name="Column337" dataDxfId="16048"/>
    <tableColumn id="362" xr3:uid="{E0C68732-140E-45DE-90F2-72D1AD55083B}" name="Column338" dataDxfId="16047"/>
    <tableColumn id="363" xr3:uid="{F97F1071-5083-4B57-BE10-C1067ADDF1A2}" name="Column339" dataDxfId="16046"/>
    <tableColumn id="364" xr3:uid="{83030C63-5F51-4FD7-A499-551715F4A85B}" name="Column340" dataDxfId="16045"/>
    <tableColumn id="365" xr3:uid="{89E08FC8-323F-4CA2-ACA2-A117369CED27}" name="Column341" dataDxfId="16044"/>
    <tableColumn id="366" xr3:uid="{EE1855B6-8E0A-4F5A-95D4-7959A644A252}" name="Column342" dataDxfId="16043"/>
    <tableColumn id="367" xr3:uid="{D0F5FB91-193D-4743-B67F-9E8DAEBF28B2}" name="Column343" dataDxfId="16042"/>
    <tableColumn id="368" xr3:uid="{920B05A8-31F3-4EB5-9A7D-EEAE5A54C186}" name="Column344" dataDxfId="16041"/>
    <tableColumn id="369" xr3:uid="{D085D431-9CEB-4768-9D4A-9330D7AE8E09}" name="Column345" dataDxfId="16040"/>
    <tableColumn id="370" xr3:uid="{12771C96-A4E0-4C2C-9B73-D5410B52C1DB}" name="Column346" dataDxfId="16039"/>
    <tableColumn id="371" xr3:uid="{98FCD9FF-785E-46E2-9DF3-064E35918D71}" name="Column347" dataDxfId="16038"/>
    <tableColumn id="372" xr3:uid="{BD525E80-715D-4E9D-869E-85DC8E574B22}" name="Column348" dataDxfId="16037"/>
    <tableColumn id="373" xr3:uid="{813787B5-5DED-4523-8850-4F5FD4E9390C}" name="Column349" dataDxfId="16036"/>
    <tableColumn id="374" xr3:uid="{CAF06D27-7D33-4B7B-920B-D686BBAF71F3}" name="Column350" dataDxfId="16035"/>
    <tableColumn id="375" xr3:uid="{D70F8835-207A-45F0-89E2-9DE935DDCE62}" name="Column351" dataDxfId="16034"/>
    <tableColumn id="376" xr3:uid="{66504196-479D-480D-A451-6E5249B2B732}" name="Column352" dataDxfId="16033"/>
    <tableColumn id="377" xr3:uid="{6343DB66-0F98-4E10-A934-AA68F68453DC}" name="Column353" dataDxfId="16032"/>
    <tableColumn id="378" xr3:uid="{652E4A17-BC29-479A-8749-548012FF8D04}" name="Column354" dataDxfId="16031"/>
    <tableColumn id="379" xr3:uid="{B20204F0-6881-48A4-8E69-6B2A7BA4D1F1}" name="Column355" dataDxfId="16030"/>
    <tableColumn id="380" xr3:uid="{89FF4483-03D2-4E9F-B205-61893506BC51}" name="Column356" dataDxfId="16029"/>
    <tableColumn id="381" xr3:uid="{288A47E6-AA88-4381-B036-6909A7244A34}" name="Column357" dataDxfId="16028"/>
    <tableColumn id="382" xr3:uid="{EF476D9A-FE85-4792-9407-F01A452A3774}" name="Column358" dataDxfId="16027"/>
    <tableColumn id="383" xr3:uid="{EAA6AE96-15D4-4D6C-993D-FB6701A510FB}" name="Column359" dataDxfId="16026"/>
    <tableColumn id="384" xr3:uid="{498F78E8-8FA6-4942-BB32-4975F854907B}" name="Column360" dataDxfId="16025"/>
    <tableColumn id="385" xr3:uid="{78503F69-7AB5-41A8-9C73-2A0D913EC47D}" name="Column361" dataDxfId="16024"/>
    <tableColumn id="386" xr3:uid="{A7019380-AD24-4C08-9952-9B48D476C6CE}" name="Column362" dataDxfId="16023"/>
    <tableColumn id="387" xr3:uid="{E1C42227-FC33-45BF-AD8B-E7D7F27344BE}" name="Column363" dataDxfId="16022"/>
    <tableColumn id="388" xr3:uid="{9733E9C3-8C5A-4CAC-99B9-5063CFB5CE4C}" name="Column364" dataDxfId="16021"/>
    <tableColumn id="389" xr3:uid="{956D8C7C-61B1-4079-8465-C29F4B9B8784}" name="Column365" dataDxfId="16020"/>
    <tableColumn id="390" xr3:uid="{F8BDD9B5-5658-4C91-AD28-6043A195BB99}" name="Column366" dataDxfId="16019"/>
    <tableColumn id="391" xr3:uid="{14FD5278-DEAA-4438-8653-F22266BFA4AF}" name="Column367" dataDxfId="16018"/>
    <tableColumn id="392" xr3:uid="{7F6E48A3-8E91-4A65-A780-6206E80E342F}" name="Column368" dataDxfId="16017"/>
    <tableColumn id="393" xr3:uid="{6F12A264-C211-4882-871A-B75EC10BAB3B}" name="Column369" dataDxfId="16016"/>
    <tableColumn id="394" xr3:uid="{457D6474-49F5-4D82-AB25-C1D282DEDDDA}" name="Column370" dataDxfId="16015"/>
    <tableColumn id="395" xr3:uid="{00B4D4E5-273A-4E1E-8936-0551A7DEA77D}" name="Column371" dataDxfId="16014"/>
    <tableColumn id="396" xr3:uid="{8E525F69-8BC8-492C-A340-892517049208}" name="Column372" dataDxfId="16013"/>
    <tableColumn id="397" xr3:uid="{838848D4-01DC-4570-98D8-3514F3E05217}" name="Column373" dataDxfId="16012"/>
    <tableColumn id="398" xr3:uid="{F542B0C3-CEE9-440B-A2EE-320B39FD7610}" name="Column374" dataDxfId="16011"/>
    <tableColumn id="399" xr3:uid="{DA777572-CE30-431D-91F9-F9FE2CCB9BE5}" name="Column375" dataDxfId="16010"/>
    <tableColumn id="400" xr3:uid="{E5D82A5F-7EC6-49F4-94BD-2104832A42B9}" name="Column376" dataDxfId="16009"/>
    <tableColumn id="401" xr3:uid="{DE036BB5-7DF0-40B9-B75A-35DDF44DF1F7}" name="Column377" dataDxfId="16008"/>
    <tableColumn id="402" xr3:uid="{FCBEADAA-1428-4C85-B19C-6725D783F769}" name="Column378" dataDxfId="16007"/>
    <tableColumn id="403" xr3:uid="{A60955A1-75F1-48EA-BC30-6AE13066C8AA}" name="Column379" dataDxfId="16006"/>
    <tableColumn id="404" xr3:uid="{E26ACF34-4962-4596-8A1E-A02C1186159C}" name="Column380" dataDxfId="16005"/>
    <tableColumn id="405" xr3:uid="{A49938FC-7C04-40F5-BD62-7272F48029E3}" name="Column381" dataDxfId="16004"/>
    <tableColumn id="406" xr3:uid="{B876775D-0694-46E4-987F-A4A87FA37AC5}" name="Column382" dataDxfId="16003"/>
    <tableColumn id="407" xr3:uid="{1D6B1224-6FC8-4F44-8EBC-26D3211659E0}" name="Column383" dataDxfId="16002"/>
    <tableColumn id="408" xr3:uid="{0B3BC10B-0532-4B29-9DA6-DC130FBD7525}" name="Column384" dataDxfId="16001"/>
    <tableColumn id="409" xr3:uid="{4E01FD9A-CAA5-4E03-A43F-226AC31B5336}" name="Column385" dataDxfId="16000"/>
    <tableColumn id="410" xr3:uid="{923B72D3-93FE-45E4-A7F5-9702B958A5B5}" name="Column386" dataDxfId="15999"/>
    <tableColumn id="411" xr3:uid="{F601A086-A279-4C6C-848C-221EDF02C4FC}" name="Column387" dataDxfId="15998"/>
    <tableColumn id="412" xr3:uid="{334552E7-D5AA-4DF1-A784-B0C7CDF30C11}" name="Column388" dataDxfId="15997"/>
    <tableColumn id="413" xr3:uid="{68935AC4-9CA5-4367-99C2-79867F551EF2}" name="Column389" dataDxfId="15996"/>
    <tableColumn id="414" xr3:uid="{BE446B87-C551-426C-9720-0B193DE0B70A}" name="Column390" dataDxfId="15995"/>
    <tableColumn id="415" xr3:uid="{C0F38894-3037-4CB4-A9D5-E7C58627C8C7}" name="Column391" dataDxfId="15994"/>
    <tableColumn id="416" xr3:uid="{FB06D6F7-B809-4405-85C4-F7709D61C8FD}" name="Column392" dataDxfId="15993"/>
    <tableColumn id="417" xr3:uid="{54D2BA0F-D74C-4732-B0FB-BF07AF024A11}" name="Column393" dataDxfId="15992"/>
    <tableColumn id="418" xr3:uid="{0D3449FD-7C88-4E09-A57E-58ED85082328}" name="Column394" dataDxfId="15991"/>
    <tableColumn id="419" xr3:uid="{3E27181B-B17F-4B87-8E7A-4A46567D910D}" name="Column395" dataDxfId="15990"/>
    <tableColumn id="420" xr3:uid="{625C1F81-C195-4CA5-BA7E-3992725A590D}" name="Column396" dataDxfId="15989"/>
    <tableColumn id="421" xr3:uid="{0F957C3F-5EE3-49E6-BD9A-7DB726F04CA1}" name="Column397" dataDxfId="15988"/>
    <tableColumn id="422" xr3:uid="{A714B36C-ABDD-48DC-9814-B0B4E3F71098}" name="Column398" dataDxfId="15987"/>
    <tableColumn id="423" xr3:uid="{BAF6CEFE-0BCE-4440-8356-AF883BFCD87E}" name="Column399" dataDxfId="15986"/>
    <tableColumn id="424" xr3:uid="{588AA9B0-96B4-4916-A7D3-736F4B31B63D}" name="Column400" dataDxfId="15985"/>
    <tableColumn id="425" xr3:uid="{4636C858-F1BC-4756-9AB3-94447540F00F}" name="Column401" dataDxfId="15984"/>
    <tableColumn id="426" xr3:uid="{6F115FCF-7C17-4A94-8EC8-953F308D1AEE}" name="Column402" dataDxfId="15983"/>
    <tableColumn id="427" xr3:uid="{65105C7C-9FBA-40F0-9640-DD962CD6FC93}" name="Column403" dataDxfId="15982"/>
    <tableColumn id="428" xr3:uid="{EC194E74-F0A2-4C2A-91AB-507A0A2E7E54}" name="Column404" dataDxfId="15981"/>
    <tableColumn id="429" xr3:uid="{3F12C6A7-478B-40A9-8A47-BBE1D97D0024}" name="Column405" dataDxfId="15980"/>
    <tableColumn id="430" xr3:uid="{4BC325B1-ED08-46C9-BB79-B69AFC75DC52}" name="Column406" dataDxfId="15979"/>
    <tableColumn id="431" xr3:uid="{9A5D6B8C-D568-4BBF-B334-6B810B2C93F8}" name="Column407" dataDxfId="15978"/>
    <tableColumn id="432" xr3:uid="{C6C4212C-0BD0-4741-90FE-5158E649E074}" name="Column408" dataDxfId="15977"/>
    <tableColumn id="433" xr3:uid="{A72926BF-CDE2-465F-950D-322112748B3C}" name="Column409" dataDxfId="15976"/>
    <tableColumn id="434" xr3:uid="{0CB15A04-A500-47D6-AFC6-E5C1AF5237D7}" name="Column410" dataDxfId="15975"/>
    <tableColumn id="435" xr3:uid="{02CAE1DE-4EE3-42ED-9375-6FBCE1810365}" name="Column411" dataDxfId="15974"/>
    <tableColumn id="436" xr3:uid="{122DEE5E-6447-47C5-A4C5-74E2BDD1F83C}" name="Column412" dataDxfId="15973"/>
    <tableColumn id="437" xr3:uid="{80019671-AF8C-4EA9-995A-FCFE92B89C14}" name="Column413" dataDxfId="15972"/>
    <tableColumn id="438" xr3:uid="{1F1D9322-F087-4FFB-974A-278ED6000A7E}" name="Column414" dataDxfId="15971"/>
    <tableColumn id="439" xr3:uid="{81618681-1645-411C-8EFA-A0A6FF43A061}" name="Column415" dataDxfId="15970"/>
    <tableColumn id="440" xr3:uid="{62EA67B2-2862-40EB-A82E-A7D7644EA3E8}" name="Column416" dataDxfId="15969"/>
    <tableColumn id="441" xr3:uid="{4B407040-67EB-4EC6-95C1-90F48EB7886F}" name="Column417" dataDxfId="15968"/>
    <tableColumn id="442" xr3:uid="{1099526D-452E-4E8C-8081-EEEA41AAA1FA}" name="Column418" dataDxfId="15967"/>
    <tableColumn id="443" xr3:uid="{31CB6AAD-24A0-4F8C-A2F3-C8B4BBBDB71D}" name="Column419" dataDxfId="15966"/>
    <tableColumn id="444" xr3:uid="{13D14265-909B-45C3-9CBE-9A900E9212D1}" name="Column420" dataDxfId="15965"/>
    <tableColumn id="445" xr3:uid="{8C9196CC-4732-45B1-9879-CCF0110F79A7}" name="Column421" dataDxfId="15964"/>
    <tableColumn id="446" xr3:uid="{DD4816CF-2673-4AAC-BD00-CAE6541B9443}" name="Column422" dataDxfId="15963"/>
    <tableColumn id="447" xr3:uid="{615359E5-8242-410E-86F5-4FECBAC94751}" name="Column423" dataDxfId="15962"/>
    <tableColumn id="448" xr3:uid="{E1A33C2F-B43B-4F99-B6F8-46B8FEB1CE4B}" name="Column424" dataDxfId="15961"/>
    <tableColumn id="449" xr3:uid="{8CFBC3B3-B70B-4A7A-A104-0FA56CED0DB2}" name="Column425" dataDxfId="15960"/>
    <tableColumn id="450" xr3:uid="{561B9157-4A1D-471E-B3AE-DFA861B83BCD}" name="Column426" dataDxfId="15959"/>
    <tableColumn id="451" xr3:uid="{E8682C4F-545C-4A7A-96DB-AE73BFC9E21B}" name="Column427" dataDxfId="15958"/>
    <tableColumn id="452" xr3:uid="{9F259CEB-B511-4129-858A-5AEE4236311E}" name="Column428" dataDxfId="15957"/>
    <tableColumn id="453" xr3:uid="{3B5CCDA4-AA70-4904-B2F5-FC0A82494546}" name="Column429" dataDxfId="15956"/>
    <tableColumn id="454" xr3:uid="{E13BB87D-2B1F-4372-BB87-14D2C350402A}" name="Column430" dataDxfId="15955"/>
    <tableColumn id="455" xr3:uid="{6BD5BFF4-A077-4B10-9664-2C4ACCCA757B}" name="Column431" dataDxfId="15954"/>
    <tableColumn id="456" xr3:uid="{F4A94766-685B-4A43-B6FE-417140DEA1DF}" name="Column432" dataDxfId="15953"/>
    <tableColumn id="457" xr3:uid="{25E2EBE0-BEE6-499A-BEED-6DB30A7041F6}" name="Column433" dataDxfId="15952"/>
    <tableColumn id="458" xr3:uid="{B55DE887-91E5-4B43-8D7B-EF26DE954E2D}" name="Column434" dataDxfId="15951"/>
    <tableColumn id="459" xr3:uid="{6117601E-E71F-4C1A-85BD-0DE45B6A891D}" name="Column435" dataDxfId="15950"/>
    <tableColumn id="460" xr3:uid="{668A6DA5-98A7-45CF-B831-D8B27B6CAF66}" name="Column436" dataDxfId="15949"/>
    <tableColumn id="461" xr3:uid="{A4C82EE5-29D3-4361-8D56-02BF39365590}" name="Column437" dataDxfId="15948"/>
    <tableColumn id="462" xr3:uid="{26E95081-504E-48EE-96B0-E91FFC53C66C}" name="Column438" dataDxfId="15947"/>
    <tableColumn id="463" xr3:uid="{FDD0D81F-60D9-47D2-A9D8-427C6ECA9022}" name="Column439" dataDxfId="15946"/>
    <tableColumn id="464" xr3:uid="{46D516FC-3B2F-4C13-AB6D-14F6F2710841}" name="Column440" dataDxfId="15945"/>
    <tableColumn id="465" xr3:uid="{D1092337-4099-482B-BB3C-E82E8D5B8AC2}" name="Column441" dataDxfId="15944"/>
    <tableColumn id="466" xr3:uid="{ACE38EAB-B0DC-4E27-A628-7CE57B6452B6}" name="Column442" dataDxfId="15943"/>
    <tableColumn id="467" xr3:uid="{B8F4D17E-19EC-471F-B1BE-145922DFB8B1}" name="Column443" dataDxfId="15942"/>
    <tableColumn id="468" xr3:uid="{D83225CE-C321-4E4C-B315-66F9841EB74A}" name="Column444" dataDxfId="15941"/>
    <tableColumn id="469" xr3:uid="{AA239E9D-86ED-449E-96D9-A5E602B0DD55}" name="Column445" dataDxfId="15940"/>
    <tableColumn id="470" xr3:uid="{80200507-3729-4B7F-BDE1-E3C54A0A8B46}" name="Column446" dataDxfId="15939"/>
    <tableColumn id="471" xr3:uid="{0A5D0B90-752D-4981-BE2B-C1900BC58AA1}" name="Column447" dataDxfId="15938"/>
    <tableColumn id="472" xr3:uid="{64C052D8-4B1F-48FC-A845-3CCC8FE295B9}" name="Column448" dataDxfId="15937"/>
    <tableColumn id="473" xr3:uid="{3E6197A3-EA27-4FF0-9B75-D8A00E16F406}" name="Column449" dataDxfId="15936"/>
    <tableColumn id="474" xr3:uid="{30914414-8126-4AAF-9C89-1F60D7A158DD}" name="Column450" dataDxfId="15935"/>
    <tableColumn id="475" xr3:uid="{B68B1D8D-ADFA-475D-B250-09454DCF644E}" name="Column451" dataDxfId="15934"/>
    <tableColumn id="476" xr3:uid="{64CB5B7C-4E34-43F6-9DC5-AA8799B3DEAB}" name="Column452" dataDxfId="15933"/>
    <tableColumn id="477" xr3:uid="{BB1F5C81-B713-44EC-A1A8-5272A0B59384}" name="Column453" dataDxfId="15932"/>
    <tableColumn id="478" xr3:uid="{88E50CDF-1919-4DC2-95EA-13F816E2490E}" name="Column454" dataDxfId="15931"/>
    <tableColumn id="479" xr3:uid="{2488FB86-27DF-40F8-8850-AFF485D1DC08}" name="Column455" dataDxfId="15930"/>
    <tableColumn id="480" xr3:uid="{4EDFF302-85B7-4DC4-8D75-90788A038B25}" name="Column456" dataDxfId="15929"/>
    <tableColumn id="481" xr3:uid="{27C460AB-F43E-4F73-A3FC-237759B221A7}" name="Column457" dataDxfId="15928"/>
    <tableColumn id="482" xr3:uid="{41D5AEF0-FBC7-4867-8338-FB48285FD3C8}" name="Column458" dataDxfId="15927"/>
    <tableColumn id="483" xr3:uid="{EE433A11-F0C1-4CAD-86F6-8272A6F84AC4}" name="Column459" dataDxfId="15926"/>
    <tableColumn id="484" xr3:uid="{8AC5E114-51C0-4240-A03C-E6E3600868E9}" name="Column460" dataDxfId="15925"/>
    <tableColumn id="485" xr3:uid="{3A1B2894-9F59-4588-AE8D-20BF5C83E195}" name="Column461" dataDxfId="15924"/>
    <tableColumn id="486" xr3:uid="{0CB72B97-31AE-4B04-A147-6ACF2E98543B}" name="Column462" dataDxfId="15923"/>
    <tableColumn id="487" xr3:uid="{E786FE1B-BB84-40E8-A4ED-096A96C5ED51}" name="Column463" dataDxfId="15922"/>
    <tableColumn id="488" xr3:uid="{124DDE6C-EF46-4635-A09F-CD8CC4B42E19}" name="Column464" dataDxfId="15921"/>
    <tableColumn id="489" xr3:uid="{E778EE6F-62BD-4384-9EB3-353AAB003470}" name="Column465" dataDxfId="15920"/>
    <tableColumn id="490" xr3:uid="{84A4E513-0F45-4F7D-84D3-A77D29DC609E}" name="Column466" dataDxfId="15919"/>
    <tableColumn id="491" xr3:uid="{FDDCD1FF-4931-44ED-BD18-BA467725B304}" name="Column467" dataDxfId="15918"/>
    <tableColumn id="492" xr3:uid="{4A63F39C-BD41-4F24-BFF6-8A24AF3BE57B}" name="Column468" dataDxfId="15917"/>
    <tableColumn id="493" xr3:uid="{783C92D5-1747-4184-9C8A-2C9BC47D0D0B}" name="Column469" dataDxfId="15916"/>
    <tableColumn id="494" xr3:uid="{6C47B9A5-BB24-4AE0-A4B0-F8CCEBB1131C}" name="Column470" dataDxfId="15915"/>
    <tableColumn id="495" xr3:uid="{6AE84FF4-161F-4FC6-97F1-B31D2CA6A67D}" name="Column471" dataDxfId="15914"/>
    <tableColumn id="496" xr3:uid="{68224A52-547B-4277-95F2-8C78FAD542C1}" name="Column472" dataDxfId="15913"/>
    <tableColumn id="497" xr3:uid="{41D6F0AD-1360-4997-8FF7-99E80C83D5D7}" name="Column473" dataDxfId="15912"/>
    <tableColumn id="498" xr3:uid="{78EE9B0E-8C21-4C32-B478-DAAC119924B7}" name="Column474" dataDxfId="15911"/>
    <tableColumn id="499" xr3:uid="{A484FBF5-293D-486C-BC93-79DF7B2C2A7E}" name="Column475" dataDxfId="15910"/>
    <tableColumn id="500" xr3:uid="{7FBD743B-3A94-4D0B-992D-B8A5C97E8FE5}" name="Column476" dataDxfId="15909"/>
    <tableColumn id="501" xr3:uid="{3242CE91-AC5A-4278-9E57-3F9DDDF21E98}" name="Column477" dataDxfId="15908"/>
    <tableColumn id="502" xr3:uid="{B9C2184B-F926-4536-B0A0-596A29587633}" name="Column478" dataDxfId="15907"/>
    <tableColumn id="503" xr3:uid="{33721ACA-577C-4E75-88F0-BEA06BD09251}" name="Column479" dataDxfId="15906"/>
    <tableColumn id="504" xr3:uid="{0BA65B03-3DC2-403A-A06E-B73A97709D9F}" name="Column480" dataDxfId="15905"/>
    <tableColumn id="505" xr3:uid="{ACEB7C5A-503A-4BBB-8F7D-2BCB2446AF44}" name="Column481" dataDxfId="15904"/>
    <tableColumn id="506" xr3:uid="{C0ECAD78-9EED-4DBF-B8F6-23D5FBA531C3}" name="Column482" dataDxfId="15903"/>
    <tableColumn id="507" xr3:uid="{3527F306-C0C8-4188-AF93-F946BB43E813}" name="Column483" dataDxfId="15902"/>
    <tableColumn id="508" xr3:uid="{6D4A72C6-0EA2-4B63-9499-F93E85C99E3C}" name="Column484" dataDxfId="15901"/>
    <tableColumn id="509" xr3:uid="{65364D60-185B-414E-BB5E-CF11B944E24A}" name="Column485" dataDxfId="15900"/>
    <tableColumn id="510" xr3:uid="{4F9FC589-06A3-43EB-834A-EA6AC16CD02E}" name="Column486" dataDxfId="15899"/>
    <tableColumn id="511" xr3:uid="{BF19EDB9-187C-4538-9B51-510A538AEA87}" name="Column487" dataDxfId="15898"/>
    <tableColumn id="512" xr3:uid="{17AEDAC1-7892-4DB5-8A89-D9EA13920227}" name="Column488" dataDxfId="15897"/>
    <tableColumn id="513" xr3:uid="{F49D1E61-6ED7-4D72-A1E0-486F94163392}" name="Column489" dataDxfId="15896"/>
    <tableColumn id="514" xr3:uid="{0F068F6D-6073-4E44-8A86-B201B603D224}" name="Column490" dataDxfId="15895"/>
    <tableColumn id="515" xr3:uid="{F7E9D95E-03E7-4FBB-87C4-106CEADCFA5C}" name="Column491" dataDxfId="15894"/>
    <tableColumn id="516" xr3:uid="{7BB7D156-0324-4C18-B41B-E0A0E97B0BD8}" name="Column492" dataDxfId="15893"/>
    <tableColumn id="517" xr3:uid="{55C8D1C0-3628-45A9-8D6F-52D1D11623A9}" name="Column493" dataDxfId="15892"/>
    <tableColumn id="518" xr3:uid="{2266197B-F17D-41EA-A252-F223146D588E}" name="Column494" dataDxfId="15891"/>
    <tableColumn id="519" xr3:uid="{E6E11AC8-681F-4B5E-86A2-C6ADB2101BD4}" name="Column495" dataDxfId="15890"/>
    <tableColumn id="520" xr3:uid="{47E027F5-319F-4251-8B9D-51C9442D8908}" name="Column496" dataDxfId="15889"/>
    <tableColumn id="521" xr3:uid="{6C20AE1C-3F00-4B68-B896-C6AFA9A4CCF2}" name="Column497" dataDxfId="15888"/>
    <tableColumn id="522" xr3:uid="{0790B6CD-89F5-4778-8AC8-81A6B6496437}" name="Column498" dataDxfId="15887"/>
    <tableColumn id="523" xr3:uid="{6F008D42-1DC1-452C-B917-BC40ED41EFE1}" name="Column499" dataDxfId="15886"/>
    <tableColumn id="524" xr3:uid="{51ADFA31-1404-42EE-9EA6-30D39526113C}" name="Column500" dataDxfId="15885"/>
    <tableColumn id="525" xr3:uid="{52648B18-60F8-4D91-B219-CAC3DC0BFABD}" name="Column501" dataDxfId="15884"/>
    <tableColumn id="526" xr3:uid="{4B843D61-D17C-48F6-8F18-84FC36919D20}" name="Column502" dataDxfId="15883"/>
    <tableColumn id="527" xr3:uid="{7F9FC855-BF6C-49DF-A509-358E79F8EA09}" name="Column503" dataDxfId="15882"/>
    <tableColumn id="528" xr3:uid="{A1ECFF09-DDFE-4290-812F-592285F96D12}" name="Column504" dataDxfId="15881"/>
    <tableColumn id="529" xr3:uid="{8323AD60-AD2E-4D27-8B48-D47339B02B73}" name="Column505" dataDxfId="15880"/>
    <tableColumn id="530" xr3:uid="{B739A938-D027-4182-B609-B085F201E0C9}" name="Column506" dataDxfId="15879"/>
    <tableColumn id="531" xr3:uid="{14D5F4E3-AEA6-4E8C-9C84-BE52573F7558}" name="Column507" dataDxfId="15878"/>
    <tableColumn id="532" xr3:uid="{C163593E-E045-4160-A491-654457A76E52}" name="Column508" dataDxfId="15877"/>
    <tableColumn id="533" xr3:uid="{9A6A9856-6AC9-469A-B27F-ADE4D114D7A7}" name="Column509" dataDxfId="15876"/>
    <tableColumn id="534" xr3:uid="{F1D5A35B-9CA2-418A-8AA4-30D1832AEAAC}" name="Column510" dataDxfId="15875"/>
    <tableColumn id="535" xr3:uid="{927B24D3-B161-40A4-9397-E636B7A00EFB}" name="Column511" dataDxfId="15874"/>
    <tableColumn id="536" xr3:uid="{DE4DD432-C869-4109-91E5-6F1EAF82C855}" name="Column512" dataDxfId="15873"/>
    <tableColumn id="537" xr3:uid="{FB9897B0-D767-4CED-BCBA-3C342666F0C4}" name="Column513" dataDxfId="15872"/>
    <tableColumn id="538" xr3:uid="{0CDB19CD-1770-45A9-8AA2-8708865109D0}" name="Column514" dataDxfId="15871"/>
    <tableColumn id="539" xr3:uid="{0115B1B5-A5F8-474C-82B6-DF94A1CA98A2}" name="Column515" dataDxfId="15870"/>
    <tableColumn id="540" xr3:uid="{ED85211C-DE8C-44DB-A3DD-B8BD379C91CB}" name="Column516" dataDxfId="15869"/>
    <tableColumn id="541" xr3:uid="{07EA894B-0860-4907-8898-6B62DB8D57A9}" name="Column517" dataDxfId="15868"/>
    <tableColumn id="542" xr3:uid="{7C53DD7F-0593-43C2-856D-16E9EA904EF8}" name="Column518" dataDxfId="15867"/>
    <tableColumn id="543" xr3:uid="{DF192A34-5181-4585-817A-96D47EBA6C57}" name="Column519" dataDxfId="15866"/>
    <tableColumn id="544" xr3:uid="{BC73CBA4-74A2-4062-9FA0-4307E940A70F}" name="Column520" dataDxfId="15865"/>
    <tableColumn id="545" xr3:uid="{C68C3A00-D194-450C-82F3-E5E7D4BE2C36}" name="Column521" dataDxfId="15864"/>
    <tableColumn id="546" xr3:uid="{8FF6B372-980B-498F-8749-5F77E4A9BB5F}" name="Column522" dataDxfId="15863"/>
    <tableColumn id="547" xr3:uid="{36DA66FE-66E1-4629-9BB0-89AA5092853B}" name="Column523" dataDxfId="15862"/>
    <tableColumn id="548" xr3:uid="{7681AD8F-BB4B-4395-8ABD-52154EA44BAE}" name="Column524" dataDxfId="15861"/>
    <tableColumn id="549" xr3:uid="{7FCB5BCE-D1A2-4BC5-A64D-D79E39592198}" name="Column525" dataDxfId="15860"/>
    <tableColumn id="550" xr3:uid="{3DBD2315-24EF-4A0A-AD68-188F811425B6}" name="Column526" dataDxfId="15859"/>
    <tableColumn id="551" xr3:uid="{9010F7CA-7FCE-433E-95EC-47AFD2ABD05E}" name="Column527" dataDxfId="15858"/>
    <tableColumn id="552" xr3:uid="{F4C5CEF3-95FC-47D8-8F06-3DC9D2F75848}" name="Column528" dataDxfId="15857"/>
    <tableColumn id="553" xr3:uid="{6706A50B-1C48-431A-A314-92181E82AF5A}" name="Column529" dataDxfId="15856"/>
    <tableColumn id="554" xr3:uid="{06C6A84F-C212-4DD2-8A93-7B537ABB128B}" name="Column530" dataDxfId="15855"/>
    <tableColumn id="555" xr3:uid="{3F1F5440-5C04-405B-B7A6-1237DADAA4C1}" name="Column531" dataDxfId="15854"/>
    <tableColumn id="556" xr3:uid="{1161DCC2-936D-457B-90A3-8E656302A592}" name="Column532" dataDxfId="15853"/>
    <tableColumn id="557" xr3:uid="{043722C7-576F-4A79-96FA-35E77FAA4F5C}" name="Column533" dataDxfId="15852"/>
    <tableColumn id="558" xr3:uid="{C7C4F965-7B57-47FA-8B2C-E2D2E90B8D16}" name="Column534" dataDxfId="15851"/>
    <tableColumn id="559" xr3:uid="{D2036152-3A60-4270-9251-906B05939153}" name="Column535" dataDxfId="15850"/>
    <tableColumn id="560" xr3:uid="{E1B88546-FEB8-4D55-A956-028EC84E39CF}" name="Column536" dataDxfId="15849"/>
    <tableColumn id="561" xr3:uid="{9101B920-DA48-4318-8E3E-E50CE400ACDA}" name="Column537" dataDxfId="15848"/>
    <tableColumn id="562" xr3:uid="{54B3BE92-03C1-4FD8-8EFB-784D9CFCD8E9}" name="Column538" dataDxfId="15847"/>
    <tableColumn id="563" xr3:uid="{B4C083DF-337F-453F-B437-6E0D5585F174}" name="Column539" dataDxfId="15846"/>
    <tableColumn id="564" xr3:uid="{61A0FE0C-10E7-4700-84C0-FBDFF7F7E26A}" name="Column540" dataDxfId="15845"/>
    <tableColumn id="565" xr3:uid="{7D5CBDCB-F4FE-479E-B932-CB40337E8189}" name="Column541" dataDxfId="15844"/>
    <tableColumn id="566" xr3:uid="{690FAA6B-FE4E-4D77-A621-8A7047127032}" name="Column542" dataDxfId="15843"/>
    <tableColumn id="567" xr3:uid="{E3B45020-307C-40C7-960A-BA8D6995187D}" name="Column543" dataDxfId="15842"/>
    <tableColumn id="568" xr3:uid="{9FAA86AB-3222-4D99-938B-C293530E343B}" name="Column544" dataDxfId="15841"/>
    <tableColumn id="569" xr3:uid="{9D19D544-B132-48B2-B44F-87A8DC3E614D}" name="Column545" dataDxfId="15840"/>
    <tableColumn id="570" xr3:uid="{9B23F981-1BD1-43DF-B91D-90F50A1F4FEE}" name="Column546" dataDxfId="15839"/>
    <tableColumn id="571" xr3:uid="{92C46DC1-7D7F-4898-9752-ECEB9FB27C5C}" name="Column547" dataDxfId="15838"/>
    <tableColumn id="572" xr3:uid="{B6DCE265-7115-44A6-B2E4-84C1C736E2EC}" name="Column548" dataDxfId="15837"/>
    <tableColumn id="573" xr3:uid="{00DA428C-DB27-4DAA-869D-B7C04FB8EDA5}" name="Column549" dataDxfId="15836"/>
    <tableColumn id="574" xr3:uid="{B4783B62-B74E-4646-A5FC-15954FEA1D5D}" name="Column550" dataDxfId="15835"/>
    <tableColumn id="575" xr3:uid="{9B6E0A2E-DB1C-4307-BC2C-40086B64B49A}" name="Column551" dataDxfId="15834"/>
    <tableColumn id="576" xr3:uid="{89A0FD4D-0B15-438A-928E-B41046C86C03}" name="Column552" dataDxfId="15833"/>
    <tableColumn id="577" xr3:uid="{66D67A57-367D-406C-B29A-2C9CEC98A52F}" name="Column553" dataDxfId="15832"/>
    <tableColumn id="578" xr3:uid="{E85A6328-B24A-43E2-B410-60ED2B7E0830}" name="Column554" dataDxfId="15831"/>
    <tableColumn id="579" xr3:uid="{1B4A7167-573C-4507-8D7C-C945188ADC80}" name="Column555" dataDxfId="15830"/>
    <tableColumn id="580" xr3:uid="{EA427B9F-B1B5-4799-A1C6-E3CD659046F7}" name="Column556" dataDxfId="15829"/>
    <tableColumn id="581" xr3:uid="{1B88AA3A-4040-4D45-A619-C8239BECEB40}" name="Column557" dataDxfId="15828"/>
    <tableColumn id="582" xr3:uid="{38ACFD43-2815-49F0-A3DF-5A94BC895470}" name="Column558" dataDxfId="15827"/>
    <tableColumn id="583" xr3:uid="{E67EE861-DA5E-4E91-905B-D972F0181A3A}" name="Column559" dataDxfId="15826"/>
    <tableColumn id="584" xr3:uid="{81302F2B-3212-42A0-8277-9FF7ECDA33DA}" name="Column560" dataDxfId="15825"/>
    <tableColumn id="585" xr3:uid="{678A982B-C966-4E84-B781-F548E5316806}" name="Column561" dataDxfId="15824"/>
    <tableColumn id="586" xr3:uid="{A921E268-ABAE-414A-ADD9-0E43B852D22E}" name="Column562" dataDxfId="15823"/>
    <tableColumn id="587" xr3:uid="{6661C718-B8BD-4684-B37A-B2AC35D9872F}" name="Column563" dataDxfId="15822"/>
    <tableColumn id="588" xr3:uid="{2EC666C2-B8AF-4155-9314-2A7F3092CC54}" name="Column564" dataDxfId="15821"/>
    <tableColumn id="589" xr3:uid="{F4251FCB-9ED8-41B1-B74D-4EEF0E8EF723}" name="Column565" dataDxfId="15820"/>
    <tableColumn id="590" xr3:uid="{07EBD732-41DF-4724-BE10-F8EF0CC3E189}" name="Column566" dataDxfId="15819"/>
    <tableColumn id="591" xr3:uid="{4C9D3D27-B5B0-49E4-B32A-EA0F4129EE67}" name="Column567" dataDxfId="15818"/>
    <tableColumn id="592" xr3:uid="{5CCF3700-2E0D-4CD9-85D0-747E8D5F71CC}" name="Column568" dataDxfId="15817"/>
    <tableColumn id="593" xr3:uid="{ECCD19DF-F339-473D-A6CC-4FA652C18BE4}" name="Column569" dataDxfId="15816"/>
    <tableColumn id="594" xr3:uid="{85BAACF9-2839-4A9F-8495-36BC5D125F48}" name="Column570" dataDxfId="15815"/>
    <tableColumn id="595" xr3:uid="{44D8C2F1-5D1C-4F3A-BA9C-2092A493E2EE}" name="Column571" dataDxfId="15814"/>
    <tableColumn id="596" xr3:uid="{3B386A4F-7BF8-4823-AB95-DF08824A401D}" name="Column572" dataDxfId="15813"/>
    <tableColumn id="597" xr3:uid="{39AB41E8-186C-41BA-8FA5-405153A51F17}" name="Column573" dataDxfId="15812"/>
    <tableColumn id="598" xr3:uid="{CBF1F503-EED8-475E-80F2-E105263BAEE4}" name="Column574" dataDxfId="15811"/>
    <tableColumn id="599" xr3:uid="{7142046D-3471-47B5-B320-146E45677BBB}" name="Column575" dataDxfId="15810"/>
    <tableColumn id="600" xr3:uid="{8DC420C3-C428-47D2-AEF0-1D9848FB9C8F}" name="Column576" dataDxfId="15809"/>
    <tableColumn id="601" xr3:uid="{7CA691C2-C123-4A50-ABB8-8A85C6500DB8}" name="Column577" dataDxfId="15808"/>
    <tableColumn id="602" xr3:uid="{B668FBF1-ABB2-4EE7-AF71-70D15486DD71}" name="Column578" dataDxfId="15807"/>
    <tableColumn id="603" xr3:uid="{0F1B0643-B379-46B8-9431-68534BC0F429}" name="Column579" dataDxfId="15806"/>
    <tableColumn id="604" xr3:uid="{E2F1813E-83D9-4F7D-B6CA-B0F2E45BE750}" name="Column580" dataDxfId="15805"/>
    <tableColumn id="605" xr3:uid="{47BD85A6-0708-4661-97EE-01A0657B772C}" name="Column581" dataDxfId="15804"/>
    <tableColumn id="606" xr3:uid="{92F1C072-4C18-4C62-AE09-6A551A0598B6}" name="Column582" dataDxfId="15803"/>
    <tableColumn id="607" xr3:uid="{006303F2-ECC9-4B9D-AE0A-FFC56E12FEB6}" name="Column583" dataDxfId="15802"/>
    <tableColumn id="608" xr3:uid="{BB6A8E5D-27C4-4A61-8D7B-9758E3C73BA2}" name="Column584" dataDxfId="15801"/>
    <tableColumn id="609" xr3:uid="{3DD2D619-E40E-4689-9FA3-1A5DA30D2E70}" name="Column585" dataDxfId="15800"/>
    <tableColumn id="610" xr3:uid="{2F307A32-4527-4D60-9761-C8EE96B9C58D}" name="Column586" dataDxfId="15799"/>
    <tableColumn id="611" xr3:uid="{740D36A8-9151-49F7-8DA4-6745388C0C42}" name="Column587" dataDxfId="15798"/>
    <tableColumn id="612" xr3:uid="{213FD8E9-AF9E-4CEA-8D75-412C9A73AFFB}" name="Column588" dataDxfId="15797"/>
    <tableColumn id="613" xr3:uid="{C74D79A1-286D-448C-A690-FD16EFB3EA78}" name="Column589" dataDxfId="15796"/>
    <tableColumn id="614" xr3:uid="{BED3E799-7F7A-4697-AD2C-2592E368DCCF}" name="Column590" dataDxfId="15795"/>
    <tableColumn id="615" xr3:uid="{D8176477-BB40-415B-8A89-8E50157AB46C}" name="Column591" dataDxfId="15794"/>
    <tableColumn id="616" xr3:uid="{9F926B2F-8960-4DA3-A23B-2E7BD83DA9F9}" name="Column592" dataDxfId="15793"/>
    <tableColumn id="617" xr3:uid="{04EA7DD5-1D91-402B-81D2-452B7B00E67B}" name="Column593" dataDxfId="15792"/>
    <tableColumn id="618" xr3:uid="{7C9B9D03-EA0D-458D-AF42-4A98CF0947E2}" name="Column594" dataDxfId="15791"/>
    <tableColumn id="619" xr3:uid="{0EEED7F4-58B0-493C-BFA0-DFC74B715D13}" name="Column595" dataDxfId="15790"/>
    <tableColumn id="620" xr3:uid="{B251F4FD-AA51-48BF-A0E5-B858C8BF61C0}" name="Column596" dataDxfId="15789"/>
    <tableColumn id="621" xr3:uid="{02D00163-D2AE-471D-A92B-869EDB522E53}" name="Column597" dataDxfId="15788"/>
    <tableColumn id="622" xr3:uid="{E6C228BB-2AED-4031-9938-9F062D841D9B}" name="Column598" dataDxfId="15787"/>
    <tableColumn id="623" xr3:uid="{48E3A681-6E44-45AF-9F73-A9E8D33082F2}" name="Column599" dataDxfId="15786"/>
    <tableColumn id="624" xr3:uid="{C87AD850-6A2F-4DAF-A08B-D5AA0B45C3CA}" name="Column600" dataDxfId="15785"/>
    <tableColumn id="625" xr3:uid="{8A2C52F4-4AA1-493C-9CAB-9BB8F66DF666}" name="Column601" dataDxfId="15784"/>
    <tableColumn id="626" xr3:uid="{4DA1F647-B041-4DB3-8D49-AC3AB2D97306}" name="Column602" dataDxfId="15783"/>
    <tableColumn id="627" xr3:uid="{7E71C41A-7878-4D90-9B82-ED0435296699}" name="Column603" dataDxfId="15782"/>
    <tableColumn id="628" xr3:uid="{853CC018-B3D2-4881-9E87-817BC2637228}" name="Column604" dataDxfId="15781"/>
    <tableColumn id="629" xr3:uid="{725622A1-C03B-412E-B18B-751EB3741078}" name="Column605" dataDxfId="15780"/>
    <tableColumn id="630" xr3:uid="{8CE48517-5BA5-4F9C-9AE0-9177D886523E}" name="Column606" dataDxfId="15779"/>
    <tableColumn id="631" xr3:uid="{A6805A20-5E07-4246-8686-4E56CC08C9C3}" name="Column607" dataDxfId="15778"/>
    <tableColumn id="632" xr3:uid="{90039ACA-4CDF-4074-B722-93604D24EEF0}" name="Column608" dataDxfId="15777"/>
    <tableColumn id="633" xr3:uid="{7201E43D-5BA0-4175-AD1D-B3C1E67A34A0}" name="Column609" dataDxfId="15776"/>
    <tableColumn id="634" xr3:uid="{45FDFBF4-6DCC-44CC-A194-B59C4183F325}" name="Column610" dataDxfId="15775"/>
    <tableColumn id="635" xr3:uid="{9D198F9B-96A9-45A4-96EA-3E12FADCBAB4}" name="Column611" dataDxfId="15774"/>
    <tableColumn id="636" xr3:uid="{BD778AD1-E93C-4F7A-9E37-61F60A52C064}" name="Column612" dataDxfId="15773"/>
    <tableColumn id="637" xr3:uid="{96576573-E5C9-4CB6-BD08-6DF366296376}" name="Column613" dataDxfId="15772"/>
    <tableColumn id="638" xr3:uid="{1010DD6A-9DE8-46F0-90B6-CFA4BA73A7EE}" name="Column614" dataDxfId="15771"/>
    <tableColumn id="639" xr3:uid="{587E64E8-6319-4D35-BFBD-0AE69FB99B40}" name="Column615" dataDxfId="15770"/>
    <tableColumn id="640" xr3:uid="{E03AED78-8EE2-47BD-8FBB-11F0A15D3652}" name="Column616" dataDxfId="15769"/>
    <tableColumn id="641" xr3:uid="{CF656309-6A8D-4673-8271-ABE3AC53EAF2}" name="Column617" dataDxfId="15768"/>
    <tableColumn id="642" xr3:uid="{8ED52C87-40FF-44B1-B70E-7BF54BE3B9D2}" name="Column618" dataDxfId="15767"/>
    <tableColumn id="643" xr3:uid="{57E97899-94E0-4F29-9235-26CC5AA68743}" name="Column619" dataDxfId="15766"/>
    <tableColumn id="644" xr3:uid="{645EDB5E-0898-48F2-9292-D2BFE8928694}" name="Column620" dataDxfId="15765"/>
    <tableColumn id="645" xr3:uid="{9872B768-6DB6-41D3-9B62-F2D814E51097}" name="Column621" dataDxfId="15764"/>
    <tableColumn id="646" xr3:uid="{A7B8113A-9D66-4350-A159-CF65259C6586}" name="Column622" dataDxfId="15763"/>
    <tableColumn id="647" xr3:uid="{A6933FB1-5CCD-4F08-B1E9-890F2BD6E2B2}" name="Column623" dataDxfId="15762"/>
    <tableColumn id="648" xr3:uid="{28B05BEB-EDF6-454A-B9EB-35BC5AF937E6}" name="Column624" dataDxfId="15761"/>
    <tableColumn id="649" xr3:uid="{9E18226D-C734-498E-99AE-ADCA2C549955}" name="Column625" dataDxfId="15760"/>
    <tableColumn id="650" xr3:uid="{3CCFE61E-07FA-49F6-8F0E-3BA93F64BA32}" name="Column626" dataDxfId="15759"/>
    <tableColumn id="651" xr3:uid="{A156DAAE-6B80-4E70-B388-A51E7A4BB770}" name="Column627" dataDxfId="15758"/>
    <tableColumn id="652" xr3:uid="{49890344-CF9C-40B3-8008-EB207A876792}" name="Column628" dataDxfId="15757"/>
    <tableColumn id="653" xr3:uid="{25E4BE61-C862-4A65-A078-7998E1690045}" name="Column629" dataDxfId="15756"/>
    <tableColumn id="654" xr3:uid="{51A31F8D-AD7D-4AD2-A662-6C7E80DAE612}" name="Column630" dataDxfId="15755"/>
    <tableColumn id="655" xr3:uid="{18560FA0-9069-4BB8-B58A-4682B717FE69}" name="Column631" dataDxfId="15754"/>
    <tableColumn id="656" xr3:uid="{9B68623E-714D-461A-830B-285A33FE5FE6}" name="Column632" dataDxfId="15753"/>
    <tableColumn id="657" xr3:uid="{CD4AED08-5EC0-48F9-AB25-3C89A9406CB3}" name="Column633" dataDxfId="15752"/>
    <tableColumn id="658" xr3:uid="{59D6C3CB-1630-4646-BB00-4193DDEB9B99}" name="Column634" dataDxfId="15751"/>
    <tableColumn id="659" xr3:uid="{C52EACAF-F126-4247-B1FA-E78A09509E63}" name="Column635" dataDxfId="15750"/>
    <tableColumn id="660" xr3:uid="{8C323008-1FEA-42B4-964E-BA1898C77B77}" name="Column636" dataDxfId="15749"/>
    <tableColumn id="661" xr3:uid="{8138C06A-90CF-4052-873E-745267E9AF87}" name="Column637" dataDxfId="15748"/>
    <tableColumn id="662" xr3:uid="{CECEDE17-7658-44D2-94AE-FE0423C4213B}" name="Column638" dataDxfId="15747"/>
    <tableColumn id="663" xr3:uid="{E06D36FA-7622-4DB7-85A2-22A609AAA961}" name="Column639" dataDxfId="15746"/>
    <tableColumn id="664" xr3:uid="{E501B1E2-A85D-4578-A39E-1CC3384442DA}" name="Column640" dataDxfId="15745"/>
    <tableColumn id="665" xr3:uid="{F20D2C1B-0AD0-4A93-B05C-2F085F750275}" name="Column641" dataDxfId="15744"/>
    <tableColumn id="666" xr3:uid="{44F62EA7-C5E7-4BAE-B5E0-8C4DB8D5B3FB}" name="Column642" dataDxfId="15743"/>
    <tableColumn id="667" xr3:uid="{6A30FBFE-5FCC-4C9F-A532-39ED9A0A1FDC}" name="Column643" dataDxfId="15742"/>
    <tableColumn id="668" xr3:uid="{EF8EC8AA-5938-4FA9-9605-9A7D84067D52}" name="Column644" dataDxfId="15741"/>
    <tableColumn id="669" xr3:uid="{C8D2E90E-F3CE-473D-823A-894B0A8C3966}" name="Column645" dataDxfId="15740"/>
    <tableColumn id="670" xr3:uid="{B06B5FDE-9084-478C-8A1E-28110E9EB891}" name="Column646" dataDxfId="15739"/>
    <tableColumn id="671" xr3:uid="{C5FAE932-5DE0-4F94-9FDE-FFCE9D56EDB4}" name="Column647" dataDxfId="15738"/>
    <tableColumn id="672" xr3:uid="{6E5B1760-BB7A-4CD9-BB36-65EA76A4FEBA}" name="Column648" dataDxfId="15737"/>
    <tableColumn id="673" xr3:uid="{DBFE38A1-4E78-431C-83B5-167C76A3033C}" name="Column649" dataDxfId="15736"/>
    <tableColumn id="674" xr3:uid="{97992466-03A9-43E6-A866-CB4DEE75FEE2}" name="Column650" dataDxfId="15735"/>
    <tableColumn id="675" xr3:uid="{BF35280E-EBF4-49AF-9148-5380D3C5167A}" name="Column651" dataDxfId="15734"/>
    <tableColumn id="676" xr3:uid="{91E4F21F-2D45-4445-8740-10EC6522BB7D}" name="Column652" dataDxfId="15733"/>
    <tableColumn id="677" xr3:uid="{50F28790-1C21-4D91-A8A0-90D324CD7B7C}" name="Column653" dataDxfId="15732"/>
    <tableColumn id="678" xr3:uid="{95D4E362-7031-49A3-9021-58FAD078D28D}" name="Column654" dataDxfId="15731"/>
    <tableColumn id="679" xr3:uid="{7A3ECBC3-E02E-4BF4-9726-B7CE0117A292}" name="Column655" dataDxfId="15730"/>
    <tableColumn id="680" xr3:uid="{B64FD8AD-17CE-46E7-A61E-38A1E262CE49}" name="Column656" dataDxfId="15729"/>
    <tableColumn id="681" xr3:uid="{4FCB0FA3-B365-4426-A8B2-A3F7EBBAD168}" name="Column657" dataDxfId="15728"/>
    <tableColumn id="682" xr3:uid="{21A1F9B9-B90B-432C-9FD1-9EEB47AF80DA}" name="Column658" dataDxfId="15727"/>
    <tableColumn id="683" xr3:uid="{D7B26C7D-E52C-4721-9DE4-D8F0089D893F}" name="Column659" dataDxfId="15726"/>
    <tableColumn id="684" xr3:uid="{513ED628-F2B8-4AE0-892F-004AFC8EFCA3}" name="Column660" dataDxfId="15725"/>
    <tableColumn id="685" xr3:uid="{0857FCC8-9AD3-4A36-87F7-9525B43F72EF}" name="Column661" dataDxfId="15724"/>
    <tableColumn id="686" xr3:uid="{7F6CD725-4D9B-4574-9387-2AFB9FA46902}" name="Column662" dataDxfId="15723"/>
    <tableColumn id="687" xr3:uid="{F54BAED3-72B8-41CE-9207-31F6895B9919}" name="Column663" dataDxfId="15722"/>
    <tableColumn id="688" xr3:uid="{D373612F-D720-48DF-AE9B-D83C8AA1EAFA}" name="Column664" dataDxfId="15721"/>
    <tableColumn id="689" xr3:uid="{BE6E5619-ADFC-43B2-8B52-45DB8F4AA1AE}" name="Column665" dataDxfId="15720"/>
    <tableColumn id="690" xr3:uid="{6A07F770-98EB-4969-B538-FC33ED4FC7E6}" name="Column666" dataDxfId="15719"/>
    <tableColumn id="691" xr3:uid="{D195F4A2-B657-43CC-86A8-04EEF65DD2EB}" name="Column667" dataDxfId="15718"/>
    <tableColumn id="692" xr3:uid="{82432FB0-304A-48E8-98AE-4000FA0A3328}" name="Column668" dataDxfId="15717"/>
    <tableColumn id="693" xr3:uid="{14DE5AC6-DA27-4FD7-B543-43AF71341129}" name="Column669" dataDxfId="15716"/>
    <tableColumn id="694" xr3:uid="{B6B7E24B-442E-4BC5-87C8-B7EE8DEACDDA}" name="Column670" dataDxfId="15715"/>
    <tableColumn id="695" xr3:uid="{32285B90-1289-454B-A178-5ABCCA3DFA22}" name="Column671" dataDxfId="15714"/>
    <tableColumn id="696" xr3:uid="{39C6F27F-C1F7-44C4-90E9-05DF8DE1A562}" name="Column672" dataDxfId="15713"/>
    <tableColumn id="697" xr3:uid="{E921C099-2145-413B-8141-3F58EDB51F39}" name="Column673" dataDxfId="15712"/>
    <tableColumn id="698" xr3:uid="{9F0B6DE1-ACDE-4214-BCBA-00D500E3E3B9}" name="Column674" dataDxfId="15711"/>
    <tableColumn id="699" xr3:uid="{D168CCE1-D8F2-417F-BE87-168FB94DF9F5}" name="Column675" dataDxfId="15710"/>
    <tableColumn id="700" xr3:uid="{9B421919-FFDA-40F5-BA05-CB3E5CD02B57}" name="Column676" dataDxfId="15709"/>
    <tableColumn id="701" xr3:uid="{D4AF0337-99E7-4CA1-842D-7931D9D4A1DE}" name="Column677" dataDxfId="15708"/>
    <tableColumn id="702" xr3:uid="{FF7CFFC1-7BC4-4FF2-AF93-F38D9E232A3D}" name="Column678" dataDxfId="15707"/>
    <tableColumn id="703" xr3:uid="{BF1FECB3-08F6-4C77-A09A-5091FF34E8DE}" name="Column679" dataDxfId="15706"/>
    <tableColumn id="704" xr3:uid="{D3E4EEF8-FBDF-45C5-B974-C1060EDE4E0F}" name="Column680" dataDxfId="15705"/>
    <tableColumn id="705" xr3:uid="{9A1B19F4-E843-4DD6-AB82-661D9B1C4DA1}" name="Column681" dataDxfId="15704"/>
    <tableColumn id="706" xr3:uid="{D601AB65-7EAA-4ACB-85C2-96C4349ABBFC}" name="Column682" dataDxfId="15703"/>
    <tableColumn id="707" xr3:uid="{168961AC-1067-410F-9B72-56300ABF7619}" name="Column683" dataDxfId="15702"/>
    <tableColumn id="708" xr3:uid="{66EA431A-6E21-44AB-A748-525AE53C5B52}" name="Column684" dataDxfId="15701"/>
    <tableColumn id="709" xr3:uid="{E8818A99-0945-434C-B0E8-78AA874EA993}" name="Column685" dataDxfId="15700"/>
    <tableColumn id="710" xr3:uid="{00FE8CBE-3B4C-4B2E-9DAD-46F02C3816B0}" name="Column686" dataDxfId="15699"/>
    <tableColumn id="711" xr3:uid="{4DC2F6DD-3210-4DA1-B49E-663B74C26888}" name="Column687" dataDxfId="15698"/>
    <tableColumn id="712" xr3:uid="{DC0204CB-6209-426F-A9EB-F9003AE70DC8}" name="Column688" dataDxfId="15697"/>
    <tableColumn id="713" xr3:uid="{73EA57A2-FF30-4EEB-8A34-9D4087ABA29E}" name="Column689" dataDxfId="15696"/>
    <tableColumn id="714" xr3:uid="{DEA03B9C-A505-4BA6-8E7A-CC6F30251C7E}" name="Column690" dataDxfId="15695"/>
    <tableColumn id="715" xr3:uid="{20EC43E9-2072-4619-874F-E1E0D2BB454C}" name="Column691" dataDxfId="15694"/>
    <tableColumn id="716" xr3:uid="{33D7347E-8AEA-4A82-B373-3E2A97C47FA7}" name="Column692" dataDxfId="15693"/>
    <tableColumn id="717" xr3:uid="{30E60B1C-7516-45DD-8276-084DB94B692F}" name="Column693" dataDxfId="15692"/>
    <tableColumn id="718" xr3:uid="{90094774-4C5B-4613-9A1D-ABDC3F2AC08E}" name="Column694" dataDxfId="15691"/>
    <tableColumn id="719" xr3:uid="{67F6CE9C-1BAA-4D65-8170-EAFFF29D2359}" name="Column695" dataDxfId="15690"/>
    <tableColumn id="720" xr3:uid="{3F285F7B-B748-40B8-9075-9648F4A7C8F1}" name="Column696" dataDxfId="15689"/>
    <tableColumn id="721" xr3:uid="{B97B02BE-22D9-4921-959F-B384DBD470D7}" name="Column697" dataDxfId="15688"/>
    <tableColumn id="722" xr3:uid="{4FD31579-22E8-400C-AD2B-241588A99AD4}" name="Column698" dataDxfId="15687"/>
    <tableColumn id="723" xr3:uid="{8CE08C9F-533C-4CED-A1B9-BBA84A622290}" name="Column699" dataDxfId="15686"/>
    <tableColumn id="724" xr3:uid="{8DE61A97-7958-4236-A10A-6BFB98A7C6DB}" name="Column700" dataDxfId="15685"/>
    <tableColumn id="725" xr3:uid="{29934C68-88E6-43E4-97C1-4285AB87B6D6}" name="Column701" dataDxfId="15684"/>
    <tableColumn id="726" xr3:uid="{5C0C8BA0-FF4A-47FF-8612-512568140CD6}" name="Column702" dataDxfId="15683"/>
    <tableColumn id="727" xr3:uid="{BC36B208-7A67-4DAB-B5FF-45E971EDBEA5}" name="Column703" dataDxfId="15682"/>
    <tableColumn id="728" xr3:uid="{D0738D26-B16E-4415-BAC1-E9F3C6FBD8A3}" name="Column704" dataDxfId="15681"/>
    <tableColumn id="729" xr3:uid="{B74CF3C9-54F2-4569-8B95-84F1171F6B9E}" name="Column705" dataDxfId="15680"/>
    <tableColumn id="730" xr3:uid="{93B86385-4E0A-48B6-A1B0-3CC40C14D818}" name="Column706" dataDxfId="15679"/>
    <tableColumn id="731" xr3:uid="{AA1B340D-EFBD-4C5B-ACDF-22240C485D47}" name="Column707" dataDxfId="15678"/>
    <tableColumn id="732" xr3:uid="{D845E7BE-D5A5-40A7-9876-057B1FE0D301}" name="Column708" dataDxfId="15677"/>
    <tableColumn id="733" xr3:uid="{7F2EB309-E807-4304-BC62-71668C64E8A8}" name="Column709" dataDxfId="15676"/>
    <tableColumn id="734" xr3:uid="{370AFFC6-C1D7-4224-9971-D8BBAF177DA7}" name="Column710" dataDxfId="15675"/>
    <tableColumn id="735" xr3:uid="{4A618D7F-11B3-422B-92F9-436CDDF3FB5A}" name="Column711" dataDxfId="15674"/>
    <tableColumn id="736" xr3:uid="{F023AC18-735A-42C0-8833-639DD080DBA2}" name="Column712" dataDxfId="15673"/>
    <tableColumn id="737" xr3:uid="{E8CD3C71-885A-4D82-A742-09C5AFD554CA}" name="Column713" dataDxfId="15672"/>
    <tableColumn id="738" xr3:uid="{1FB9BDE2-329D-424E-8C88-D19148DAD8E5}" name="Column714" dataDxfId="15671"/>
    <tableColumn id="739" xr3:uid="{381B5F36-E0B3-437E-BE0B-0FF0C809E442}" name="Column715" dataDxfId="15670"/>
    <tableColumn id="740" xr3:uid="{30D3F3C0-B293-4DAA-AFCB-E0C4DC10CE18}" name="Column716" dataDxfId="15669"/>
    <tableColumn id="741" xr3:uid="{BBB9679C-FA49-4621-BA11-2C190D103C39}" name="Column717" dataDxfId="15668"/>
    <tableColumn id="742" xr3:uid="{2CC8927E-D549-48DF-AEB1-EE924D86472D}" name="Column718" dataDxfId="15667"/>
    <tableColumn id="743" xr3:uid="{AC0191E0-6BB7-4CF8-936C-DA20FE11C757}" name="Column719" dataDxfId="15666"/>
    <tableColumn id="744" xr3:uid="{A0C1559D-A056-4AEE-B98F-9260A3C7D944}" name="Column720" dataDxfId="15665"/>
    <tableColumn id="745" xr3:uid="{A48CD9EA-C214-40D6-89BF-A57D422CA47B}" name="Column721" dataDxfId="15664"/>
    <tableColumn id="746" xr3:uid="{D65E2906-16F1-49BD-8F50-0BCDF2A60B20}" name="Column722" dataDxfId="15663"/>
    <tableColumn id="747" xr3:uid="{1A136BA7-F22C-4F05-A158-A09C3909A4AF}" name="Column723" dataDxfId="15662"/>
    <tableColumn id="748" xr3:uid="{60E1E9AB-513F-49D0-924B-9B6222083E95}" name="Column724" dataDxfId="15661"/>
    <tableColumn id="749" xr3:uid="{CB7456B9-D326-4653-80CA-1CC9D4334E95}" name="Column725" dataDxfId="15660"/>
    <tableColumn id="750" xr3:uid="{8D7DCDA0-E298-4310-9DC1-DA203A812D06}" name="Column726" dataDxfId="15659"/>
    <tableColumn id="751" xr3:uid="{F48FAE3C-7086-4DC1-8124-3F294D2F0F7E}" name="Column727" dataDxfId="15658"/>
    <tableColumn id="752" xr3:uid="{F0315566-06E9-4D64-9F0B-3A6737168939}" name="Column728" dataDxfId="15657"/>
    <tableColumn id="753" xr3:uid="{9E31EEE4-85FA-4FEA-BEBD-347CC59C64FA}" name="Column729" dataDxfId="15656"/>
    <tableColumn id="754" xr3:uid="{54B563F2-7848-4833-AB2B-81A359484507}" name="Column730" dataDxfId="15655"/>
    <tableColumn id="755" xr3:uid="{A7CC45EF-33F3-4EF0-930B-4657AF8B8319}" name="Column731" dataDxfId="15654"/>
    <tableColumn id="756" xr3:uid="{65997EF1-8570-4CEA-A53D-12211BCA73AB}" name="Column732" dataDxfId="15653"/>
    <tableColumn id="757" xr3:uid="{0498664D-2A23-47F8-8039-373DC7C92361}" name="Column733" dataDxfId="15652"/>
    <tableColumn id="758" xr3:uid="{E7CB5889-25B1-41C1-BE96-AAD37481A5FD}" name="Column734" dataDxfId="15651"/>
    <tableColumn id="759" xr3:uid="{A29309E1-DFB2-44CC-BA33-24F5ACE74B30}" name="Column735" dataDxfId="15650"/>
    <tableColumn id="760" xr3:uid="{29758815-47D4-4342-8BD8-F77F3F946DBF}" name="Column736" dataDxfId="15649"/>
    <tableColumn id="761" xr3:uid="{92FCFE0E-1F25-4C44-968A-4982DC3ADB31}" name="Column737" dataDxfId="15648"/>
    <tableColumn id="762" xr3:uid="{1CB34CE2-278B-45A0-B6D5-6D6AAA87F968}" name="Column738" dataDxfId="15647"/>
    <tableColumn id="763" xr3:uid="{F6090457-BDE5-4003-8030-30D6F968EC8F}" name="Column739" dataDxfId="15646"/>
    <tableColumn id="764" xr3:uid="{D6E385A1-BD1A-49E5-8CA4-E8C24FDD874F}" name="Column740" dataDxfId="15645"/>
    <tableColumn id="765" xr3:uid="{575F0299-CA94-454A-BF17-8B82018BCDC6}" name="Column741" dataDxfId="15644"/>
    <tableColumn id="766" xr3:uid="{898BB01D-7C43-4F0F-8169-2E30E62037A6}" name="Column742" dataDxfId="15643"/>
    <tableColumn id="767" xr3:uid="{AE48A08F-C5C7-450B-8BE5-A7EF0CE45E06}" name="Column743" dataDxfId="15642"/>
    <tableColumn id="768" xr3:uid="{D6CC38DD-78F1-47D0-83A7-74EE0531F227}" name="Column744" dataDxfId="15641"/>
    <tableColumn id="769" xr3:uid="{F2C9FAC0-3BDE-4607-9BB9-32D7448B13FA}" name="Column745" dataDxfId="15640"/>
    <tableColumn id="770" xr3:uid="{DF3D59FF-996F-446C-A8FA-6C8B8F89C07B}" name="Column746" dataDxfId="15639"/>
    <tableColumn id="771" xr3:uid="{7CF3B0FF-25B3-4CB8-8794-0C9650697860}" name="Column747" dataDxfId="15638"/>
    <tableColumn id="772" xr3:uid="{A28127A3-2680-4580-B70E-8B02CCBAE9C4}" name="Column748" dataDxfId="15637"/>
    <tableColumn id="773" xr3:uid="{CFE9BB7A-3085-4878-B28E-EE557E762DD8}" name="Column749" dataDxfId="15636"/>
    <tableColumn id="774" xr3:uid="{2D0F637C-BB74-4E9E-AEA0-40AB31A4C1D3}" name="Column750" dataDxfId="15635"/>
    <tableColumn id="775" xr3:uid="{B7A9E4E7-9BD8-400B-BD4C-21942D3194B5}" name="Column751" dataDxfId="15634"/>
    <tableColumn id="776" xr3:uid="{A7F58E62-EE3B-43CD-86D1-19AB6474D57E}" name="Column752" dataDxfId="15633"/>
    <tableColumn id="777" xr3:uid="{1E0AB66B-B313-405F-9085-A9828C0889C6}" name="Column753" dataDxfId="15632"/>
    <tableColumn id="778" xr3:uid="{D4219A3B-9FD4-4420-860A-EDC2B0C8938E}" name="Column754" dataDxfId="15631"/>
    <tableColumn id="779" xr3:uid="{5D1F70F7-CBEC-4EE3-8DAD-30125ADE595F}" name="Column755" dataDxfId="15630"/>
    <tableColumn id="780" xr3:uid="{01883826-C724-44F7-8EE5-912617F83F55}" name="Column756" dataDxfId="15629"/>
    <tableColumn id="781" xr3:uid="{15986659-2B57-4906-BFB5-92B9BC726216}" name="Column757" dataDxfId="15628"/>
    <tableColumn id="782" xr3:uid="{92506A70-CC0C-460B-8651-D68E03365BC7}" name="Column758" dataDxfId="15627"/>
    <tableColumn id="783" xr3:uid="{0E201088-66C4-4B02-958C-E3D1A73CECFB}" name="Column759" dataDxfId="15626"/>
    <tableColumn id="784" xr3:uid="{9B9BFEB1-8A37-419A-93B0-11134C18C0A0}" name="Column760" dataDxfId="15625"/>
    <tableColumn id="785" xr3:uid="{23002F40-345C-4089-A007-7F69A28A7083}" name="Column761" dataDxfId="15624"/>
    <tableColumn id="786" xr3:uid="{04229EC6-695A-409C-BD81-56A7A77CE83D}" name="Column762" dataDxfId="15623"/>
    <tableColumn id="787" xr3:uid="{BDD2DA4E-6210-48A3-97CD-8031C9A0B286}" name="Column763" dataDxfId="15622"/>
    <tableColumn id="788" xr3:uid="{EDD76505-B5C5-4D80-A34F-CEA711F12A98}" name="Column764" dataDxfId="15621"/>
    <tableColumn id="789" xr3:uid="{03F9CB3C-6E38-4DEC-A7A0-664F5626D5AF}" name="Column765" dataDxfId="15620"/>
    <tableColumn id="790" xr3:uid="{6547B657-5490-4032-B5D6-99EFCA9998A1}" name="Column766" dataDxfId="15619"/>
    <tableColumn id="791" xr3:uid="{581BA54C-EE8A-41BC-9596-626C234A724F}" name="Column767" dataDxfId="15618"/>
    <tableColumn id="792" xr3:uid="{D81F30D3-5A37-4D13-8164-FF3031FFE15B}" name="Column768" dataDxfId="15617"/>
    <tableColumn id="793" xr3:uid="{D075F0B4-517A-441F-8100-DA0A5CC443F4}" name="Column769" dataDxfId="15616"/>
    <tableColumn id="794" xr3:uid="{9A482E30-6E4C-4BE6-BE3F-02820C647FA6}" name="Column770" dataDxfId="15615"/>
    <tableColumn id="795" xr3:uid="{B5DB555B-5894-4CEE-A472-4DB042331078}" name="Column771" dataDxfId="15614"/>
    <tableColumn id="796" xr3:uid="{85922465-F920-412E-B793-FD82DAFA90F7}" name="Column772" dataDxfId="15613"/>
    <tableColumn id="797" xr3:uid="{4578EF2A-387B-46C5-9C0D-C2742BDF71CF}" name="Column773" dataDxfId="15612"/>
    <tableColumn id="798" xr3:uid="{10673D83-99D1-4016-83F1-F374616047FC}" name="Column774" dataDxfId="15611"/>
    <tableColumn id="799" xr3:uid="{A8CC2FE2-EFDA-487B-ADAF-B5CA1B9E8A48}" name="Column775" dataDxfId="15610"/>
    <tableColumn id="800" xr3:uid="{2E6F8FC9-4294-4753-BAD9-6EAB8605E7B5}" name="Column776" dataDxfId="15609"/>
    <tableColumn id="801" xr3:uid="{96E036B1-A78A-46BD-8B2E-DB2800A497B8}" name="Column777" dataDxfId="15608"/>
    <tableColumn id="802" xr3:uid="{E17BF56F-EB57-44CF-9F22-D9ECF6859B60}" name="Column778" dataDxfId="15607"/>
    <tableColumn id="803" xr3:uid="{A97D2919-7002-4280-A52F-5B8B4FF2480D}" name="Column779" dataDxfId="15606"/>
    <tableColumn id="804" xr3:uid="{07A581B5-FAF2-49FB-8D9E-5DE241410D7C}" name="Column780" dataDxfId="15605"/>
    <tableColumn id="805" xr3:uid="{8AD92284-CCF6-40CC-A697-623DC764A3FC}" name="Column781" dataDxfId="15604"/>
    <tableColumn id="806" xr3:uid="{8CA35675-1899-4842-BFA8-9539350D10D3}" name="Column782" dataDxfId="15603"/>
    <tableColumn id="807" xr3:uid="{18A67942-8644-49DA-977F-B5B7A0666562}" name="Column783" dataDxfId="15602"/>
    <tableColumn id="808" xr3:uid="{B5851480-B52E-4A87-8A68-1F5F0C44C143}" name="Column784" dataDxfId="15601"/>
    <tableColumn id="809" xr3:uid="{80B12138-2234-4D1B-B72B-301DAC66A483}" name="Column785" dataDxfId="15600"/>
    <tableColumn id="810" xr3:uid="{337EA4AA-A768-4DAD-8432-F71BFC1AA901}" name="Column786" dataDxfId="15599"/>
    <tableColumn id="811" xr3:uid="{CCC7D01C-5F44-424D-9785-74FFD8D89264}" name="Column787" dataDxfId="15598"/>
    <tableColumn id="812" xr3:uid="{5F565A56-E2BC-4F89-8052-7CBA1A31710E}" name="Column788" dataDxfId="15597"/>
    <tableColumn id="813" xr3:uid="{61A4D2F5-51B4-43C1-81EF-7A093A03B50F}" name="Column789" dataDxfId="15596"/>
    <tableColumn id="814" xr3:uid="{617BBA40-1A0D-4A31-859D-BEC5E9682DD4}" name="Column790" dataDxfId="15595"/>
    <tableColumn id="815" xr3:uid="{71359771-CF7A-4831-9515-7630CCDBC1B9}" name="Column791" dataDxfId="15594"/>
    <tableColumn id="816" xr3:uid="{FD183504-0E83-4039-A09B-C2FB401943C4}" name="Column792" dataDxfId="15593"/>
    <tableColumn id="817" xr3:uid="{B9B3D87B-C53C-4DC6-9113-DB0C058C2D81}" name="Column793" dataDxfId="15592"/>
    <tableColumn id="818" xr3:uid="{B89E1944-833E-463B-8E2E-16662A3ADAA6}" name="Column794" dataDxfId="15591"/>
    <tableColumn id="819" xr3:uid="{03430127-E373-446C-A3AB-8F9C93F3E5D0}" name="Column795" dataDxfId="15590"/>
    <tableColumn id="820" xr3:uid="{E5755AF3-6875-4273-82FF-2F7250D65270}" name="Column796" dataDxfId="15589"/>
    <tableColumn id="821" xr3:uid="{736877E4-9BAD-47B4-AC73-54B4E589A53D}" name="Column797" dataDxfId="15588"/>
    <tableColumn id="822" xr3:uid="{DDBA765A-CF09-490E-9998-0260ED397206}" name="Column798" dataDxfId="15587"/>
    <tableColumn id="823" xr3:uid="{8B13E97A-676D-4A9A-9F5E-D3044149411C}" name="Column799" dataDxfId="15586"/>
    <tableColumn id="824" xr3:uid="{81A826B0-1D71-4713-B83F-A6BE69D333AD}" name="Column800" dataDxfId="15585"/>
    <tableColumn id="825" xr3:uid="{3C840C19-8A71-467E-99F3-712A4A884CCB}" name="Column801" dataDxfId="15584"/>
    <tableColumn id="826" xr3:uid="{2C0577CC-06E6-4279-86EC-8415D8C73303}" name="Column802" dataDxfId="15583"/>
    <tableColumn id="827" xr3:uid="{0520103A-D68E-4BCB-B0D4-CE3F186BDC5E}" name="Column803" dataDxfId="15582"/>
    <tableColumn id="828" xr3:uid="{F4B0430D-76A4-470A-A762-A0BAD2115E84}" name="Column804" dataDxfId="15581"/>
    <tableColumn id="829" xr3:uid="{E88122F0-F510-4ADD-8216-368E0B628128}" name="Column805" dataDxfId="15580"/>
    <tableColumn id="830" xr3:uid="{AE5950F4-7947-4EC9-8CE6-663AEB01DFD5}" name="Column806" dataDxfId="15579"/>
    <tableColumn id="831" xr3:uid="{E7813885-0295-4E03-BB14-85A3A0B19B48}" name="Column807" dataDxfId="15578"/>
    <tableColumn id="832" xr3:uid="{DF74F8C6-821F-4552-A39B-983B59BFDA4F}" name="Column808" dataDxfId="15577"/>
    <tableColumn id="833" xr3:uid="{A669B666-78D9-44A8-A409-A9004F369C9C}" name="Column809" dataDxfId="15576"/>
    <tableColumn id="834" xr3:uid="{5124C61B-941B-44E4-A7DE-89BC7FA20E6B}" name="Column810" dataDxfId="15575"/>
    <tableColumn id="835" xr3:uid="{65296DE4-76C1-4D71-8BF9-B5778E567176}" name="Column811" dataDxfId="15574"/>
    <tableColumn id="836" xr3:uid="{62E9B1D0-6DC3-4788-923E-5D0EA92B6089}" name="Column812" dataDxfId="15573"/>
    <tableColumn id="837" xr3:uid="{83EAA621-01F2-44E6-B6A8-7E558534B970}" name="Column813" dataDxfId="15572"/>
    <tableColumn id="838" xr3:uid="{06167805-DA32-45D5-976B-82FE3DD44A1D}" name="Column814" dataDxfId="15571"/>
    <tableColumn id="839" xr3:uid="{269405DE-4A60-473B-A964-893B6A3539DA}" name="Column815" dataDxfId="15570"/>
    <tableColumn id="840" xr3:uid="{9B2C8D16-4CCA-4D43-AD9B-548AFA628058}" name="Column816" dataDxfId="15569"/>
    <tableColumn id="841" xr3:uid="{3ED4D619-2F71-44A8-8FA6-37F66BBE7A20}" name="Column817" dataDxfId="15568"/>
    <tableColumn id="842" xr3:uid="{0D778DEF-E128-4093-B46A-069EC455CEEB}" name="Column818" dataDxfId="15567"/>
    <tableColumn id="843" xr3:uid="{40955218-3C21-4E65-B12A-0CC2FA22FCAA}" name="Column819" dataDxfId="15566"/>
    <tableColumn id="844" xr3:uid="{93D3D703-8985-4C2B-955E-BFED7A180567}" name="Column820" dataDxfId="15565"/>
    <tableColumn id="845" xr3:uid="{62108A2F-ECBE-4396-9D13-DAF78B0BDE06}" name="Column821" dataDxfId="15564"/>
    <tableColumn id="846" xr3:uid="{1E33C2C2-6C97-4187-A209-CBEC570D9E77}" name="Column822" dataDxfId="15563"/>
    <tableColumn id="847" xr3:uid="{360E65D6-43C9-4DF7-AAB6-9A562698611B}" name="Column823" dataDxfId="15562"/>
    <tableColumn id="848" xr3:uid="{DDC29A88-94D3-4D7C-9BA6-2ABB240E93F0}" name="Column824" dataDxfId="15561"/>
    <tableColumn id="849" xr3:uid="{B4F9D507-D61D-4F21-8905-21EAE9B48518}" name="Column825" dataDxfId="15560"/>
    <tableColumn id="850" xr3:uid="{CF5F74A1-F725-488F-A852-728F57168A19}" name="Column826" dataDxfId="15559"/>
    <tableColumn id="851" xr3:uid="{12157A3C-E2D5-4D2F-ABB2-38307D135ED6}" name="Column827" dataDxfId="15558"/>
    <tableColumn id="852" xr3:uid="{5A1B85CF-4CC6-41AB-88CA-94780262CD65}" name="Column828" dataDxfId="15557"/>
    <tableColumn id="853" xr3:uid="{83193123-41BB-4949-8035-1961E300618D}" name="Column829" dataDxfId="15556"/>
    <tableColumn id="854" xr3:uid="{03BE672B-6B0D-4FFB-80F1-25BD1BD295FE}" name="Column830" dataDxfId="15555"/>
    <tableColumn id="855" xr3:uid="{D4F5628F-ECAE-4000-8631-DECAC614F3F5}" name="Column831" dataDxfId="15554"/>
    <tableColumn id="856" xr3:uid="{217C3B40-B99C-405C-B0FB-C664978E563D}" name="Column832" dataDxfId="15553"/>
    <tableColumn id="857" xr3:uid="{15F7903F-FBD4-419A-B223-A4244D9CDF93}" name="Column833" dataDxfId="15552"/>
    <tableColumn id="858" xr3:uid="{B7B22047-F8CB-46BF-B42B-D5A37B30C042}" name="Column834" dataDxfId="15551"/>
    <tableColumn id="859" xr3:uid="{34F82B81-EA1D-4E19-8A3D-BB8DC884549D}" name="Column835" dataDxfId="15550"/>
    <tableColumn id="860" xr3:uid="{6C7A8309-79AE-46AF-B9F7-02021E439190}" name="Column836" dataDxfId="15549"/>
    <tableColumn id="861" xr3:uid="{71219159-D56C-40E4-8AC2-1992FB7A618A}" name="Column837" dataDxfId="15548"/>
    <tableColumn id="862" xr3:uid="{552C1C38-963D-400D-B6FE-1EB6EE1C57A9}" name="Column838" dataDxfId="15547"/>
    <tableColumn id="863" xr3:uid="{FD6368E2-6B4B-474E-936B-B48301EE6A24}" name="Column839" dataDxfId="15546"/>
    <tableColumn id="864" xr3:uid="{3218638B-E0D0-4A2C-AB54-0ABEC9DAABFE}" name="Column840" dataDxfId="15545"/>
    <tableColumn id="865" xr3:uid="{3A02CFEB-52D0-4C45-AD81-F9E6D8B97572}" name="Column841" dataDxfId="15544"/>
    <tableColumn id="866" xr3:uid="{F3267D74-904E-404E-832C-02AB029813F6}" name="Column842" dataDxfId="15543"/>
    <tableColumn id="867" xr3:uid="{3031783C-D536-4E7B-AC88-F56643C2898C}" name="Column843" dataDxfId="15542"/>
    <tableColumn id="868" xr3:uid="{06F68104-E787-4CE0-9A5A-847C5D4B5B5A}" name="Column844" dataDxfId="15541"/>
    <tableColumn id="869" xr3:uid="{D9E7FB1C-A7FD-457A-9286-1139E4C5A02A}" name="Column845" dataDxfId="15540"/>
    <tableColumn id="870" xr3:uid="{E6160F39-CA21-4568-9046-5CC95F9A7330}" name="Column846" dataDxfId="15539"/>
    <tableColumn id="871" xr3:uid="{2AFDC54A-B4FF-4BA3-9188-0ABAA0FF57B9}" name="Column847" dataDxfId="15538"/>
    <tableColumn id="872" xr3:uid="{513BBF08-0C8A-4DB4-8108-185BF6383AD4}" name="Column848" dataDxfId="15537"/>
    <tableColumn id="873" xr3:uid="{9304D5E0-AAE7-4121-94C7-0FFD7A03FD9D}" name="Column849" dataDxfId="15536"/>
    <tableColumn id="874" xr3:uid="{78D52A86-CC16-4D3D-8F51-445DEE18FCBC}" name="Column850" dataDxfId="15535"/>
    <tableColumn id="875" xr3:uid="{70C0CC10-7DB3-457C-BFFB-F99ABDC47431}" name="Column851" dataDxfId="15534"/>
    <tableColumn id="876" xr3:uid="{5940134A-F957-487E-8628-3FF5D0E39C38}" name="Column852" dataDxfId="15533"/>
    <tableColumn id="877" xr3:uid="{1FC3B985-DB05-4A51-AE42-E6CE33B2992F}" name="Column853" dataDxfId="15532"/>
    <tableColumn id="878" xr3:uid="{63A19671-9114-4EB2-8C9F-9021C3116BC0}" name="Column854" dataDxfId="15531"/>
    <tableColumn id="879" xr3:uid="{D0CE595B-ED89-4985-847B-2B736B2D273A}" name="Column855" dataDxfId="15530"/>
    <tableColumn id="880" xr3:uid="{785E29DA-80CA-4888-AE89-77D254D1AB04}" name="Column856" dataDxfId="15529"/>
    <tableColumn id="881" xr3:uid="{ADFA18E1-991C-4FD6-A1B1-9CF301FD48CB}" name="Column857" dataDxfId="15528"/>
    <tableColumn id="882" xr3:uid="{57D05BC5-045C-472F-8CDC-3F4CA1C1DA86}" name="Column858" dataDxfId="15527"/>
    <tableColumn id="883" xr3:uid="{B3F5EBEB-EB27-4F21-B145-B76B050DD237}" name="Column859" dataDxfId="15526"/>
    <tableColumn id="884" xr3:uid="{DAD1532D-A8CF-45BD-A4A1-B46846FBA2C3}" name="Column860" dataDxfId="15525"/>
    <tableColumn id="885" xr3:uid="{6652B930-7419-4577-872C-F38CC66B446D}" name="Column861" dataDxfId="15524"/>
    <tableColumn id="886" xr3:uid="{37DBED0E-F113-4DA4-87C6-B61963D75E3A}" name="Column862" dataDxfId="15523"/>
    <tableColumn id="887" xr3:uid="{6B411B5D-6C47-439D-A2DB-60DB0AEB5B0F}" name="Column863" dataDxfId="15522"/>
    <tableColumn id="888" xr3:uid="{7B1FA169-F587-488A-B006-9A9070234030}" name="Column864" dataDxfId="15521"/>
    <tableColumn id="889" xr3:uid="{2E91B22D-1C2B-4732-9D76-D10757E864E7}" name="Column865" dataDxfId="15520"/>
    <tableColumn id="890" xr3:uid="{F3A42858-5FC4-4585-9AD8-1575BA24E209}" name="Column866" dataDxfId="15519"/>
    <tableColumn id="891" xr3:uid="{DD955D9A-89FF-4EB1-AE34-E07D0622F9F6}" name="Column867" dataDxfId="15518"/>
    <tableColumn id="892" xr3:uid="{EDD0DE6E-449D-4EA7-AEC1-394862203294}" name="Column868" dataDxfId="15517"/>
    <tableColumn id="893" xr3:uid="{E69427A0-4017-42E8-B487-784DD8607618}" name="Column869" dataDxfId="15516"/>
    <tableColumn id="894" xr3:uid="{E6329013-DFD9-48B9-9D62-CBD8287D6463}" name="Column870" dataDxfId="15515"/>
    <tableColumn id="895" xr3:uid="{909A291C-9FF2-439F-A2CE-B4735830B766}" name="Column871" dataDxfId="15514"/>
    <tableColumn id="896" xr3:uid="{7120C61E-2577-4CA5-A2DA-D3E6CC3635BC}" name="Column872" dataDxfId="15513"/>
    <tableColumn id="897" xr3:uid="{D2187C7B-981C-4A02-850E-EB22E50FF01D}" name="Column873" dataDxfId="15512"/>
    <tableColumn id="898" xr3:uid="{B367DDAD-B3B2-437F-880E-29BBCFE8EFB6}" name="Column874" dataDxfId="15511"/>
    <tableColumn id="899" xr3:uid="{33EF0A26-E28F-409E-8098-33D9BFFAC683}" name="Column875" dataDxfId="15510"/>
    <tableColumn id="900" xr3:uid="{2885AF00-9F5B-43DF-AC48-7E9142CB2B8D}" name="Column876" dataDxfId="15509"/>
    <tableColumn id="901" xr3:uid="{0A0CB2EF-5C9A-4483-B4E2-4C0EE74A7090}" name="Column877" dataDxfId="15508"/>
    <tableColumn id="902" xr3:uid="{A660A1CC-5538-40CF-914A-E98D31258742}" name="Column878" dataDxfId="15507"/>
    <tableColumn id="903" xr3:uid="{8F1801DC-144D-4569-A71F-1ACF882CB962}" name="Column879" dataDxfId="15506"/>
    <tableColumn id="904" xr3:uid="{B9B7CB10-1BCB-425F-AAD0-30F6DF2CEEE7}" name="Column880" dataDxfId="15505"/>
    <tableColumn id="905" xr3:uid="{8EB6E022-B48C-4B1B-AEFB-DC28664C30F8}" name="Column881" dataDxfId="15504"/>
    <tableColumn id="906" xr3:uid="{D354D63A-A917-4F11-A0F6-E95E0E802AB6}" name="Column882" dataDxfId="15503"/>
    <tableColumn id="907" xr3:uid="{D03685F4-EE56-4D0A-AC58-D9DA311AB87F}" name="Column883" dataDxfId="15502"/>
    <tableColumn id="908" xr3:uid="{6FCAAEA0-A102-4EBA-9015-6D2C2C7CEDCB}" name="Column884" dataDxfId="15501"/>
    <tableColumn id="909" xr3:uid="{3BBCFC3B-104A-4E44-AC73-7C93E825941D}" name="Column885" dataDxfId="15500"/>
    <tableColumn id="910" xr3:uid="{E180AEBD-13A4-405D-8D1C-CC81C592CC38}" name="Column886" dataDxfId="15499"/>
    <tableColumn id="911" xr3:uid="{39EDD39D-5757-4273-B202-22E1E4E2A636}" name="Column887" dataDxfId="15498"/>
    <tableColumn id="912" xr3:uid="{E9C998FD-C6C9-401F-BEB7-9DDB22697A8A}" name="Column888" dataDxfId="15497"/>
    <tableColumn id="913" xr3:uid="{0FFF4BD7-EAAB-4CA7-A420-13D80F68B9F5}" name="Column889" dataDxfId="15496"/>
    <tableColumn id="914" xr3:uid="{7A689557-91F3-4F0B-A92A-BD5E9CFFDB0F}" name="Column890" dataDxfId="15495"/>
    <tableColumn id="915" xr3:uid="{86E7A735-D741-4A85-84E0-6F8430F6D97A}" name="Column891" dataDxfId="15494"/>
    <tableColumn id="916" xr3:uid="{DDB6772F-7AE1-4A1D-98EE-8DE8518E4772}" name="Column892" dataDxfId="15493"/>
    <tableColumn id="917" xr3:uid="{317D5EDD-14BE-4A87-8CA4-273289211810}" name="Column893" dataDxfId="15492"/>
    <tableColumn id="918" xr3:uid="{7C65078A-F7CA-44DB-8492-AA58A91130F4}" name="Column894" dataDxfId="15491"/>
    <tableColumn id="919" xr3:uid="{54D7B536-D116-42C2-BA84-255FEBE78E61}" name="Column895" dataDxfId="15490"/>
    <tableColumn id="920" xr3:uid="{55C320E2-6097-400A-8626-A8964F586277}" name="Column896" dataDxfId="15489"/>
    <tableColumn id="921" xr3:uid="{CF1966EE-30C6-4329-AC50-81BB1257FFF8}" name="Column897" dataDxfId="15488"/>
    <tableColumn id="922" xr3:uid="{EF8CC5C6-6C39-462A-B502-2BC5ADC5CA22}" name="Column898" dataDxfId="15487"/>
    <tableColumn id="923" xr3:uid="{2C98A1DF-E4BF-4BBF-876D-B9E72E6A0949}" name="Column899" dataDxfId="15486"/>
    <tableColumn id="924" xr3:uid="{D4A9AB05-B96B-4A37-AA27-A9631060A650}" name="Column900" dataDxfId="15485"/>
    <tableColumn id="925" xr3:uid="{13DA8B60-51B2-4D94-B359-E5D757D1E24E}" name="Column901" dataDxfId="15484"/>
    <tableColumn id="926" xr3:uid="{C030E524-6281-4681-8AD6-EE896C6FFCBD}" name="Column902" dataDxfId="15483"/>
    <tableColumn id="927" xr3:uid="{50984241-F04E-4303-A10E-281FEE283D17}" name="Column903" dataDxfId="15482"/>
    <tableColumn id="928" xr3:uid="{2975E7F7-B60C-4139-85F7-01B78E2B9E7B}" name="Column904" dataDxfId="15481"/>
    <tableColumn id="929" xr3:uid="{BBD92487-E3FF-4F74-B2D2-C07D3D733322}" name="Column905" dataDxfId="15480"/>
    <tableColumn id="930" xr3:uid="{DEFE2A7D-C266-4615-8CEE-AD73BCFEBB5D}" name="Column906" dataDxfId="15479"/>
    <tableColumn id="931" xr3:uid="{CC9114C0-6212-4C47-8606-5576C2B366B1}" name="Column907" dataDxfId="15478"/>
    <tableColumn id="932" xr3:uid="{1BEF6C28-C2B4-44AC-8513-49739B1EB512}" name="Column908" dataDxfId="15477"/>
    <tableColumn id="933" xr3:uid="{1DDA146A-52C0-4133-B56F-0B2710452ED6}" name="Column909" dataDxfId="15476"/>
    <tableColumn id="934" xr3:uid="{DB81EEFC-0B54-4204-B221-89715123F8FE}" name="Column910" dataDxfId="15475"/>
    <tableColumn id="935" xr3:uid="{E2B202A4-42BB-4585-9F56-F85A8359EBD5}" name="Column911" dataDxfId="15474"/>
    <tableColumn id="936" xr3:uid="{3F9CBAA9-D487-4E5D-8F71-260CEDF5DB44}" name="Column912" dataDxfId="15473"/>
    <tableColumn id="937" xr3:uid="{48B4A76F-D111-46D6-8274-779E914BFF66}" name="Column913" dataDxfId="15472"/>
    <tableColumn id="938" xr3:uid="{7F808D57-E9E1-4F24-99E9-C8A49CFFDDD8}" name="Column914" dataDxfId="15471"/>
    <tableColumn id="939" xr3:uid="{373D78B5-8BED-4767-98E5-A3FC2A2E4EAC}" name="Column915" dataDxfId="15470"/>
    <tableColumn id="940" xr3:uid="{51B2328D-B057-49F1-BA7D-607CFED20BFD}" name="Column916" dataDxfId="15469"/>
    <tableColumn id="941" xr3:uid="{86C7BA84-F004-46E1-A177-A6124D792449}" name="Column917" dataDxfId="15468"/>
    <tableColumn id="942" xr3:uid="{F2C543BF-140E-4394-92AB-64490F141D3B}" name="Column918" dataDxfId="15467"/>
    <tableColumn id="943" xr3:uid="{967B99EC-B82D-4DE9-907C-834635F50342}" name="Column919" dataDxfId="15466"/>
    <tableColumn id="944" xr3:uid="{D9C1B21B-6576-456C-B1C6-DDC3B340108A}" name="Column920" dataDxfId="15465"/>
    <tableColumn id="945" xr3:uid="{2692BF92-F942-4EC4-BE15-F57AE8FECD31}" name="Column921" dataDxfId="15464"/>
    <tableColumn id="946" xr3:uid="{A001E4D5-963A-4DDC-9A5C-98B092D7A667}" name="Column922" dataDxfId="15463"/>
    <tableColumn id="947" xr3:uid="{DC06C480-6495-4755-B5F7-61E5841354AE}" name="Column923" dataDxfId="15462"/>
    <tableColumn id="948" xr3:uid="{07A49F0C-4240-449C-B0CE-60C12C4E5B80}" name="Column924" dataDxfId="15461"/>
    <tableColumn id="949" xr3:uid="{FD45CD5E-465E-436D-95DA-C5B8F847899C}" name="Column925" dataDxfId="15460"/>
    <tableColumn id="950" xr3:uid="{F9DE7E02-74A7-47A8-9D2A-59F55AA809A7}" name="Column926" dataDxfId="15459"/>
    <tableColumn id="951" xr3:uid="{9C8502C7-A973-467E-B30F-601109ED15FA}" name="Column927" dataDxfId="15458"/>
    <tableColumn id="952" xr3:uid="{861AFD70-63E9-4974-849C-50EA2C4B1C06}" name="Column928" dataDxfId="15457"/>
    <tableColumn id="953" xr3:uid="{C207722C-A3D1-40D9-B9F6-857ACC44A010}" name="Column929" dataDxfId="15456"/>
    <tableColumn id="954" xr3:uid="{662A5CA0-7107-4E61-9617-E18716B959EB}" name="Column930" dataDxfId="15455"/>
    <tableColumn id="955" xr3:uid="{4ACD5D68-9F68-4B12-993D-C7D08D06BC47}" name="Column931" dataDxfId="15454"/>
    <tableColumn id="956" xr3:uid="{64EBDF4F-347B-407C-AC76-0B70755F0E4E}" name="Column932" dataDxfId="15453"/>
    <tableColumn id="957" xr3:uid="{9392E344-7F0B-4AA0-A2AD-F6F13C487C12}" name="Column933" dataDxfId="15452"/>
    <tableColumn id="958" xr3:uid="{EBAEBE10-96E0-4C3B-9DA2-21DB52FD058A}" name="Column934" dataDxfId="15451"/>
    <tableColumn id="959" xr3:uid="{47FC268A-1890-40A3-A8A3-BF0EF9DF38D8}" name="Column935" dataDxfId="15450"/>
    <tableColumn id="960" xr3:uid="{B97BF3BC-C4AB-435D-B7B7-FA0893E0A9BC}" name="Column936" dataDxfId="15449"/>
    <tableColumn id="961" xr3:uid="{86AB685A-5BA0-4C7F-9A46-7061CDBA8A36}" name="Column937" dataDxfId="15448"/>
    <tableColumn id="962" xr3:uid="{488F8B53-7F11-45D3-9DB4-058F31DEF1F2}" name="Column938" dataDxfId="15447"/>
    <tableColumn id="963" xr3:uid="{F563F848-009A-41F9-B918-08634BD552C1}" name="Column939" dataDxfId="15446"/>
    <tableColumn id="964" xr3:uid="{A4072574-3ECB-44D8-9D39-F0F4BF32DCF3}" name="Column940" dataDxfId="15445"/>
    <tableColumn id="965" xr3:uid="{B1E8D33F-21F4-48D8-A5EF-8DAE71215AB9}" name="Column941" dataDxfId="15444"/>
    <tableColumn id="966" xr3:uid="{87929BEA-A708-43C8-BAA6-C5BD5FC48625}" name="Column942" dataDxfId="15443"/>
    <tableColumn id="967" xr3:uid="{0949EB99-D9F2-48A0-8058-1F9FFD1113C9}" name="Column943" dataDxfId="15442"/>
    <tableColumn id="968" xr3:uid="{9C63B1B7-9AE7-4B0B-AE68-DE3171A0998D}" name="Column944" dataDxfId="15441"/>
    <tableColumn id="969" xr3:uid="{E68BADEA-2D05-4E1C-B354-6A7E0065C306}" name="Column945" dataDxfId="15440"/>
    <tableColumn id="970" xr3:uid="{376F77B9-3B10-4D2D-932F-ABC26078F3E1}" name="Column946" dataDxfId="15439"/>
    <tableColumn id="971" xr3:uid="{8D38C5E5-5750-412E-B81E-563097F7257C}" name="Column947" dataDxfId="15438"/>
    <tableColumn id="972" xr3:uid="{28421850-58B0-45CB-8819-CC8A99DB59D0}" name="Column948" dataDxfId="15437"/>
    <tableColumn id="973" xr3:uid="{F035C3B1-69C5-4F4D-B923-3277B56AFE62}" name="Column949" dataDxfId="15436"/>
    <tableColumn id="974" xr3:uid="{4B742CFA-378C-4D46-8F2C-7407D302D367}" name="Column950" dataDxfId="15435"/>
    <tableColumn id="975" xr3:uid="{BEDD8C21-DF68-4C3D-B5B3-9403A45103C6}" name="Column951" dataDxfId="15434"/>
    <tableColumn id="976" xr3:uid="{5E825C4D-6454-4AA5-AB98-5C826E6860A5}" name="Column952" dataDxfId="15433"/>
    <tableColumn id="977" xr3:uid="{8774094C-F321-4656-9ED6-A8FF7EE9CF6C}" name="Column953" dataDxfId="15432"/>
    <tableColumn id="978" xr3:uid="{F95A63FB-D57A-4BD8-A700-92D001827FCD}" name="Column954" dataDxfId="15431"/>
    <tableColumn id="979" xr3:uid="{7C474D32-4560-44A1-8F6B-28AD381C2449}" name="Column955" dataDxfId="15430"/>
    <tableColumn id="980" xr3:uid="{45A26685-1619-4A5B-AF02-E45DF05C3906}" name="Column956" dataDxfId="15429"/>
    <tableColumn id="981" xr3:uid="{5820733C-28AD-48DC-A80A-3BA6BAC8E3C4}" name="Column957" dataDxfId="15428"/>
    <tableColumn id="982" xr3:uid="{64A9F728-2F93-4BA1-8254-B8CFEACD9485}" name="Column958" dataDxfId="15427"/>
    <tableColumn id="983" xr3:uid="{FBB2D7D1-DE2A-4ADC-8F3D-E994EE599016}" name="Column959" dataDxfId="15426"/>
    <tableColumn id="984" xr3:uid="{6323A80B-5C78-4E13-A291-5AFF44D29C37}" name="Column960" dataDxfId="15425"/>
    <tableColumn id="985" xr3:uid="{1EF6EFE7-DA18-4FA7-8217-D3C28440408A}" name="Column961" dataDxfId="15424"/>
    <tableColumn id="986" xr3:uid="{20B883DD-9DD5-4D9E-98F9-C14DCF913594}" name="Column962" dataDxfId="15423"/>
    <tableColumn id="987" xr3:uid="{975E5634-8CB7-49A8-A18A-548ACE21471A}" name="Column963" dataDxfId="15422"/>
    <tableColumn id="988" xr3:uid="{A5E3E1CC-E31A-4F16-8420-088EB3F9DDB2}" name="Column964" dataDxfId="15421"/>
    <tableColumn id="989" xr3:uid="{DD67EB60-280E-4A5D-8D9B-18BAC10C8FE4}" name="Column965" dataDxfId="15420"/>
    <tableColumn id="990" xr3:uid="{208E2280-7122-4087-8345-0AEC3DD6196C}" name="Column966" dataDxfId="15419"/>
    <tableColumn id="991" xr3:uid="{853164AD-774A-41D4-8091-381632725B94}" name="Column967" dataDxfId="15418"/>
    <tableColumn id="992" xr3:uid="{E3DF4052-E6FD-4EE9-89DD-A6D220D34145}" name="Column968" dataDxfId="15417"/>
    <tableColumn id="993" xr3:uid="{DE1EFE8D-B2B4-4C2B-ADF4-E326C60B5B6B}" name="Column969" dataDxfId="15416"/>
    <tableColumn id="994" xr3:uid="{79A212F2-7B85-43EE-83A3-D37866C1E6C2}" name="Column970" dataDxfId="15415"/>
    <tableColumn id="995" xr3:uid="{4C116097-9331-4EF1-B34C-9B0466ABF5E6}" name="Column971" dataDxfId="15414"/>
    <tableColumn id="996" xr3:uid="{D91B4348-3B09-4495-898A-34D576B93817}" name="Column972" dataDxfId="15413"/>
    <tableColumn id="997" xr3:uid="{7BBBFAC0-1C37-4984-B0B5-260721DF5FED}" name="Column973" dataDxfId="15412"/>
    <tableColumn id="998" xr3:uid="{E2F60655-B859-4DF6-8332-B95EA74F69BB}" name="Column974" dataDxfId="15411"/>
    <tableColumn id="999" xr3:uid="{00970864-6B10-48B7-A709-AD126E0B2A00}" name="Column975" dataDxfId="15410"/>
    <tableColumn id="1000" xr3:uid="{F172F866-08EB-4980-A2DC-F3C56E9568AC}" name="Column976" dataDxfId="15409"/>
    <tableColumn id="1001" xr3:uid="{AAF485AA-DCCC-48EA-BDDA-0192DB8AE193}" name="Column977" dataDxfId="15408"/>
    <tableColumn id="1002" xr3:uid="{DCB76555-9D45-4A29-BA2F-916D000C758B}" name="Column978" dataDxfId="15407"/>
    <tableColumn id="1003" xr3:uid="{77752D73-2147-4EED-80A2-8337794A1B82}" name="Column979" dataDxfId="15406"/>
    <tableColumn id="1004" xr3:uid="{BE5A0889-0AEC-4F47-8F79-F2C2AB0F0339}" name="Column980" dataDxfId="15405"/>
    <tableColumn id="1005" xr3:uid="{D286A50C-04CD-4D8F-BBA4-C9B058058E73}" name="Column981" dataDxfId="15404"/>
    <tableColumn id="1006" xr3:uid="{FEFFE19E-89B8-4E39-A1A3-A61B40999A65}" name="Column982" dataDxfId="15403"/>
    <tableColumn id="1007" xr3:uid="{C5865F87-C1D5-49E5-A4BA-E1AB28ADCCF6}" name="Column983" dataDxfId="15402"/>
    <tableColumn id="1008" xr3:uid="{CA8DD649-4EB5-4E82-92A2-FBBECCC16392}" name="Column984" dataDxfId="15401"/>
    <tableColumn id="1009" xr3:uid="{647338E2-8732-471C-97ED-B01513AA2438}" name="Column985" dataDxfId="15400"/>
    <tableColumn id="1010" xr3:uid="{26EAD308-4509-4412-84CB-ED17606971E5}" name="Column986" dataDxfId="15399"/>
    <tableColumn id="1011" xr3:uid="{B3265037-473D-45E5-950B-BD88FFAE6674}" name="Column987" dataDxfId="15398"/>
    <tableColumn id="1012" xr3:uid="{2AD9131D-5CF1-4AE0-A4C7-3A284A87196C}" name="Column988" dataDxfId="15397"/>
    <tableColumn id="1013" xr3:uid="{D949C6CE-28E2-4428-9D2A-0697E7150FA7}" name="Column989" dataDxfId="15396"/>
    <tableColumn id="1014" xr3:uid="{D5DF77A3-10ED-49C7-B8C1-BDBDB89DD1E8}" name="Column990" dataDxfId="15395"/>
    <tableColumn id="1015" xr3:uid="{48FA21F4-B150-47B4-AF27-77614D84DB0B}" name="Column991" dataDxfId="15394"/>
    <tableColumn id="1016" xr3:uid="{0C1572F2-2153-4E29-8E0E-FA986AC9156E}" name="Column992" dataDxfId="15393"/>
    <tableColumn id="1017" xr3:uid="{4DC30005-E1C8-4DD9-B986-B0D62E5BCF61}" name="Column993" dataDxfId="15392"/>
    <tableColumn id="1018" xr3:uid="{9A15A207-593F-43B3-AC48-A75F6B3A5DB9}" name="Column994" dataDxfId="15391"/>
    <tableColumn id="1019" xr3:uid="{B4E0B977-4F4E-4423-A9D6-26F5964F8829}" name="Column995" dataDxfId="15390"/>
    <tableColumn id="1020" xr3:uid="{DD795EE3-DA70-4604-9B31-EAE17AD43928}" name="Column996" dataDxfId="15389"/>
    <tableColumn id="1021" xr3:uid="{2F9E488D-A80E-4CFC-A84A-522D9F860CFC}" name="Column997" dataDxfId="15388"/>
    <tableColumn id="1022" xr3:uid="{374134B8-1046-4C7C-A8DD-8061A47A9DE0}" name="Column998" dataDxfId="15387"/>
    <tableColumn id="1023" xr3:uid="{FD77CB99-9C43-4DB2-8813-B0CEFA4B2B30}" name="Column999" dataDxfId="15386"/>
    <tableColumn id="1024" xr3:uid="{3510E30D-0342-495B-8716-555F88F70429}" name="Column1000" dataDxfId="15385"/>
    <tableColumn id="1025" xr3:uid="{376ECB9E-BB66-4118-8E06-2D2E36FC7195}" name="Column1001" dataDxfId="15384"/>
    <tableColumn id="1026" xr3:uid="{32C9EE47-9639-4F43-A2B5-8A3E2DF8ECA2}" name="Column1002" dataDxfId="15383"/>
    <tableColumn id="1027" xr3:uid="{C1FE383D-A819-4A95-B3C3-53AE73BC72E2}" name="Column1003" dataDxfId="15382"/>
    <tableColumn id="1028" xr3:uid="{0D821C79-2343-4DDD-B152-A48A16832FF4}" name="Column1004" dataDxfId="15381"/>
    <tableColumn id="1029" xr3:uid="{762F581F-6219-4358-89C6-20A01DF0F405}" name="Column1005" dataDxfId="15380"/>
    <tableColumn id="1030" xr3:uid="{1AF372C3-BAB2-4522-80FE-71CA42D91054}" name="Column1006" dataDxfId="15379"/>
    <tableColumn id="1031" xr3:uid="{07A0C3F2-1292-440D-A75C-5A100B09B1C0}" name="Column1007" dataDxfId="15378"/>
    <tableColumn id="1032" xr3:uid="{71DAFC27-EF1C-4D74-923C-AC76D87D20D2}" name="Column1008" dataDxfId="15377"/>
    <tableColumn id="1033" xr3:uid="{13556278-3D18-4993-9412-9FC4455391FF}" name="Column1009" dataDxfId="15376"/>
    <tableColumn id="1034" xr3:uid="{4A6E01FC-85DB-4898-A0E5-D2ACB91BCB65}" name="Column1010" dataDxfId="15375"/>
    <tableColumn id="1035" xr3:uid="{C4A58D1C-D32F-4965-A670-22A8505C9421}" name="Column1011" dataDxfId="15374"/>
    <tableColumn id="1036" xr3:uid="{C7046554-CC1B-4044-ADCE-49753F66092A}" name="Column1012" dataDxfId="15373"/>
    <tableColumn id="1037" xr3:uid="{0A152650-0732-46D3-B311-E11F5798D90A}" name="Column1013" dataDxfId="15372"/>
    <tableColumn id="1038" xr3:uid="{89CAB946-8BAF-4732-8CFA-B5692F01884B}" name="Column1014" dataDxfId="15371"/>
    <tableColumn id="1039" xr3:uid="{93B8FDD2-C381-4412-89EB-98D14BBCA718}" name="Column1015" dataDxfId="15370"/>
    <tableColumn id="1040" xr3:uid="{F931A610-79C9-4F6F-BBC4-B5C9D7278924}" name="Column1016" dataDxfId="15369"/>
    <tableColumn id="1041" xr3:uid="{4B55DB7E-40F2-470C-8528-C29A29646C34}" name="Column1017" dataDxfId="15368"/>
    <tableColumn id="1042" xr3:uid="{A783F6EB-1948-4168-932F-477F879E454D}" name="Column1018" dataDxfId="15367"/>
    <tableColumn id="1043" xr3:uid="{DC90521A-7706-4F1A-82A7-B0DC4337D9D6}" name="Column1019" dataDxfId="15366"/>
    <tableColumn id="1044" xr3:uid="{935BA82F-F25B-4468-9098-E25BA7E5FD91}" name="Column1020" dataDxfId="15365"/>
    <tableColumn id="1045" xr3:uid="{831622D1-A369-4974-A1C4-5FED002B37F0}" name="Column1021" dataDxfId="15364"/>
    <tableColumn id="1046" xr3:uid="{354DB00C-40BF-4A3F-958D-73B10D2AE339}" name="Column1022" dataDxfId="15363"/>
    <tableColumn id="1047" xr3:uid="{9011EE81-EE69-4189-A126-5E3CA7D17255}" name="Column1023" dataDxfId="15362"/>
    <tableColumn id="1048" xr3:uid="{0E79ED5F-A5E1-4400-9CEA-100CE2B318BA}" name="Column1024" dataDxfId="15361"/>
    <tableColumn id="1049" xr3:uid="{F3257524-DA3E-4D8C-BBD4-943163AF7552}" name="Column1025" dataDxfId="15360"/>
    <tableColumn id="1050" xr3:uid="{BADE21AF-6D28-424B-8A60-D8F675B471EF}" name="Column1026" dataDxfId="15359"/>
    <tableColumn id="1051" xr3:uid="{FC66FC2D-686D-46DC-A4C2-41675B751F31}" name="Column1027" dataDxfId="15358"/>
    <tableColumn id="1052" xr3:uid="{8BBF56EE-7749-46D1-B9D7-A4C333257C59}" name="Column1028" dataDxfId="15357"/>
    <tableColumn id="1053" xr3:uid="{4A7D99B7-D647-43F3-9265-15FF86B2A824}" name="Column1029" dataDxfId="15356"/>
    <tableColumn id="1054" xr3:uid="{6CFB4B38-DEB9-490C-9BCD-079ED10C341F}" name="Column1030" dataDxfId="15355"/>
    <tableColumn id="1055" xr3:uid="{F50747C7-1BB5-4D36-98AE-40B003837E7C}" name="Column1031" dataDxfId="15354"/>
    <tableColumn id="1056" xr3:uid="{220BB52F-C191-447E-9CD2-61CBC7FD8B63}" name="Column1032" dataDxfId="15353"/>
    <tableColumn id="1057" xr3:uid="{C0D438FC-2052-4ABA-A2F3-3710583471DD}" name="Column1033" dataDxfId="15352"/>
    <tableColumn id="1058" xr3:uid="{8CF6D9C5-6C12-4C75-A73A-48CE2671CD0E}" name="Column1034" dataDxfId="15351"/>
    <tableColumn id="1059" xr3:uid="{2C02C446-BFE2-4B03-8D8C-0896A6C65029}" name="Column1035" dataDxfId="15350"/>
    <tableColumn id="1060" xr3:uid="{0507DB12-7B8F-4BC7-8B4F-9D26BB775EE0}" name="Column1036" dataDxfId="15349"/>
    <tableColumn id="1061" xr3:uid="{67A10741-2F7E-4C44-9D32-2DCB3197CE5C}" name="Column1037" dataDxfId="15348"/>
    <tableColumn id="1062" xr3:uid="{61EC1A34-76E1-4D6D-AD01-DF5A3B4E46A0}" name="Column1038" dataDxfId="15347"/>
    <tableColumn id="1063" xr3:uid="{B03C6674-9895-49F9-8CEF-28AB9FD2A78D}" name="Column1039" dataDxfId="15346"/>
    <tableColumn id="1064" xr3:uid="{F0BD3511-61BA-488A-A7B5-03C9F8654B1B}" name="Column1040" dataDxfId="15345"/>
    <tableColumn id="1065" xr3:uid="{02D0212D-C229-41DB-A64F-BD0195A6F362}" name="Column1041" dataDxfId="15344"/>
    <tableColumn id="1066" xr3:uid="{85A6E614-3D0C-49D6-855F-618579089CBC}" name="Column1042" dataDxfId="15343"/>
    <tableColumn id="1067" xr3:uid="{5A7F0B5F-1347-4FCC-BF29-7DC265BFA9AB}" name="Column1043" dataDxfId="15342"/>
    <tableColumn id="1068" xr3:uid="{D1E8DB8C-81F0-4A39-A2DB-F7DC60E09DFB}" name="Column1044" dataDxfId="15341"/>
    <tableColumn id="1069" xr3:uid="{1728D5B2-68C9-4CA9-BF40-656805396D33}" name="Column1045" dataDxfId="15340"/>
    <tableColumn id="1070" xr3:uid="{B5D85C9E-3CBC-40FF-B7CA-7A87C1402EF4}" name="Column1046" dataDxfId="15339"/>
    <tableColumn id="1071" xr3:uid="{E39AD698-807F-44A3-A001-B2B7887379AC}" name="Column1047" dataDxfId="15338"/>
    <tableColumn id="1072" xr3:uid="{1E507914-4187-428A-963A-FB173BEF1FDD}" name="Column1048" dataDxfId="15337"/>
    <tableColumn id="1073" xr3:uid="{CC44AA51-B0FD-4D67-9539-393247B1C3E5}" name="Column1049" dataDxfId="15336"/>
    <tableColumn id="1074" xr3:uid="{49284215-49DF-4FA6-8AD7-4A42294A4790}" name="Column1050" dataDxfId="15335"/>
    <tableColumn id="1075" xr3:uid="{4B139D87-B719-4BB7-8AC3-2CA9934B2EAB}" name="Column1051" dataDxfId="15334"/>
    <tableColumn id="1076" xr3:uid="{9F3C4848-AC02-486C-9D4A-BBEC08A6B551}" name="Column1052" dataDxfId="15333"/>
    <tableColumn id="1077" xr3:uid="{C85D8198-841D-4D10-B282-4EB72E57CD40}" name="Column1053" dataDxfId="15332"/>
    <tableColumn id="1078" xr3:uid="{DAC96764-D769-466B-BEC2-EB3A77142348}" name="Column1054" dataDxfId="15331"/>
    <tableColumn id="1079" xr3:uid="{C1D335CD-C3B5-4D13-B8BB-6663B1C5D7D8}" name="Column1055" dataDxfId="15330"/>
    <tableColumn id="1080" xr3:uid="{CAA1057D-8983-4A0E-9123-FB4E508D89BC}" name="Column1056" dataDxfId="15329"/>
    <tableColumn id="1081" xr3:uid="{7492BCB5-FA9A-4EB6-A280-D5C6BC053607}" name="Column1057" dataDxfId="15328"/>
    <tableColumn id="1082" xr3:uid="{CAE60DB8-B373-437E-896A-345A27BC9D74}" name="Column1058" dataDxfId="15327"/>
    <tableColumn id="1083" xr3:uid="{4E888C95-44EC-4CBD-B982-621DD79C542C}" name="Column1059" dataDxfId="15326"/>
    <tableColumn id="1084" xr3:uid="{42F5B2DB-690D-4A6E-A648-7ABBFB96566E}" name="Column1060" dataDxfId="15325"/>
    <tableColumn id="1085" xr3:uid="{FE09E33E-A03D-4591-B732-2B91DFEC1031}" name="Column1061" dataDxfId="15324"/>
    <tableColumn id="1086" xr3:uid="{951B535D-FAFE-4BC6-841D-53EED09AE8A2}" name="Column1062" dataDxfId="15323"/>
    <tableColumn id="1087" xr3:uid="{521FF153-D746-4ADE-A58F-F7602B828E6F}" name="Column1063" dataDxfId="15322"/>
    <tableColumn id="1088" xr3:uid="{B7BA247C-5539-4993-9F61-C91CC909B4C9}" name="Column1064" dataDxfId="15321"/>
    <tableColumn id="1089" xr3:uid="{B2E39E46-FE7B-4DB4-AC94-6005A3A15189}" name="Column1065" dataDxfId="15320"/>
    <tableColumn id="1090" xr3:uid="{8C9812AA-4DF8-483E-BD68-788E38D022A1}" name="Column1066" dataDxfId="15319"/>
    <tableColumn id="1091" xr3:uid="{94939212-3622-44A0-A733-5E7ABB1CF45F}" name="Column1067" dataDxfId="15318"/>
    <tableColumn id="1092" xr3:uid="{5E70620B-F0C2-468D-ABD3-9CD29CCE0960}" name="Column1068" dataDxfId="15317"/>
    <tableColumn id="1093" xr3:uid="{3F201A9A-6B88-40E4-83E9-44E3C5BC7FE4}" name="Column1069" dataDxfId="15316"/>
    <tableColumn id="1094" xr3:uid="{8E07C7F8-1290-4EFB-8000-E451D3EF0226}" name="Column1070" dataDxfId="15315"/>
    <tableColumn id="1095" xr3:uid="{35453568-258E-47BF-A6D1-FCBF522EAE99}" name="Column1071" dataDxfId="15314"/>
    <tableColumn id="1096" xr3:uid="{B461526D-ADA4-4FA8-94F8-339B8939BE0E}" name="Column1072" dataDxfId="15313"/>
    <tableColumn id="1097" xr3:uid="{EE0A2B85-727A-43FC-8CD1-5EC7F7BE728D}" name="Column1073" dataDxfId="15312"/>
    <tableColumn id="1098" xr3:uid="{8B6DACB7-A3B3-47FB-A902-F977438991A5}" name="Column1074" dataDxfId="15311"/>
    <tableColumn id="1099" xr3:uid="{BF61081F-FD0B-48AC-9A45-F5948D809C44}" name="Column1075" dataDxfId="15310"/>
    <tableColumn id="1100" xr3:uid="{4A8D0DD3-C75F-4E2E-BCCF-DC6267478B01}" name="Column1076" dataDxfId="15309"/>
    <tableColumn id="1101" xr3:uid="{FD9CDE7D-263F-4840-A12F-10B90364D3BD}" name="Column1077" dataDxfId="15308"/>
    <tableColumn id="1102" xr3:uid="{F2FFE279-141A-464C-BE51-272F68B167A8}" name="Column1078" dataDxfId="15307"/>
    <tableColumn id="1103" xr3:uid="{A360F476-BDF6-454C-8BF4-06ADF41A0D84}" name="Column1079" dataDxfId="15306"/>
    <tableColumn id="1104" xr3:uid="{280EC560-53BE-46F8-A553-1F8CBD9C5CD1}" name="Column1080" dataDxfId="15305"/>
    <tableColumn id="1105" xr3:uid="{CDB3D209-2E56-42EF-82FA-7C238707C5D1}" name="Column1081" dataDxfId="15304"/>
    <tableColumn id="1106" xr3:uid="{D5C60FF2-B816-419B-9554-CBA94901B791}" name="Column1082" dataDxfId="15303"/>
    <tableColumn id="1107" xr3:uid="{1D0300BE-9826-412A-9925-B230D9DE0094}" name="Column1083" dataDxfId="15302"/>
    <tableColumn id="1108" xr3:uid="{0CC209EA-9E8C-4A0F-8927-51A7C491A4ED}" name="Column1084" dataDxfId="15301"/>
    <tableColumn id="1109" xr3:uid="{EC7C4F76-F4D0-4514-8007-68769F54960E}" name="Column1085" dataDxfId="15300"/>
    <tableColumn id="1110" xr3:uid="{055587F2-6CF0-4DAA-A989-6F5EAADB772E}" name="Column1086" dataDxfId="15299"/>
    <tableColumn id="1111" xr3:uid="{ED069D9B-6AF6-4C70-A3B0-474C3DC8830A}" name="Column1087" dataDxfId="15298"/>
    <tableColumn id="1112" xr3:uid="{C8B04C7F-369C-4B0A-8702-CEA0468CD65E}" name="Column1088" dataDxfId="15297"/>
    <tableColumn id="1113" xr3:uid="{41FB2F09-8AED-44FC-BD18-EC10F2F533D1}" name="Column1089" dataDxfId="15296"/>
    <tableColumn id="1114" xr3:uid="{18076814-7B12-44A6-9759-06B2998DFF37}" name="Column1090" dataDxfId="15295"/>
    <tableColumn id="1115" xr3:uid="{8502C3DF-A024-45FB-9B96-D8BDF0ED1446}" name="Column1091" dataDxfId="15294"/>
    <tableColumn id="1116" xr3:uid="{5C598B31-9605-4ADB-9CFB-3CA6F4AB639A}" name="Column1092" dataDxfId="15293"/>
    <tableColumn id="1117" xr3:uid="{E4CDAF0C-D757-4A9D-98E5-D88AADAC3076}" name="Column1093" dataDxfId="15292"/>
    <tableColumn id="1118" xr3:uid="{9FB2F638-45DA-44FF-B7CE-C79B59DB2686}" name="Column1094" dataDxfId="15291"/>
    <tableColumn id="1119" xr3:uid="{042CA429-98AE-4437-9206-A6C6ABEA4FA1}" name="Column1095" dataDxfId="15290"/>
    <tableColumn id="1120" xr3:uid="{1002EF63-6286-47E0-9D72-6487C1A698B3}" name="Column1096" dataDxfId="15289"/>
    <tableColumn id="1121" xr3:uid="{DD487EED-443B-4045-8F15-C2DA6DE39EA6}" name="Column1097" dataDxfId="15288"/>
    <tableColumn id="1122" xr3:uid="{221256C7-2DC1-412E-8382-BDB67B3A238A}" name="Column1098" dataDxfId="15287"/>
    <tableColumn id="1123" xr3:uid="{EA203843-A610-450F-962F-5DDBC5FD6B75}" name="Column1099" dataDxfId="15286"/>
    <tableColumn id="1124" xr3:uid="{69DF680B-876A-496E-9442-47104C41AFFB}" name="Column1100" dataDxfId="15285"/>
    <tableColumn id="1125" xr3:uid="{7A955261-BD2D-4540-AEED-5992DC649FBC}" name="Column1101" dataDxfId="15284"/>
    <tableColumn id="1126" xr3:uid="{36E73F49-3BA4-49AE-A421-A0638B81CFBC}" name="Column1102" dataDxfId="15283"/>
    <tableColumn id="1127" xr3:uid="{51196959-5791-44FE-9C21-D091F412D158}" name="Column1103" dataDxfId="15282"/>
    <tableColumn id="1128" xr3:uid="{6C89A4A2-2599-48E5-A7BE-4431C039E283}" name="Column1104" dataDxfId="15281"/>
    <tableColumn id="1129" xr3:uid="{F0240517-73E5-4539-97C5-CDAD26FE233A}" name="Column1105" dataDxfId="15280"/>
    <tableColumn id="1130" xr3:uid="{CE7144CB-A7C1-4467-A74A-E17AAA2F05A6}" name="Column1106" dataDxfId="15279"/>
    <tableColumn id="1131" xr3:uid="{3CC4AFF1-0388-4693-8134-0B5293ACD6C3}" name="Column1107" dataDxfId="15278"/>
    <tableColumn id="1132" xr3:uid="{511A5E94-4CAE-405C-B681-BD0D536C2BA0}" name="Column1108" dataDxfId="15277"/>
    <tableColumn id="1133" xr3:uid="{007C1BCA-73F5-450D-9EB7-CEF9474335DA}" name="Column1109" dataDxfId="15276"/>
    <tableColumn id="1134" xr3:uid="{251068C9-3BF9-43A4-8E62-8DB299D84EEC}" name="Column1110" dataDxfId="15275"/>
    <tableColumn id="1135" xr3:uid="{27686968-3427-4498-B834-A7822276B4DE}" name="Column1111" dataDxfId="15274"/>
    <tableColumn id="1136" xr3:uid="{AD8ADDA9-929E-4056-802E-45F6525D2F50}" name="Column1112" dataDxfId="15273"/>
    <tableColumn id="1137" xr3:uid="{F6EEE158-D116-4E8F-AD90-D9C75AF346CE}" name="Column1113" dataDxfId="15272"/>
    <tableColumn id="1138" xr3:uid="{08047598-BEE6-4250-885F-8C193AC9800B}" name="Column1114" dataDxfId="15271"/>
    <tableColumn id="1139" xr3:uid="{335A9927-3B85-40E9-B54F-7C75CAE26A8E}" name="Column1115" dataDxfId="15270"/>
    <tableColumn id="1140" xr3:uid="{5AE46110-0B3B-4373-B51A-4F7FAD0798C5}" name="Column1116" dataDxfId="15269"/>
    <tableColumn id="1141" xr3:uid="{12554512-0FF4-46E6-AD3D-AED4FC3C5EA7}" name="Column1117" dataDxfId="15268"/>
    <tableColumn id="1142" xr3:uid="{FA3F2170-56CB-4271-A040-C1A73067E8FC}" name="Column1118" dataDxfId="15267"/>
    <tableColumn id="1143" xr3:uid="{56B9E9F1-59C4-4A03-837A-C45062B23DD3}" name="Column1119" dataDxfId="15266"/>
    <tableColumn id="1144" xr3:uid="{78F42AED-CF4F-4896-9FF9-09F1DAC43B96}" name="Column1120" dataDxfId="15265"/>
    <tableColumn id="1145" xr3:uid="{3BFC60CE-768C-49BD-8C7C-DE50EAFE1134}" name="Column1121" dataDxfId="15264"/>
    <tableColumn id="1146" xr3:uid="{45BE23A0-DD01-4E28-8451-8F96267B9815}" name="Column1122" dataDxfId="15263"/>
    <tableColumn id="1147" xr3:uid="{E23AFDE7-3620-4204-888B-9DB15A95ACEE}" name="Column1123" dataDxfId="15262"/>
    <tableColumn id="1148" xr3:uid="{1F9CA765-9C2F-43EB-A983-4E985FE2FEBC}" name="Column1124" dataDxfId="15261"/>
    <tableColumn id="1149" xr3:uid="{A21FACA0-665E-42A2-911D-066045C2BBA1}" name="Column1125" dataDxfId="15260"/>
    <tableColumn id="1150" xr3:uid="{7C934350-5B9A-4326-8C36-CA5AFD475480}" name="Column1126" dataDxfId="15259"/>
    <tableColumn id="1151" xr3:uid="{789B27F6-7ED4-42B5-9C9D-4E4BD2211C4B}" name="Column1127" dataDxfId="15258"/>
    <tableColumn id="1152" xr3:uid="{52543BB3-2EE7-449E-97E3-2B0D4E96C487}" name="Column1128" dataDxfId="15257"/>
    <tableColumn id="1153" xr3:uid="{E87B897C-33E4-40C8-93A8-B2204E5A7F37}" name="Column1129" dataDxfId="15256"/>
    <tableColumn id="1154" xr3:uid="{6D4C0C6A-E579-4D7E-9301-555CA3580CC6}" name="Column1130" dataDxfId="15255"/>
    <tableColumn id="1155" xr3:uid="{B581D94B-E8E9-4164-97F3-27C1B4F6EBC7}" name="Column1131" dataDxfId="15254"/>
    <tableColumn id="1156" xr3:uid="{3D21A8A4-8EDC-49A4-AA65-701BE40A03F4}" name="Column1132" dataDxfId="15253"/>
    <tableColumn id="1157" xr3:uid="{8EDF1534-0D52-4416-8621-8965C88FE71D}" name="Column1133" dataDxfId="15252"/>
    <tableColumn id="1158" xr3:uid="{074A3986-B8B6-4B77-9A9F-D63FD9051C2B}" name="Column1134" dataDxfId="15251"/>
    <tableColumn id="1159" xr3:uid="{710825A6-19D5-4C2E-B2A9-5EA155285749}" name="Column1135" dataDxfId="15250"/>
    <tableColumn id="1160" xr3:uid="{31EDB89B-02AE-47A0-8491-530E20BF584C}" name="Column1136" dataDxfId="15249"/>
    <tableColumn id="1161" xr3:uid="{4C7C61F8-F1B9-45C8-8355-7C4AE3310C08}" name="Column1137" dataDxfId="15248"/>
    <tableColumn id="1162" xr3:uid="{E004FF9D-8623-4168-AA8F-368E595A1991}" name="Column1138" dataDxfId="15247"/>
    <tableColumn id="1163" xr3:uid="{F736EA92-6266-4CA3-B11C-876730E6F3C9}" name="Column1139" dataDxfId="15246"/>
    <tableColumn id="1164" xr3:uid="{6B75FD2C-7C09-4AF9-BEA9-E049DDC1B72D}" name="Column1140" dataDxfId="15245"/>
    <tableColumn id="1165" xr3:uid="{D0453534-6326-4D8C-9D20-82F87FA91210}" name="Column1141" dataDxfId="15244"/>
    <tableColumn id="1166" xr3:uid="{D4318099-0C7F-4295-A995-E14A5F0AF4C9}" name="Column1142" dataDxfId="15243"/>
    <tableColumn id="1167" xr3:uid="{EFBB63D1-C812-4C9E-9097-5F0B11DA273C}" name="Column1143" dataDxfId="15242"/>
    <tableColumn id="1168" xr3:uid="{A007EF79-1812-4EFF-893A-59B46E224DE6}" name="Column1144" dataDxfId="15241"/>
    <tableColumn id="1169" xr3:uid="{62B8113B-3FEC-433B-872B-2F7D9674D755}" name="Column1145" dataDxfId="15240"/>
    <tableColumn id="1170" xr3:uid="{C4177B25-D3D7-41AC-BA52-6F80B4127659}" name="Column1146" dataDxfId="15239"/>
    <tableColumn id="1171" xr3:uid="{BDF44F74-73BA-4EC7-820F-FD3D40E65443}" name="Column1147" dataDxfId="15238"/>
    <tableColumn id="1172" xr3:uid="{98DA3A02-57A3-4ADC-90E0-9AC6BC6D4C80}" name="Column1148" dataDxfId="15237"/>
    <tableColumn id="1173" xr3:uid="{87330828-2C9F-4DE8-ACC8-9154A2DFEA10}" name="Column1149" dataDxfId="15236"/>
    <tableColumn id="1174" xr3:uid="{DACC298D-C563-4B90-B318-5C68901CB205}" name="Column1150" dataDxfId="15235"/>
    <tableColumn id="1175" xr3:uid="{138ACC3A-454F-46E0-A691-457CF45FF0BC}" name="Column1151" dataDxfId="15234"/>
    <tableColumn id="1176" xr3:uid="{788656C2-C558-436D-9520-DD575E56D2AA}" name="Column1152" dataDxfId="15233"/>
    <tableColumn id="1177" xr3:uid="{3652E24C-36BD-44E2-AB75-4E740316E851}" name="Column1153" dataDxfId="15232"/>
    <tableColumn id="1178" xr3:uid="{FA47EF68-FC07-4784-94CE-B1C7FF15C8DE}" name="Column1154" dataDxfId="15231"/>
    <tableColumn id="1179" xr3:uid="{13AC3B56-3838-4AF1-A2A7-66BDA0A9B8A7}" name="Column1155" dataDxfId="15230"/>
    <tableColumn id="1180" xr3:uid="{B417E71F-2928-4ACA-9762-162EE46EEEDF}" name="Column1156" dataDxfId="15229"/>
    <tableColumn id="1181" xr3:uid="{FAF1B5C4-1CB7-4949-811C-2B69CC809EE3}" name="Column1157" dataDxfId="15228"/>
    <tableColumn id="1182" xr3:uid="{14BD4ACD-F841-46A8-915A-109F6C84A3F6}" name="Column1158" dataDxfId="15227"/>
    <tableColumn id="1183" xr3:uid="{E58BBF6A-A164-4CCA-B351-58AA87CD2A8D}" name="Column1159" dataDxfId="15226"/>
    <tableColumn id="1184" xr3:uid="{49528955-1DA2-4ED0-B124-E44964653F1F}" name="Column1160" dataDxfId="15225"/>
    <tableColumn id="1185" xr3:uid="{43106953-D307-4B5A-BA8C-F60678951B15}" name="Column1161" dataDxfId="15224"/>
    <tableColumn id="1186" xr3:uid="{70FE18E4-9A9D-4722-B4AB-56A093F1AAF8}" name="Column1162" dataDxfId="15223"/>
    <tableColumn id="1187" xr3:uid="{DA7AE09F-9283-4A5A-A67B-9F20030D9589}" name="Column1163" dataDxfId="15222"/>
    <tableColumn id="1188" xr3:uid="{0170291C-1C4F-4E95-8B70-6055350E141E}" name="Column1164" dataDxfId="15221"/>
    <tableColumn id="1189" xr3:uid="{EFE71C4F-C097-4618-99DA-F261AFF5160E}" name="Column1165" dataDxfId="15220"/>
    <tableColumn id="1190" xr3:uid="{4ACCDED3-4595-4DFA-84B7-DED422A64F54}" name="Column1166" dataDxfId="15219"/>
    <tableColumn id="1191" xr3:uid="{B72BD004-E4F4-4827-9ED2-51072D7D23D6}" name="Column1167" dataDxfId="15218"/>
    <tableColumn id="1192" xr3:uid="{67221151-5E9C-486D-859C-60BA1BCB904D}" name="Column1168" dataDxfId="15217"/>
    <tableColumn id="1193" xr3:uid="{54F211FA-EB83-4D1C-A4F3-42A69DC16308}" name="Column1169" dataDxfId="15216"/>
    <tableColumn id="1194" xr3:uid="{8FBC5CFC-5845-44D2-981D-53F3278AAFB5}" name="Column1170" dataDxfId="15215"/>
    <tableColumn id="1195" xr3:uid="{1F8AB2EE-440F-4055-96A9-0087A651DB35}" name="Column1171" dataDxfId="15214"/>
    <tableColumn id="1196" xr3:uid="{A5A3CACC-ED0A-41C3-B85E-241D5EDF56E9}" name="Column1172" dataDxfId="15213"/>
    <tableColumn id="1197" xr3:uid="{6ECA3E97-91D5-473A-B207-B98197DFB92C}" name="Column1173" dataDxfId="15212"/>
    <tableColumn id="1198" xr3:uid="{85D3164C-CDF5-4D19-A018-C1C391640D9A}" name="Column1174" dataDxfId="15211"/>
    <tableColumn id="1199" xr3:uid="{0C30665B-53FC-447B-B4E1-60BF7D0028CE}" name="Column1175" dataDxfId="15210"/>
    <tableColumn id="1200" xr3:uid="{6971ECFE-09D4-4124-8711-5A17EAED9EF3}" name="Column1176" dataDxfId="15209"/>
    <tableColumn id="1201" xr3:uid="{AC2813DB-E275-4011-A1B8-9EE376857DAE}" name="Column1177" dataDxfId="15208"/>
    <tableColumn id="1202" xr3:uid="{9E3C0EA9-DA37-4A16-9E2E-3D1E8A43068E}" name="Column1178" dataDxfId="15207"/>
    <tableColumn id="1203" xr3:uid="{B95B260D-2B0E-4761-8D55-869446D268DE}" name="Column1179" dataDxfId="15206"/>
    <tableColumn id="1204" xr3:uid="{8408E667-65B4-4330-996D-6BE8CB6D46C9}" name="Column1180" dataDxfId="15205"/>
    <tableColumn id="1205" xr3:uid="{5A0C8299-0D8F-43D2-AD09-EEAAEB9690E1}" name="Column1181" dataDxfId="15204"/>
    <tableColumn id="1206" xr3:uid="{2394E918-82A6-47CF-8774-B6884459C3B4}" name="Column1182" dataDxfId="15203"/>
    <tableColumn id="1207" xr3:uid="{A078A473-D634-4DE5-A37B-2CD989D6C239}" name="Column1183" dataDxfId="15202"/>
    <tableColumn id="1208" xr3:uid="{A03F0B9C-7456-4706-BDBF-1B34E65ED821}" name="Column1184" dataDxfId="15201"/>
    <tableColumn id="1209" xr3:uid="{BDC96FDB-61F2-49A7-B96D-27DD28D443E8}" name="Column1185" dataDxfId="15200"/>
    <tableColumn id="1210" xr3:uid="{F92A1BB0-8489-471E-9D89-411372A8431A}" name="Column1186" dataDxfId="15199"/>
    <tableColumn id="1211" xr3:uid="{1A203ECA-F501-400E-ABCF-5BA3796289D8}" name="Column1187" dataDxfId="15198"/>
    <tableColumn id="1212" xr3:uid="{83838C6E-A54F-4ECA-B110-C53C2896E509}" name="Column1188" dataDxfId="15197"/>
    <tableColumn id="1213" xr3:uid="{42A37D4F-182A-4CBA-958C-9419EC8CD582}" name="Column1189" dataDxfId="15196"/>
    <tableColumn id="1214" xr3:uid="{1B5F6D89-696E-4924-8031-162BDF2ECC75}" name="Column1190" dataDxfId="15195"/>
    <tableColumn id="1215" xr3:uid="{479A1469-D9F8-4891-8281-622213386D5D}" name="Column1191" dataDxfId="15194"/>
    <tableColumn id="1216" xr3:uid="{5EDD3911-DF1C-40AE-AB22-4EC9364F77C8}" name="Column1192" dataDxfId="15193"/>
    <tableColumn id="1217" xr3:uid="{4632B07F-80F1-4248-B5C6-1FC280544404}" name="Column1193" dataDxfId="15192"/>
    <tableColumn id="1218" xr3:uid="{2620D071-927E-4398-A26C-2F8AC9EF03C3}" name="Column1194" dataDxfId="15191"/>
    <tableColumn id="1219" xr3:uid="{43522B7D-71E6-41A0-94B0-C60A5866BCEA}" name="Column1195" dataDxfId="15190"/>
    <tableColumn id="1220" xr3:uid="{C003B2C1-2EE6-4DFE-B7A0-6BCB2C070E8C}" name="Column1196" dataDxfId="15189"/>
    <tableColumn id="1221" xr3:uid="{D28A2AA8-D9FB-477F-99E4-4A39E725344B}" name="Column1197" dataDxfId="15188"/>
    <tableColumn id="1222" xr3:uid="{5C848410-D78B-4935-9E23-29B5B584D3EC}" name="Column1198" dataDxfId="15187"/>
    <tableColumn id="1223" xr3:uid="{CE67B62A-C16C-45A4-BDFF-A85CC2BF009A}" name="Column1199" dataDxfId="15186"/>
    <tableColumn id="1224" xr3:uid="{C8B6FB40-01FA-46B6-A1F4-D1BEFD2569E0}" name="Column1200" dataDxfId="15185"/>
    <tableColumn id="1225" xr3:uid="{92305071-B9C8-4067-846E-1E30B7CC4222}" name="Column1201" dataDxfId="15184"/>
    <tableColumn id="1226" xr3:uid="{C87FAC95-4E33-480F-9684-ABF0AD6184BD}" name="Column1202" dataDxfId="15183"/>
    <tableColumn id="1227" xr3:uid="{9A122349-DEAA-496B-A2FA-39D3B2458B71}" name="Column1203" dataDxfId="15182"/>
    <tableColumn id="1228" xr3:uid="{F9A2A5E1-4E1F-4FB9-9A42-CFC48DF667AC}" name="Column1204" dataDxfId="15181"/>
    <tableColumn id="1229" xr3:uid="{AA53DC7C-04BE-4421-B348-74FF27D54EC0}" name="Column1205" dataDxfId="15180"/>
    <tableColumn id="1230" xr3:uid="{37F15C46-577C-46C6-B638-F5ACF3EEC1C6}" name="Column1206" dataDxfId="15179"/>
    <tableColumn id="1231" xr3:uid="{FDE7187E-1837-46CA-9B61-5CB4BF88BFA9}" name="Column1207" dataDxfId="15178"/>
    <tableColumn id="1232" xr3:uid="{778B409A-4519-47F8-A15D-A7743BDC2886}" name="Column1208" dataDxfId="15177"/>
    <tableColumn id="1233" xr3:uid="{C3E38CD7-2724-4523-A544-53D90592C99F}" name="Column1209" dataDxfId="15176"/>
    <tableColumn id="1234" xr3:uid="{2A594B91-6DA6-417D-AFAA-245FD1D25EA4}" name="Column1210" dataDxfId="15175"/>
    <tableColumn id="1235" xr3:uid="{14804C7D-83E7-4E6B-B875-6A0D95897B78}" name="Column1211" dataDxfId="15174"/>
    <tableColumn id="1236" xr3:uid="{30140069-989C-45A0-B75B-6750CF4FCB5D}" name="Column1212" dataDxfId="15173"/>
    <tableColumn id="1237" xr3:uid="{F8BEBB92-6763-46B1-986F-915708C7C137}" name="Column1213" dataDxfId="15172"/>
    <tableColumn id="1238" xr3:uid="{1B0C4978-F5ED-464E-9F1F-C2367A5028B8}" name="Column1214" dataDxfId="15171"/>
    <tableColumn id="1239" xr3:uid="{213AAE48-E77B-4303-95B7-C814E28F4AF8}" name="Column1215" dataDxfId="15170"/>
    <tableColumn id="1240" xr3:uid="{1CA9352E-8063-48DA-A928-CD766DDC3E92}" name="Column1216" dataDxfId="15169"/>
    <tableColumn id="1241" xr3:uid="{82DAAD33-EFD8-4124-A8D0-8B6F013BEC50}" name="Column1217" dataDxfId="15168"/>
    <tableColumn id="1242" xr3:uid="{C9753EBB-3BE7-48F8-8EED-FA39101EC0EB}" name="Column1218" dataDxfId="15167"/>
    <tableColumn id="1243" xr3:uid="{4BBEC958-1FCA-4FD0-A5C8-0DEDF5F58001}" name="Column1219" dataDxfId="15166"/>
    <tableColumn id="1244" xr3:uid="{C046F755-57D9-45EF-9136-7F6CF63AAEDC}" name="Column1220" dataDxfId="15165"/>
    <tableColumn id="1245" xr3:uid="{28B1ADF3-1A13-4B9C-8250-ABF2FAC2996E}" name="Column1221" dataDxfId="15164"/>
    <tableColumn id="1246" xr3:uid="{784A6329-6FF8-43AB-82B2-F28AA9289B11}" name="Column1222" dataDxfId="15163"/>
    <tableColumn id="1247" xr3:uid="{5F4170EF-3DB2-487A-9366-92FE3E022433}" name="Column1223" dataDxfId="15162"/>
    <tableColumn id="1248" xr3:uid="{4000523B-1D91-4B66-B6C4-7ED0D883D086}" name="Column1224" dataDxfId="15161"/>
    <tableColumn id="1249" xr3:uid="{D260525D-B261-4926-82D4-B0698CE7705B}" name="Column1225" dataDxfId="15160"/>
    <tableColumn id="1250" xr3:uid="{1BD18F0E-D283-409C-A5F5-3D2DFC0C7ED4}" name="Column1226" dataDxfId="15159"/>
    <tableColumn id="1251" xr3:uid="{52F65BA5-8F3A-4B14-A227-AF7BF75787DF}" name="Column1227" dataDxfId="15158"/>
    <tableColumn id="1252" xr3:uid="{5B26B1CD-BAF2-4543-85D6-CF7065FD7370}" name="Column1228" dataDxfId="15157"/>
    <tableColumn id="1253" xr3:uid="{C9BA544F-B94D-462C-963F-62852F52FB89}" name="Column1229" dataDxfId="15156"/>
    <tableColumn id="1254" xr3:uid="{D727A033-037E-49A0-AD3A-E22CBE45C217}" name="Column1230" dataDxfId="15155"/>
    <tableColumn id="1255" xr3:uid="{5D4EA73F-AB5E-4928-B8C2-C7803AD2F307}" name="Column1231" dataDxfId="15154"/>
    <tableColumn id="1256" xr3:uid="{3E796305-CE93-4660-B90C-CFAF6D120270}" name="Column1232" dataDxfId="15153"/>
    <tableColumn id="1257" xr3:uid="{DCDDF704-D7C0-4BEF-A971-94D845CA38E6}" name="Column1233" dataDxfId="15152"/>
    <tableColumn id="1258" xr3:uid="{0089A1A9-4BF3-491F-A793-4806E1151568}" name="Column1234" dataDxfId="15151"/>
    <tableColumn id="1259" xr3:uid="{C204A666-DA08-49D8-9EAF-400E07062FAF}" name="Column1235" dataDxfId="15150"/>
    <tableColumn id="1260" xr3:uid="{812315FE-CC9D-4CBE-AEB0-8898F50AEE91}" name="Column1236" dataDxfId="15149"/>
    <tableColumn id="1261" xr3:uid="{C8DB0951-6F15-49D6-833D-7BD66B1A1171}" name="Column1237" dataDxfId="15148"/>
    <tableColumn id="1262" xr3:uid="{F4F3E40F-A109-467F-8913-B3BC075185AA}" name="Column1238" dataDxfId="15147"/>
    <tableColumn id="1263" xr3:uid="{F7307CF7-9789-4291-AE43-739B1A8A46B6}" name="Column1239" dataDxfId="15146"/>
    <tableColumn id="1264" xr3:uid="{A2311491-101C-46A6-81AF-26942F310B7F}" name="Column1240" dataDxfId="15145"/>
    <tableColumn id="1265" xr3:uid="{5ABC5B66-F201-4794-82C4-B891A37C7380}" name="Column1241" dataDxfId="15144"/>
    <tableColumn id="1266" xr3:uid="{1B97AA91-A4A2-4C96-BF18-225BF062BA25}" name="Column1242" dataDxfId="15143"/>
    <tableColumn id="1267" xr3:uid="{1FB14E4A-0A06-48B1-A97A-026949D55D4A}" name="Column1243" dataDxfId="15142"/>
    <tableColumn id="1268" xr3:uid="{ED1F3BB1-CB13-4657-AEAC-7D0DAB39B5CA}" name="Column1244" dataDxfId="15141"/>
    <tableColumn id="1269" xr3:uid="{956CBCEA-597F-4636-8447-62ADDAFFEBAA}" name="Column1245" dataDxfId="15140"/>
    <tableColumn id="1270" xr3:uid="{791DC705-CB5A-4317-8354-8AA67F955128}" name="Column1246" dataDxfId="15139"/>
    <tableColumn id="1271" xr3:uid="{58FF5E01-7696-44C6-9879-18BDEB139000}" name="Column1247" dataDxfId="15138"/>
    <tableColumn id="1272" xr3:uid="{4EC592C5-7FE2-44BD-A833-A594FD98F77B}" name="Column1248" dataDxfId="15137"/>
    <tableColumn id="1273" xr3:uid="{3F65BD2F-7AA5-4C8A-A7AB-D75A898FCA35}" name="Column1249" dataDxfId="15136"/>
    <tableColumn id="1274" xr3:uid="{AB35B1E8-C76B-49FD-83E1-503E4AE91C13}" name="Column1250" dataDxfId="15135"/>
    <tableColumn id="1275" xr3:uid="{525AA1BA-CC97-4CB6-BBF7-14E3A0A2ECF1}" name="Column1251" dataDxfId="15134"/>
    <tableColumn id="1276" xr3:uid="{7EEB47C2-A764-4B94-BBF4-DF1CC6675804}" name="Column1252" dataDxfId="15133"/>
    <tableColumn id="1277" xr3:uid="{339C3320-721A-41E1-9D3A-FAB8FB19D610}" name="Column1253" dataDxfId="15132"/>
    <tableColumn id="1278" xr3:uid="{234F7E28-E720-41A3-A94B-0F973A5C2747}" name="Column1254" dataDxfId="15131"/>
    <tableColumn id="1279" xr3:uid="{763E3C5F-23D5-4836-B5B8-342535AD7DA8}" name="Column1255" dataDxfId="15130"/>
    <tableColumn id="1280" xr3:uid="{49A2F9B0-BC62-4ABD-A4F7-5FB62DFD3346}" name="Column1256" dataDxfId="15129"/>
    <tableColumn id="1281" xr3:uid="{467CFEB7-EC03-429F-A736-5276C670AB9F}" name="Column1257" dataDxfId="15128"/>
    <tableColumn id="1282" xr3:uid="{72E8C84C-CA2B-43A0-ADCC-3A117DC2FE01}" name="Column1258" dataDxfId="15127"/>
    <tableColumn id="1283" xr3:uid="{DA30C48B-26DD-4008-8E6B-41D4C3778C90}" name="Column1259" dataDxfId="15126"/>
    <tableColumn id="1284" xr3:uid="{D402A741-A875-4D54-9D20-3682D08B5A11}" name="Column1260" dataDxfId="15125"/>
    <tableColumn id="1285" xr3:uid="{C8134FBC-23D0-48E6-95E7-BA9E5F0D2CF4}" name="Column1261" dataDxfId="15124"/>
    <tableColumn id="1286" xr3:uid="{1436C7CE-1E7D-444F-B168-3D3EA2EC5C88}" name="Column1262" dataDxfId="15123"/>
    <tableColumn id="1287" xr3:uid="{C7BF3FB7-4C9C-4291-B75F-105E2EBA6B82}" name="Column1263" dataDxfId="15122"/>
    <tableColumn id="1288" xr3:uid="{10B87CB1-8518-4819-8424-CCE6D0954379}" name="Column1264" dataDxfId="15121"/>
    <tableColumn id="1289" xr3:uid="{EBBEBF29-71D1-48A3-A1FE-33766739245C}" name="Column1265" dataDxfId="15120"/>
    <tableColumn id="1290" xr3:uid="{14CD9632-218A-4912-8706-E3F20AF9636B}" name="Column1266" dataDxfId="15119"/>
    <tableColumn id="1291" xr3:uid="{9ADF2284-1CF4-4647-9C9E-641452092246}" name="Column1267" dataDxfId="15118"/>
    <tableColumn id="1292" xr3:uid="{0C6CA8B2-132D-45AC-9393-F485B343B6D4}" name="Column1268" dataDxfId="15117"/>
    <tableColumn id="1293" xr3:uid="{3FEDE4F7-7C0E-42F7-896F-E37B1A653790}" name="Column1269" dataDxfId="15116"/>
    <tableColumn id="1294" xr3:uid="{F238D219-EA4E-4CA7-AC5B-EA864F1E679F}" name="Column1270" dataDxfId="15115"/>
    <tableColumn id="1295" xr3:uid="{A331458A-599E-4760-8587-4E4FC7CB8D2A}" name="Column1271" dataDxfId="15114"/>
    <tableColumn id="1296" xr3:uid="{124EA95F-B6DA-4F65-ACE8-70A0C51F1EF4}" name="Column1272" dataDxfId="15113"/>
    <tableColumn id="1297" xr3:uid="{D6ADF21D-A2D8-4D1A-A7E9-B9B7D8462C59}" name="Column1273" dataDxfId="15112"/>
    <tableColumn id="1298" xr3:uid="{0F974A8A-D3DF-46BF-8B1F-48326372B129}" name="Column1274" dataDxfId="15111"/>
    <tableColumn id="1299" xr3:uid="{A127327E-442F-47EC-8D4A-25919590BFF8}" name="Column1275" dataDxfId="15110"/>
    <tableColumn id="1300" xr3:uid="{11A86A16-823D-44E0-BE69-774F6ED20ED8}" name="Column1276" dataDxfId="15109"/>
    <tableColumn id="1301" xr3:uid="{F1374732-05A5-410D-B7D8-89CEBEEDF096}" name="Column1277" dataDxfId="15108"/>
    <tableColumn id="1302" xr3:uid="{F79DCA8C-0925-4A94-84DD-B05376E60C70}" name="Column1278" dataDxfId="15107"/>
    <tableColumn id="1303" xr3:uid="{57F2CA8A-E2C8-45C7-B57D-89979041CC6B}" name="Column1279" dataDxfId="15106"/>
    <tableColumn id="1304" xr3:uid="{1BDC3A57-521D-4C77-9FB3-4A4F2E2EBD5C}" name="Column1280" dataDxfId="15105"/>
    <tableColumn id="1305" xr3:uid="{B76DF309-51F2-4F25-A711-2BC25778B7F1}" name="Column1281" dataDxfId="15104"/>
    <tableColumn id="1306" xr3:uid="{6C15DC8B-2B5F-4D88-851A-DDB9BAC3F5F0}" name="Column1282" dataDxfId="15103"/>
    <tableColumn id="1307" xr3:uid="{5C8C2201-F78C-48A9-B70C-654390F72446}" name="Column1283" dataDxfId="15102"/>
    <tableColumn id="1308" xr3:uid="{B693A988-91C5-4B57-9102-7BFE0F617A6E}" name="Column1284" dataDxfId="15101"/>
    <tableColumn id="1309" xr3:uid="{843E9C8A-AD28-4671-A6EF-89447C6FCFE8}" name="Column1285" dataDxfId="15100"/>
    <tableColumn id="1310" xr3:uid="{404A46A1-1FB6-41BA-9FC9-59446FA44319}" name="Column1286" dataDxfId="15099"/>
    <tableColumn id="1311" xr3:uid="{6C2BD325-C557-414B-ACF9-DE2E76F4C847}" name="Column1287" dataDxfId="15098"/>
    <tableColumn id="1312" xr3:uid="{29AB74A6-43C7-4713-A263-F46B0F32DB23}" name="Column1288" dataDxfId="15097"/>
    <tableColumn id="1313" xr3:uid="{9077316B-7AEB-44ED-89E0-5D9474BC2F7A}" name="Column1289" dataDxfId="15096"/>
    <tableColumn id="1314" xr3:uid="{45F7E0C5-F018-40A7-B06A-B0E4A2AED662}" name="Column1290" dataDxfId="15095"/>
    <tableColumn id="1315" xr3:uid="{B6F052D4-1F8D-4B48-B22F-D916DBC67CF2}" name="Column1291" dataDxfId="15094"/>
    <tableColumn id="1316" xr3:uid="{F4412508-70C5-4DB8-933B-E2A580A8D691}" name="Column1292" dataDxfId="15093"/>
    <tableColumn id="1317" xr3:uid="{FC516F1D-E52A-492C-9A0E-753FCA26BC92}" name="Column1293" dataDxfId="15092"/>
    <tableColumn id="1318" xr3:uid="{2B2CAC41-A9F7-408A-BEB5-70A07E7B17ED}" name="Column1294" dataDxfId="15091"/>
    <tableColumn id="1319" xr3:uid="{8C937ADB-5FCC-42FA-8A01-0EA1260DF36B}" name="Column1295" dataDxfId="15090"/>
    <tableColumn id="1320" xr3:uid="{F180D055-A858-49BF-B9E4-477A3C027350}" name="Column1296" dataDxfId="15089"/>
    <tableColumn id="1321" xr3:uid="{E8970E71-A16B-4D05-8E28-B4E8C3EF8676}" name="Column1297" dataDxfId="15088"/>
    <tableColumn id="1322" xr3:uid="{72A8E3B0-9ABC-4AF8-AFBC-E10B8E8A51CF}" name="Column1298" dataDxfId="15087"/>
    <tableColumn id="1323" xr3:uid="{F5566994-3356-409A-B50D-06FB4D85B96D}" name="Column1299" dataDxfId="15086"/>
    <tableColumn id="1324" xr3:uid="{AFEB223F-EA16-4A1F-9145-E34A538A1D94}" name="Column1300" dataDxfId="15085"/>
    <tableColumn id="1325" xr3:uid="{509816A2-9251-4046-8A34-8BFEB7AF1709}" name="Column1301" dataDxfId="15084"/>
    <tableColumn id="1326" xr3:uid="{2574881B-60AE-4308-9AF0-33BF8C5FCD9C}" name="Column1302" dataDxfId="15083"/>
    <tableColumn id="1327" xr3:uid="{F9424E7C-D032-47C2-96BA-25F6246DC147}" name="Column1303" dataDxfId="15082"/>
    <tableColumn id="1328" xr3:uid="{D9EC31D0-54B5-4A51-B827-D04B0EB2D33B}" name="Column1304" dataDxfId="15081"/>
    <tableColumn id="1329" xr3:uid="{12F89D40-9321-47FE-92AA-7DCCD7BDF39B}" name="Column1305" dataDxfId="15080"/>
    <tableColumn id="1330" xr3:uid="{9A08A9C3-C428-4B54-96A0-B6F0F3713F7D}" name="Column1306" dataDxfId="15079"/>
    <tableColumn id="1331" xr3:uid="{43CACF1C-79B2-4684-A544-D7C5F8C1E7E0}" name="Column1307" dataDxfId="15078"/>
    <tableColumn id="1332" xr3:uid="{366F3980-2204-441B-99D9-1CB7AB13C0FA}" name="Column1308" dataDxfId="15077"/>
    <tableColumn id="1333" xr3:uid="{CD7F0A5B-E001-4F17-BDAE-DC83A6AB3DB5}" name="Column1309" dataDxfId="15076"/>
    <tableColumn id="1334" xr3:uid="{E068B034-BA3E-4511-8BC8-DDB9D76658D9}" name="Column1310" dataDxfId="15075"/>
    <tableColumn id="1335" xr3:uid="{CE1A38CF-30A3-49E8-8D1C-F40AB4B8E5C7}" name="Column1311" dataDxfId="15074"/>
    <tableColumn id="1336" xr3:uid="{524B295F-73D3-4579-B7E0-A2764C22D568}" name="Column1312" dataDxfId="15073"/>
    <tableColumn id="1337" xr3:uid="{FD3EF091-983F-4250-B547-8D6C6823B134}" name="Column1313" dataDxfId="15072"/>
    <tableColumn id="1338" xr3:uid="{A85BBCD8-FDBC-4BD8-B1A6-2C8C249227D8}" name="Column1314" dataDxfId="15071"/>
    <tableColumn id="1339" xr3:uid="{6DEC2667-E216-4F6C-8400-FE8741DB23DA}" name="Column1315" dataDxfId="15070"/>
    <tableColumn id="1340" xr3:uid="{4496A81C-5FC9-4424-A7F8-60305741B605}" name="Column1316" dataDxfId="15069"/>
    <tableColumn id="1341" xr3:uid="{2A1A0D1C-49E3-45B2-9077-05209AF81B3F}" name="Column1317" dataDxfId="15068"/>
    <tableColumn id="1342" xr3:uid="{977D04D3-2D0B-4C78-AB3F-E705C1AD7521}" name="Column1318" dataDxfId="15067"/>
    <tableColumn id="1343" xr3:uid="{C50B19D4-26C6-47C3-B6BD-07FBE8C2E57A}" name="Column1319" dataDxfId="15066"/>
    <tableColumn id="1344" xr3:uid="{695C0AE6-9165-4297-ACAC-2864AE5220D9}" name="Column1320" dataDxfId="15065"/>
    <tableColumn id="1345" xr3:uid="{9FE71A3F-7FAA-415B-B63E-A21A1FF05649}" name="Column1321" dataDxfId="15064"/>
    <tableColumn id="1346" xr3:uid="{56C7C469-D49C-4791-B2DC-756E1EBEA7F8}" name="Column1322" dataDxfId="15063"/>
    <tableColumn id="1347" xr3:uid="{9560C6BB-B08B-4591-89FF-F29F0EA4BF76}" name="Column1323" dataDxfId="15062"/>
    <tableColumn id="1348" xr3:uid="{509F6507-17A1-48A7-B22A-F731894BECE2}" name="Column1324" dataDxfId="15061"/>
    <tableColumn id="1349" xr3:uid="{C95BEB2C-E526-4B3E-9067-DC7E3983EEC9}" name="Column1325" dataDxfId="15060"/>
    <tableColumn id="1350" xr3:uid="{17FFBA01-6EE1-4814-B2FA-A1BD61CD6D9C}" name="Column1326" dataDxfId="15059"/>
    <tableColumn id="1351" xr3:uid="{5E35F7DB-DBB2-41E6-8C78-56DB292C6126}" name="Column1327" dataDxfId="15058"/>
    <tableColumn id="1352" xr3:uid="{B9591EC0-777E-4FC5-9D34-A2B6976AF3D6}" name="Column1328" dataDxfId="15057"/>
    <tableColumn id="1353" xr3:uid="{AD0E1ADF-0E4C-4E81-B3B1-1C044050A9ED}" name="Column1329" dataDxfId="15056"/>
    <tableColumn id="1354" xr3:uid="{144672D6-53A1-4F49-A226-779D351C0B18}" name="Column1330" dataDxfId="15055"/>
    <tableColumn id="1355" xr3:uid="{DC0E6648-F6DE-4BA6-8565-7C93D8392693}" name="Column1331" dataDxfId="15054"/>
    <tableColumn id="1356" xr3:uid="{A2A8715C-8E35-4440-BF19-E683F68A1D04}" name="Column1332" dataDxfId="15053"/>
    <tableColumn id="1357" xr3:uid="{77F3E2FC-7B4F-4770-9DB6-8BFBE38D33D4}" name="Column1333" dataDxfId="15052"/>
    <tableColumn id="1358" xr3:uid="{00537B77-EBC8-4420-8CCA-5FBDD7F75052}" name="Column1334" dataDxfId="15051"/>
    <tableColumn id="1359" xr3:uid="{9EE678D7-B735-49F3-914D-DB0D84825B98}" name="Column1335" dataDxfId="15050"/>
    <tableColumn id="1360" xr3:uid="{04D9122A-343F-4158-A43C-965BDB038B39}" name="Column1336" dataDxfId="15049"/>
    <tableColumn id="1361" xr3:uid="{C24AB78F-22A1-404F-B236-8C694811C1FC}" name="Column1337" dataDxfId="15048"/>
    <tableColumn id="1362" xr3:uid="{62020EA6-2B2D-42E9-8D89-C74399484CB4}" name="Column1338" dataDxfId="15047"/>
    <tableColumn id="1363" xr3:uid="{5ACB2B8A-E2CF-4A98-9F8D-ABCE8444919D}" name="Column1339" dataDxfId="15046"/>
    <tableColumn id="1364" xr3:uid="{BAA868C1-948B-4009-B5B4-2F63B5C86848}" name="Column1340" dataDxfId="15045"/>
    <tableColumn id="1365" xr3:uid="{DF376A64-4BA9-48E4-A35F-6F72CBA29696}" name="Column1341" dataDxfId="15044"/>
    <tableColumn id="1366" xr3:uid="{1301FC10-E7D0-4CB2-A33A-342D7714F57C}" name="Column1342" dataDxfId="15043"/>
    <tableColumn id="1367" xr3:uid="{FE870A2B-763F-4325-B320-7F95FED26380}" name="Column1343" dataDxfId="15042"/>
    <tableColumn id="1368" xr3:uid="{DD2ABC92-C672-476E-92DE-3043117164D8}" name="Column1344" dataDxfId="15041"/>
    <tableColumn id="1369" xr3:uid="{8CEC9192-0F14-4F05-AEEC-A1D8DD77FE22}" name="Column1345" dataDxfId="15040"/>
    <tableColumn id="1370" xr3:uid="{26B96B5F-4AAE-42C9-8D2D-6BBA8DC4F939}" name="Column1346" dataDxfId="15039"/>
    <tableColumn id="1371" xr3:uid="{3E5F5729-43CC-42F9-9EC6-60A054D4A4A3}" name="Column1347" dataDxfId="15038"/>
    <tableColumn id="1372" xr3:uid="{D3FFD1B8-69D7-4D53-8624-D3801620A2C4}" name="Column1348" dataDxfId="15037"/>
    <tableColumn id="1373" xr3:uid="{CD8A10A9-1D99-435C-828B-5C93CA69FF4C}" name="Column1349" dataDxfId="15036"/>
    <tableColumn id="1374" xr3:uid="{3E1FA32D-808B-4402-B14E-A48745164FC4}" name="Column1350" dataDxfId="15035"/>
    <tableColumn id="1375" xr3:uid="{C0317B14-E1EF-43AB-A22A-A02A553E138C}" name="Column1351" dataDxfId="15034"/>
    <tableColumn id="1376" xr3:uid="{3D821332-33E1-45F1-B98E-23B7F993DB00}" name="Column1352" dataDxfId="15033"/>
    <tableColumn id="1377" xr3:uid="{AECC4638-642E-4DED-9635-07D1C371EB4A}" name="Column1353" dataDxfId="15032"/>
    <tableColumn id="1378" xr3:uid="{77E2FF75-6756-44F1-9298-F67838813E5D}" name="Column1354" dataDxfId="15031"/>
    <tableColumn id="1379" xr3:uid="{34FA5952-AF7A-4A75-93F8-D40791E89C9E}" name="Column1355" dataDxfId="15030"/>
    <tableColumn id="1380" xr3:uid="{CF5708C6-2CED-4D6F-99B2-BB1FE487409A}" name="Column1356" dataDxfId="15029"/>
    <tableColumn id="1381" xr3:uid="{8C94A54B-3E06-450E-843C-EA13CC5AAEC7}" name="Column1357" dataDxfId="15028"/>
    <tableColumn id="1382" xr3:uid="{3F8A3E00-F38F-4702-AE88-7049711E748A}" name="Column1358" dataDxfId="15027"/>
    <tableColumn id="1383" xr3:uid="{EA510C57-36B3-4B49-BD92-002854DE7903}" name="Column1359" dataDxfId="15026"/>
    <tableColumn id="1384" xr3:uid="{FFE85F4B-48CC-40AE-A2EC-FE2626BCA826}" name="Column1360" dataDxfId="15025"/>
    <tableColumn id="1385" xr3:uid="{4937941F-2500-4CB1-AB82-8B2A674A862B}" name="Column1361" dataDxfId="15024"/>
    <tableColumn id="1386" xr3:uid="{D9A39F5C-9EDD-455D-B2ED-B2A5F5CE5DE8}" name="Column1362" dataDxfId="15023"/>
    <tableColumn id="1387" xr3:uid="{071F065B-ABB8-4D22-BEEE-E3324CA167E9}" name="Column1363" dataDxfId="15022"/>
    <tableColumn id="1388" xr3:uid="{16C8F587-343D-4D99-90EE-F2A37EFF77D2}" name="Column1364" dataDxfId="15021"/>
    <tableColumn id="1389" xr3:uid="{E0392395-9BB9-4A42-B772-096E35B90542}" name="Column1365" dataDxfId="15020"/>
    <tableColumn id="1390" xr3:uid="{67CA34B3-4F58-4FF0-A15E-7ADAF4354ADE}" name="Column1366" dataDxfId="15019"/>
    <tableColumn id="1391" xr3:uid="{B670A4FA-26CF-4541-BD3D-49157B6C600E}" name="Column1367" dataDxfId="15018"/>
    <tableColumn id="1392" xr3:uid="{9B304C03-CDDD-45CE-8F17-9F1622703DB0}" name="Column1368" dataDxfId="15017"/>
    <tableColumn id="1393" xr3:uid="{7A50BE7F-EB6E-48F5-A42F-24E6464C325E}" name="Column1369" dataDxfId="15016"/>
    <tableColumn id="1394" xr3:uid="{12CEC8B4-C770-4EF3-9689-BA1FF5D1DD5B}" name="Column1370" dataDxfId="15015"/>
    <tableColumn id="1395" xr3:uid="{AD89175B-52C9-4F8C-A03B-EFBCD183073C}" name="Column1371" dataDxfId="15014"/>
    <tableColumn id="1396" xr3:uid="{2059CCAA-942B-41DF-B21D-AAB16BE431E9}" name="Column1372" dataDxfId="15013"/>
    <tableColumn id="1397" xr3:uid="{AFF3B24B-D0EE-4F9C-98DB-BE9F0A7DDA82}" name="Column1373" dataDxfId="15012"/>
    <tableColumn id="1398" xr3:uid="{A2304A5F-16F4-412D-A7E8-B694657E57FC}" name="Column1374" dataDxfId="15011"/>
    <tableColumn id="1399" xr3:uid="{90346535-620A-4141-B74E-4896CBA79BA8}" name="Column1375" dataDxfId="15010"/>
    <tableColumn id="1400" xr3:uid="{2EE0C452-058B-460F-AA5A-41FFC784FD24}" name="Column1376" dataDxfId="15009"/>
    <tableColumn id="1401" xr3:uid="{003A764E-7932-434D-88E5-73C59AE991D7}" name="Column1377" dataDxfId="15008"/>
    <tableColumn id="1402" xr3:uid="{A1DD79A4-08BB-40E3-BCCB-AE12B0383C4C}" name="Column1378" dataDxfId="15007"/>
    <tableColumn id="1403" xr3:uid="{DC6C4FD0-A90E-4CBB-9D47-DC02480D6881}" name="Column1379" dataDxfId="15006"/>
    <tableColumn id="1404" xr3:uid="{CA49D83E-A7BC-40DE-AB47-75879FD7EA1B}" name="Column1380" dataDxfId="15005"/>
    <tableColumn id="1405" xr3:uid="{DA0039DF-1070-4C12-A751-6E68ECF15F36}" name="Column1381" dataDxfId="15004"/>
    <tableColumn id="1406" xr3:uid="{32F92D75-9ABD-4333-AC33-B20AAB7ADCB9}" name="Column1382" dataDxfId="15003"/>
    <tableColumn id="1407" xr3:uid="{A821A4DA-A7B8-41DA-A33D-4D80F66174B1}" name="Column1383" dataDxfId="15002"/>
    <tableColumn id="1408" xr3:uid="{1D645419-1D61-4013-B3AF-9C86A3D3AF64}" name="Column1384" dataDxfId="15001"/>
    <tableColumn id="1409" xr3:uid="{D6AFFE89-B70A-400B-9524-07F9CDF41D21}" name="Column1385" dataDxfId="15000"/>
    <tableColumn id="1410" xr3:uid="{4CBAB298-BA6C-482E-8268-2E004076B994}" name="Column1386" dataDxfId="14999"/>
    <tableColumn id="1411" xr3:uid="{178119A9-5905-4BF9-A815-88B2E93CC8AB}" name="Column1387" dataDxfId="14998"/>
    <tableColumn id="1412" xr3:uid="{9E0E242A-ECFB-48EA-9247-186616225505}" name="Column1388" dataDxfId="14997"/>
    <tableColumn id="1413" xr3:uid="{A7CD6D90-04F1-4A37-896B-51B83C0035D2}" name="Column1389" dataDxfId="14996"/>
    <tableColumn id="1414" xr3:uid="{9FD684A4-A056-4219-82BF-2E6348E7CB58}" name="Column1390" dataDxfId="14995"/>
    <tableColumn id="1415" xr3:uid="{6900CB5B-81F8-47D0-B7D8-0FF33FA0E989}" name="Column1391" dataDxfId="14994"/>
    <tableColumn id="1416" xr3:uid="{3CD677C3-E9AF-43E5-BC15-C92AAFF278D0}" name="Column1392" dataDxfId="14993"/>
    <tableColumn id="1417" xr3:uid="{CAD3376E-299A-425B-99DC-E4FC06AB783A}" name="Column1393" dataDxfId="14992"/>
    <tableColumn id="1418" xr3:uid="{9E69D7CD-37B2-4B97-AF52-3B4D8A89A379}" name="Column1394" dataDxfId="14991"/>
    <tableColumn id="1419" xr3:uid="{60F47B83-83B4-4CDF-BCDF-4DC0DE48933D}" name="Column1395" dataDxfId="14990"/>
    <tableColumn id="1420" xr3:uid="{F0D9D638-AF58-4CE3-B062-1AF9E3D861FB}" name="Column1396" dataDxfId="14989"/>
    <tableColumn id="1421" xr3:uid="{0DD289FE-37EB-430A-BDA8-7156071A7ACF}" name="Column1397" dataDxfId="14988"/>
    <tableColumn id="1422" xr3:uid="{B3D8A3BF-DFBC-4014-97E9-93C2D82F8EF9}" name="Column1398" dataDxfId="14987"/>
    <tableColumn id="1423" xr3:uid="{ABA237B7-A0C3-4539-A9DF-D2A217546B86}" name="Column1399" dataDxfId="14986"/>
    <tableColumn id="1424" xr3:uid="{6F74F36C-BA5D-4236-A18A-BB6B866B0CC8}" name="Column1400" dataDxfId="14985"/>
    <tableColumn id="1425" xr3:uid="{B021B4AD-9A33-4F20-ACAD-93E87907647B}" name="Column1401" dataDxfId="14984"/>
    <tableColumn id="1426" xr3:uid="{5C16ADC4-56B5-43F9-B678-9BFD803CD3CF}" name="Column1402" dataDxfId="14983"/>
    <tableColumn id="1427" xr3:uid="{E2FB6FB0-05AC-49CF-87A7-8A5B843723C9}" name="Column1403" dataDxfId="14982"/>
    <tableColumn id="1428" xr3:uid="{83B1801F-1803-4C64-8CAB-B0945D9FF241}" name="Column1404" dataDxfId="14981"/>
    <tableColumn id="1429" xr3:uid="{D1A737D6-DBD0-45B6-9DCA-CDA988E42AE6}" name="Column1405" dataDxfId="14980"/>
    <tableColumn id="1430" xr3:uid="{3BEA5EEF-3578-432B-BBA7-F3D1ABE716C3}" name="Column1406" dataDxfId="14979"/>
    <tableColumn id="1431" xr3:uid="{38E67313-736F-4122-ACA7-6E0C86313971}" name="Column1407" dataDxfId="14978"/>
    <tableColumn id="1432" xr3:uid="{5C0B93C8-EB2D-4805-9B70-2A155EDA0114}" name="Column1408" dataDxfId="14977"/>
    <tableColumn id="1433" xr3:uid="{7F3083F3-3EA0-4E4B-8EAF-299068B18BB8}" name="Column1409" dataDxfId="14976"/>
    <tableColumn id="1434" xr3:uid="{58DBD03B-8A60-4B9F-A0C1-1E8F48676AFB}" name="Column1410" dataDxfId="14975"/>
    <tableColumn id="1435" xr3:uid="{F253B27D-64C2-40FD-9F3B-9A62B0D1A72D}" name="Column1411" dataDxfId="14974"/>
    <tableColumn id="1436" xr3:uid="{A0672051-C64A-4E5F-81F0-E7E9B0549B94}" name="Column1412" dataDxfId="14973"/>
    <tableColumn id="1437" xr3:uid="{09FB0378-B8F8-492E-BC75-2E77CA855E1F}" name="Column1413" dataDxfId="14972"/>
    <tableColumn id="1438" xr3:uid="{DC4C3708-CA80-43BA-A588-A1F2C6A48B58}" name="Column1414" dataDxfId="14971"/>
    <tableColumn id="1439" xr3:uid="{9EA05DC2-0581-4184-9D6D-26560BFC11F4}" name="Column1415" dataDxfId="14970"/>
    <tableColumn id="1440" xr3:uid="{7F4D5ACA-0ED2-4D5A-95DB-7F229E289FD4}" name="Column1416" dataDxfId="14969"/>
    <tableColumn id="1441" xr3:uid="{F3CFDE1B-209A-4B78-86BF-5D922E4ABEC7}" name="Column1417" dataDxfId="14968"/>
    <tableColumn id="1442" xr3:uid="{3EA6AAC4-21BC-4F14-BAF5-3010E5697671}" name="Column1418" dataDxfId="14967"/>
    <tableColumn id="1443" xr3:uid="{1B274B4C-A44F-4586-A09C-AA1F05541A28}" name="Column1419" dataDxfId="14966"/>
    <tableColumn id="1444" xr3:uid="{15BE872B-019D-4AD4-8468-7B00DCFD2C67}" name="Column1420" dataDxfId="14965"/>
    <tableColumn id="1445" xr3:uid="{FE91D9D5-83A1-47A0-B7A4-988176EBBE39}" name="Column1421" dataDxfId="14964"/>
    <tableColumn id="1446" xr3:uid="{0C0FF155-800B-4B01-9412-710A6021F416}" name="Column1422" dataDxfId="14963"/>
    <tableColumn id="1447" xr3:uid="{E8AD7D72-F58B-4FD3-AEFA-05BF283474DD}" name="Column1423" dataDxfId="14962"/>
    <tableColumn id="1448" xr3:uid="{6F6380B9-B2DE-4757-B027-9EFCA7E02E7F}" name="Column1424" dataDxfId="14961"/>
    <tableColumn id="1449" xr3:uid="{5A5E6A0F-1E32-4EAA-8612-738316153E70}" name="Column1425" dataDxfId="14960"/>
    <tableColumn id="1450" xr3:uid="{546AF235-8607-4321-8B0C-C6D01D4CA0A6}" name="Column1426" dataDxfId="14959"/>
    <tableColumn id="1451" xr3:uid="{0D0F2941-4876-4755-B059-06CA5335134F}" name="Column1427" dataDxfId="14958"/>
    <tableColumn id="1452" xr3:uid="{95EFF062-4380-4373-8908-88ED85BCA823}" name="Column1428" dataDxfId="14957"/>
    <tableColumn id="1453" xr3:uid="{D0B0661B-F34E-43F2-A880-02D3ADB28D50}" name="Column1429" dataDxfId="14956"/>
    <tableColumn id="1454" xr3:uid="{921FE338-60B3-4A9B-A1FA-E51E6D3924AB}" name="Column1430" dataDxfId="14955"/>
    <tableColumn id="1455" xr3:uid="{9A0B752F-8FEB-4F6A-88D8-1A1FD88669FC}" name="Column1431" dataDxfId="14954"/>
    <tableColumn id="1456" xr3:uid="{8BE9535F-ECBB-4E7D-BD0A-C6AE08A6E862}" name="Column1432" dataDxfId="14953"/>
    <tableColumn id="1457" xr3:uid="{226D3D01-B4C0-4B65-8FD1-31F29971C5B7}" name="Column1433" dataDxfId="14952"/>
    <tableColumn id="1458" xr3:uid="{F707D05F-8D31-4F42-B622-B2D00877D7BD}" name="Column1434" dataDxfId="14951"/>
    <tableColumn id="1459" xr3:uid="{2EEE4A4E-205F-4CCC-8A3B-B405D833C318}" name="Column1435" dataDxfId="14950"/>
    <tableColumn id="1460" xr3:uid="{8828D980-5587-4369-8345-398CA1752E82}" name="Column1436" dataDxfId="14949"/>
    <tableColumn id="1461" xr3:uid="{69D0E2F2-1DAC-46ED-990A-C7A790D908EA}" name="Column1437" dataDxfId="14948"/>
    <tableColumn id="1462" xr3:uid="{B594BF70-BABF-48E2-8691-0C1F2C59AFE0}" name="Column1438" dataDxfId="14947"/>
    <tableColumn id="1463" xr3:uid="{4F489C78-2385-474B-8004-B31393C980A2}" name="Column1439" dataDxfId="14946"/>
    <tableColumn id="1464" xr3:uid="{306FD86A-B669-4BEC-9F91-E6EA1EC8F96F}" name="Column1440" dataDxfId="14945"/>
    <tableColumn id="1465" xr3:uid="{1DE6F6ED-EFA5-423E-9939-CC4ACB6167E3}" name="Column1441" dataDxfId="14944"/>
    <tableColumn id="1466" xr3:uid="{D04D5FD3-D272-47D1-8074-C1B5C3ADE6A3}" name="Column1442" dataDxfId="14943"/>
    <tableColumn id="1467" xr3:uid="{D93ABA04-0A3B-4363-8C75-710C7A22C2BA}" name="Column1443" dataDxfId="14942"/>
    <tableColumn id="1468" xr3:uid="{3A7CDDAB-6B8A-4D1D-81F5-E3BDB14269C4}" name="Column1444" dataDxfId="14941"/>
    <tableColumn id="1469" xr3:uid="{1F4AE9B9-0546-481F-AF78-8134D821843F}" name="Column1445" dataDxfId="14940"/>
    <tableColumn id="1470" xr3:uid="{52D251D6-115F-4E39-A2B2-05C567301B5D}" name="Column1446" dataDxfId="14939"/>
    <tableColumn id="1471" xr3:uid="{245961CA-7127-409E-A1F1-5F6595F6378B}" name="Column1447" dataDxfId="14938"/>
    <tableColumn id="1472" xr3:uid="{A100A16F-869A-402D-9FA2-BEC0BE13A4EF}" name="Column1448" dataDxfId="14937"/>
    <tableColumn id="1473" xr3:uid="{F6D01AAB-A7B8-41C6-9583-5A46EF033C13}" name="Column1449" dataDxfId="14936"/>
    <tableColumn id="1474" xr3:uid="{9319DB30-4B30-4A49-9D24-890B7CDAA29A}" name="Column1450" dataDxfId="14935"/>
    <tableColumn id="1475" xr3:uid="{4CB3FDA8-471B-45FA-B326-C0C99206436E}" name="Column1451" dataDxfId="14934"/>
    <tableColumn id="1476" xr3:uid="{19DE794B-2D58-4307-8F67-A017FACE2A6B}" name="Column1452" dataDxfId="14933"/>
    <tableColumn id="1477" xr3:uid="{77B78CDA-A155-46F2-8BD5-E63C6902DA5D}" name="Column1453" dataDxfId="14932"/>
    <tableColumn id="1478" xr3:uid="{CB5148A5-1DF6-4FB3-BAE6-02E5787A1D94}" name="Column1454" dataDxfId="14931"/>
    <tableColumn id="1479" xr3:uid="{75B1156E-D3CB-4374-A841-20FE5E0D9746}" name="Column1455" dataDxfId="14930"/>
    <tableColumn id="1480" xr3:uid="{CFEE6AE0-C332-44FB-B2D6-15FFA12587E9}" name="Column1456" dataDxfId="14929"/>
    <tableColumn id="1481" xr3:uid="{06D5D2C4-7450-4BB6-81E8-90A9F19FFFC4}" name="Column1457" dataDxfId="14928"/>
    <tableColumn id="1482" xr3:uid="{96CF6790-45A0-4A36-BADE-8445095CC03A}" name="Column1458" dataDxfId="14927"/>
    <tableColumn id="1483" xr3:uid="{2E25A0E6-EAFA-45FA-A5CC-4936861D2B56}" name="Column1459" dataDxfId="14926"/>
    <tableColumn id="1484" xr3:uid="{109F1DFA-076C-4221-B5F3-759A4AB2EFC3}" name="Column1460" dataDxfId="14925"/>
    <tableColumn id="1485" xr3:uid="{0DAEDF4B-32C3-455B-AA68-EBD406FA1904}" name="Column1461" dataDxfId="14924"/>
    <tableColumn id="1486" xr3:uid="{9563B051-4991-4B82-92CE-1BA9F1D2FB0E}" name="Column1462" dataDxfId="14923"/>
    <tableColumn id="1487" xr3:uid="{AF621975-08CD-4740-91E9-219C1C764A97}" name="Column1463" dataDxfId="14922"/>
    <tableColumn id="1488" xr3:uid="{264B7D0E-F5C9-4BA3-AC6C-DCDED532519E}" name="Column1464" dataDxfId="14921"/>
    <tableColumn id="1489" xr3:uid="{39EA7A43-65AE-474D-B09C-23A91915C5DC}" name="Column1465" dataDxfId="14920"/>
    <tableColumn id="1490" xr3:uid="{3AF93A20-DA46-4D01-9C69-9CBDCFA02A34}" name="Column1466" dataDxfId="14919"/>
    <tableColumn id="1491" xr3:uid="{B67FDC87-E60F-495E-B0AC-5F0FDB85306A}" name="Column1467" dataDxfId="14918"/>
    <tableColumn id="1492" xr3:uid="{777A2240-DA30-4610-9A82-419E10B70305}" name="Column1468" dataDxfId="14917"/>
    <tableColumn id="1493" xr3:uid="{412C0C0C-1B7B-4343-83F9-77422A353EC3}" name="Column1469" dataDxfId="14916"/>
    <tableColumn id="1494" xr3:uid="{0D1761D6-028D-4154-B5D1-947C14BB0D10}" name="Column1470" dataDxfId="14915"/>
    <tableColumn id="1495" xr3:uid="{A09FA32D-3758-4EF2-8D40-6FA60C472EBF}" name="Column1471" dataDxfId="14914"/>
    <tableColumn id="1496" xr3:uid="{4875DF20-357B-4A9B-84E3-C29386BA817A}" name="Column1472" dataDxfId="14913"/>
    <tableColumn id="1497" xr3:uid="{D36ED664-8497-49FE-B9B0-95FFA538F86A}" name="Column1473" dataDxfId="14912"/>
    <tableColumn id="1498" xr3:uid="{FD2DC11A-8846-4620-BE8C-06EC52B1A36D}" name="Column1474" dataDxfId="14911"/>
    <tableColumn id="1499" xr3:uid="{76545E60-CDAF-48AE-AA16-BDABDEB5CE2D}" name="Column1475" dataDxfId="14910"/>
    <tableColumn id="1500" xr3:uid="{03BB69C4-7774-4F74-94BF-60021932A12B}" name="Column1476" dataDxfId="14909"/>
    <tableColumn id="1501" xr3:uid="{C9F2842B-FDF5-408C-BA94-44B13304B136}" name="Column1477" dataDxfId="14908"/>
    <tableColumn id="1502" xr3:uid="{DDBD0310-6434-4BC5-8434-78B9880AEAAA}" name="Column1478" dataDxfId="14907"/>
    <tableColumn id="1503" xr3:uid="{BC1C569A-67D1-4035-8706-E928C4826236}" name="Column1479" dataDxfId="14906"/>
    <tableColumn id="1504" xr3:uid="{C7B0A219-D657-4505-B2E5-E22C624C059A}" name="Column1480" dataDxfId="14905"/>
    <tableColumn id="1505" xr3:uid="{0BFB5F99-B3E2-4F7E-9E1B-17BADDC548BC}" name="Column1481" dataDxfId="14904"/>
    <tableColumn id="1506" xr3:uid="{FB5F00FF-3037-486B-9481-94D11B04E149}" name="Column1482" dataDxfId="14903"/>
    <tableColumn id="1507" xr3:uid="{6080A60A-040B-4F8F-A04B-DDC17CEFEA84}" name="Column1483" dataDxfId="14902"/>
    <tableColumn id="1508" xr3:uid="{F2379814-335D-4860-8F60-0BEFFE94D2DB}" name="Column1484" dataDxfId="14901"/>
    <tableColumn id="1509" xr3:uid="{242FA6DB-DDEE-4F6E-9D8B-4CF71B8533E7}" name="Column1485" dataDxfId="14900"/>
    <tableColumn id="1510" xr3:uid="{73C48B25-E99F-4ACA-A776-97A0EF789859}" name="Column1486" dataDxfId="14899"/>
    <tableColumn id="1511" xr3:uid="{A424E26A-D710-4593-AF69-890EAACC62EE}" name="Column1487" dataDxfId="14898"/>
    <tableColumn id="1512" xr3:uid="{0F73B004-61DE-4E79-B03D-486941A1DF79}" name="Column1488" dataDxfId="14897"/>
    <tableColumn id="1513" xr3:uid="{5F4C481C-BB60-41EA-874E-CB6CD2829858}" name="Column1489" dataDxfId="14896"/>
    <tableColumn id="1514" xr3:uid="{233B98A1-1CE7-4ECC-88D7-AB033F4A4B90}" name="Column1490" dataDxfId="14895"/>
    <tableColumn id="1515" xr3:uid="{410B0510-1E14-4E04-BAE2-8DB3174476FF}" name="Column1491" dataDxfId="14894"/>
    <tableColumn id="1516" xr3:uid="{66C878AB-3F1D-44C9-B0D2-0691FB3A812F}" name="Column1492" dataDxfId="14893"/>
    <tableColumn id="1517" xr3:uid="{EA3DB2FC-D9DF-460B-AB0A-4570A3EACFE3}" name="Column1493" dataDxfId="14892"/>
    <tableColumn id="1518" xr3:uid="{575205BD-EFF5-411E-8B4C-73AA1559A940}" name="Column1494" dataDxfId="14891"/>
    <tableColumn id="1519" xr3:uid="{023E2260-5668-4E00-8DCD-2DE1C5CDC48B}" name="Column1495" dataDxfId="14890"/>
    <tableColumn id="1520" xr3:uid="{24620001-C787-4FE9-A4EB-F53396BB838E}" name="Column1496" dataDxfId="14889"/>
    <tableColumn id="1521" xr3:uid="{B3218740-063A-4F6A-BA21-869AC12501AF}" name="Column1497" dataDxfId="14888"/>
    <tableColumn id="1522" xr3:uid="{3B58B78C-878F-4F71-B46A-90E20BF83BFC}" name="Column1498" dataDxfId="14887"/>
    <tableColumn id="1523" xr3:uid="{42BBCB1F-DEF2-4298-A5F4-DE2662C1A23F}" name="Column1499" dataDxfId="14886"/>
    <tableColumn id="1524" xr3:uid="{0A278F3A-1D6D-4568-AF63-E6A0335A965C}" name="Column1500" dataDxfId="14885"/>
    <tableColumn id="1525" xr3:uid="{F8B9F845-379E-4A43-8257-854D22FFDF53}" name="Column1501" dataDxfId="14884"/>
    <tableColumn id="1526" xr3:uid="{1F844651-7278-4F74-95A0-3B066A4938D0}" name="Column1502" dataDxfId="14883"/>
    <tableColumn id="1527" xr3:uid="{E56DA0B0-9180-4788-8A47-2E121250E746}" name="Column1503" dataDxfId="14882"/>
    <tableColumn id="1528" xr3:uid="{41CD375A-84B4-4A88-AEAE-E9B497C2AC10}" name="Column1504" dataDxfId="14881"/>
    <tableColumn id="1529" xr3:uid="{F6E3B3B0-6016-4F47-862D-E3756D696228}" name="Column1505" dataDxfId="14880"/>
    <tableColumn id="1530" xr3:uid="{8D7BA9E1-6D4D-4B90-AC00-7FCCDF573326}" name="Column1506" dataDxfId="14879"/>
    <tableColumn id="1531" xr3:uid="{038DC78C-ADC6-479A-BB55-14FAC4026BD9}" name="Column1507" dataDxfId="14878"/>
    <tableColumn id="1532" xr3:uid="{64453488-94FD-43E6-B1C8-0B2D57B4BE5E}" name="Column1508" dataDxfId="14877"/>
    <tableColumn id="1533" xr3:uid="{D4021AC8-0352-45F1-A2B3-B96EEF222291}" name="Column1509" dataDxfId="14876"/>
    <tableColumn id="1534" xr3:uid="{03492975-9C43-4659-8271-DD19BB71F30E}" name="Column1510" dataDxfId="14875"/>
    <tableColumn id="1535" xr3:uid="{A6680BE5-BC9B-4537-A61A-E8474137D74B}" name="Column1511" dataDxfId="14874"/>
    <tableColumn id="1536" xr3:uid="{2D907A4F-0634-44AF-A68C-ED94A6B8715D}" name="Column1512" dataDxfId="14873"/>
    <tableColumn id="1537" xr3:uid="{D1CB889C-32C0-4812-9C8B-E2940DE81441}" name="Column1513" dataDxfId="14872"/>
    <tableColumn id="1538" xr3:uid="{4D28EAA9-4356-45AF-9B36-CDBB28A87240}" name="Column1514" dataDxfId="14871"/>
    <tableColumn id="1539" xr3:uid="{F2DFF962-B716-4CA0-8EA0-04FC54B39DA7}" name="Column1515" dataDxfId="14870"/>
    <tableColumn id="1540" xr3:uid="{636477B5-AC54-44BC-905D-E29C4BF0154F}" name="Column1516" dataDxfId="14869"/>
    <tableColumn id="1541" xr3:uid="{FE95FE36-602B-4767-A7E1-E3186A6A882E}" name="Column1517" dataDxfId="14868"/>
    <tableColumn id="1542" xr3:uid="{732CD1F7-3BFC-449D-B115-B54C2F532E52}" name="Column1518" dataDxfId="14867"/>
    <tableColumn id="1543" xr3:uid="{C2EEA399-8458-4267-B73B-E763375EA5C2}" name="Column1519" dataDxfId="14866"/>
    <tableColumn id="1544" xr3:uid="{E051CF9B-D838-49B1-8160-B5F795E62F02}" name="Column1520" dataDxfId="14865"/>
    <tableColumn id="1545" xr3:uid="{7604F8C8-ED4B-461A-B992-93D694F50917}" name="Column1521" dataDxfId="14864"/>
    <tableColumn id="1546" xr3:uid="{5B13E146-2560-42F5-A078-D8D22652CE9E}" name="Column1522" dataDxfId="14863"/>
    <tableColumn id="1547" xr3:uid="{C876405B-E345-455E-AB8C-C9063B8398AE}" name="Column1523" dataDxfId="14862"/>
    <tableColumn id="1548" xr3:uid="{9814B211-8FEE-490A-A668-6D1891940288}" name="Column1524" dataDxfId="14861"/>
    <tableColumn id="1549" xr3:uid="{D9D9EA36-6E59-4C86-910E-7DFDB95632AE}" name="Column1525" dataDxfId="14860"/>
    <tableColumn id="1550" xr3:uid="{0621D3D1-8A59-4461-BEDB-44316CF1EDFE}" name="Column1526" dataDxfId="14859"/>
    <tableColumn id="1551" xr3:uid="{C6EE4721-886F-4864-B704-CC37DBA4B62A}" name="Column1527" dataDxfId="14858"/>
    <tableColumn id="1552" xr3:uid="{72E61677-E303-4BBD-9FE9-6A40A83B3022}" name="Column1528" dataDxfId="14857"/>
    <tableColumn id="1553" xr3:uid="{3D31D1B6-8B8A-465C-BC30-C44874379F26}" name="Column1529" dataDxfId="14856"/>
    <tableColumn id="1554" xr3:uid="{2D834C41-ABF6-4A27-AF4D-2554E457927F}" name="Column1530" dataDxfId="14855"/>
    <tableColumn id="1555" xr3:uid="{16E4A009-B609-4EF8-A7C4-6D7CB4A39163}" name="Column1531" dataDxfId="14854"/>
    <tableColumn id="1556" xr3:uid="{D3AA56E8-5191-467E-A6A8-29C86960B36E}" name="Column1532" dataDxfId="14853"/>
    <tableColumn id="1557" xr3:uid="{C09F1DFD-881E-4812-8618-4314B431CBAD}" name="Column1533" dataDxfId="14852"/>
    <tableColumn id="1558" xr3:uid="{5BD31787-282E-422F-A83B-50B084FBB0E0}" name="Column1534" dataDxfId="14851"/>
    <tableColumn id="1559" xr3:uid="{DE76D782-4B3E-40DD-8D50-2254835448FC}" name="Column1535" dataDxfId="14850"/>
    <tableColumn id="1560" xr3:uid="{3F5B74BF-F89A-4D0D-80EB-54A3DB28D1B4}" name="Column1536" dataDxfId="14849"/>
    <tableColumn id="1561" xr3:uid="{82E8AD81-3C60-4D59-A5B7-9533AA26DA8D}" name="Column1537" dataDxfId="14848"/>
    <tableColumn id="1562" xr3:uid="{42AF53B4-A7C8-46D0-8EFB-4BF8A7AAF255}" name="Column1538" dataDxfId="14847"/>
    <tableColumn id="1563" xr3:uid="{9BA24045-6B8B-4259-AEDC-E7F8C0DD093D}" name="Column1539" dataDxfId="14846"/>
    <tableColumn id="1564" xr3:uid="{9A3CF03F-4260-43DD-9EBF-ABE98F53B96C}" name="Column1540" dataDxfId="14845"/>
    <tableColumn id="1565" xr3:uid="{66A1CB8C-8D8D-44D5-AE7D-DCE521F8790D}" name="Column1541" dataDxfId="14844"/>
    <tableColumn id="1566" xr3:uid="{B3B7C414-5C17-41B9-8D3F-2F8F32D8C728}" name="Column1542" dataDxfId="14843"/>
    <tableColumn id="1567" xr3:uid="{1B5EA3B4-D040-4919-9244-F5348E6B300D}" name="Column1543" dataDxfId="14842"/>
    <tableColumn id="1568" xr3:uid="{6AD5A2B9-772A-4EF0-A738-E75BD094BEAC}" name="Column1544" dataDxfId="14841"/>
    <tableColumn id="1569" xr3:uid="{92BEEBAB-2F2B-4368-86BB-19E49EDC533D}" name="Column1545" dataDxfId="14840"/>
    <tableColumn id="1570" xr3:uid="{4BE433DB-6506-4FD8-9FC7-B9E056132512}" name="Column1546" dataDxfId="14839"/>
    <tableColumn id="1571" xr3:uid="{16AC810D-2212-471A-B540-5DE115750455}" name="Column1547" dataDxfId="14838"/>
    <tableColumn id="1572" xr3:uid="{B08B7E74-2B43-4374-9BC2-B3D11CCC8FC4}" name="Column1548" dataDxfId="14837"/>
    <tableColumn id="1573" xr3:uid="{9D733359-9933-4535-8987-0244D2CB2DFA}" name="Column1549" dataDxfId="14836"/>
    <tableColumn id="1574" xr3:uid="{436987B3-159F-4821-8252-A243852D02FD}" name="Column1550" dataDxfId="14835"/>
    <tableColumn id="1575" xr3:uid="{E9DFAD30-9B1C-46B9-B49A-B10F6B327387}" name="Column1551" dataDxfId="14834"/>
    <tableColumn id="1576" xr3:uid="{DF013EDF-60D2-4D1E-96AC-2D5757274A1F}" name="Column1552" dataDxfId="14833"/>
    <tableColumn id="1577" xr3:uid="{2E7C756F-3D62-44E0-B2C6-9A59A00FA548}" name="Column1553" dataDxfId="14832"/>
    <tableColumn id="1578" xr3:uid="{CFC9B1CC-96F4-4F7F-964A-B9E6A7A9790E}" name="Column1554" dataDxfId="14831"/>
    <tableColumn id="1579" xr3:uid="{CB5FFFCD-6904-4303-A855-23DB5DB0AABA}" name="Column1555" dataDxfId="14830"/>
    <tableColumn id="1580" xr3:uid="{707A735F-8B13-46D5-B917-5E30D90BE0BB}" name="Column1556" dataDxfId="14829"/>
    <tableColumn id="1581" xr3:uid="{F8799069-A9E7-4BB0-AC41-F3CA1E996FFC}" name="Column1557" dataDxfId="14828"/>
    <tableColumn id="1582" xr3:uid="{9A7F4ABF-A0C0-4200-B857-72C8FB7D8EEF}" name="Column1558" dataDxfId="14827"/>
    <tableColumn id="1583" xr3:uid="{FAE8A20E-D200-4B51-A08C-0AC96A72D71B}" name="Column1559" dataDxfId="14826"/>
    <tableColumn id="1584" xr3:uid="{74BEF8E3-F932-4DF7-96B2-81D74F17D998}" name="Column1560" dataDxfId="14825"/>
    <tableColumn id="1585" xr3:uid="{70D814B4-5648-443F-A24E-6DC57327AFF5}" name="Column1561" dataDxfId="14824"/>
    <tableColumn id="1586" xr3:uid="{1069EDFC-88CE-47E5-9763-1A2876E5FF81}" name="Column1562" dataDxfId="14823"/>
    <tableColumn id="1587" xr3:uid="{19A9F88E-4A8B-4D7F-859D-C7922682EF25}" name="Column1563" dataDxfId="14822"/>
    <tableColumn id="1588" xr3:uid="{B9218AFD-DCE1-4640-BD61-B279C64BF003}" name="Column1564" dataDxfId="14821"/>
    <tableColumn id="1589" xr3:uid="{8EFBF587-F4A7-4C42-A8A9-30C02878D18C}" name="Column1565" dataDxfId="14820"/>
    <tableColumn id="1590" xr3:uid="{CA76E821-1FD4-4B79-88A5-57F50FD79260}" name="Column1566" dataDxfId="14819"/>
    <tableColumn id="1591" xr3:uid="{94CEFE9B-3994-438A-8113-30C8F7002A3C}" name="Column1567" dataDxfId="14818"/>
    <tableColumn id="1592" xr3:uid="{44DAB249-C563-4367-9FB2-BF51775CF610}" name="Column1568" dataDxfId="14817"/>
    <tableColumn id="1593" xr3:uid="{E8D0A852-576A-4C54-97D9-F14B9B774D20}" name="Column1569" dataDxfId="14816"/>
    <tableColumn id="1594" xr3:uid="{F94D5135-B6EA-42D0-AB37-B5363962348D}" name="Column1570" dataDxfId="14815"/>
    <tableColumn id="1595" xr3:uid="{216AF3C4-29DF-4730-B080-CE9250B567CE}" name="Column1571" dataDxfId="14814"/>
    <tableColumn id="1596" xr3:uid="{4CA311EA-F8C2-421E-920A-C42B13A95B3B}" name="Column1572" dataDxfId="14813"/>
    <tableColumn id="1597" xr3:uid="{CF61B0BB-510E-4D3C-A11A-A4C897FD54E6}" name="Column1573" dataDxfId="14812"/>
    <tableColumn id="1598" xr3:uid="{C0FDF04E-9691-4B33-8C1C-E428FE20CF8E}" name="Column1574" dataDxfId="14811"/>
    <tableColumn id="1599" xr3:uid="{C23C482F-A4FE-40B9-A2FC-9E8D1A243E2D}" name="Column1575" dataDxfId="14810"/>
    <tableColumn id="1600" xr3:uid="{BC3777DF-BEE7-4ABD-AEC7-8783AC806AF0}" name="Column1576" dataDxfId="14809"/>
    <tableColumn id="1601" xr3:uid="{A6176D83-70DD-4272-9460-052CCEE11C99}" name="Column1577" dataDxfId="14808"/>
    <tableColumn id="1602" xr3:uid="{A019828B-3F81-4AA6-95B9-AAD8C924ED57}" name="Column1578" dataDxfId="14807"/>
    <tableColumn id="1603" xr3:uid="{690BE806-0757-4C7C-8D52-98E7D42ADEF1}" name="Column1579" dataDxfId="14806"/>
    <tableColumn id="1604" xr3:uid="{B3AA41F1-2427-4959-8E84-F143F004E781}" name="Column1580" dataDxfId="14805"/>
    <tableColumn id="1605" xr3:uid="{1B31C5DC-D8AF-4710-8664-5EFB9F0CAE22}" name="Column1581" dataDxfId="14804"/>
    <tableColumn id="1606" xr3:uid="{5A9EB588-FA84-499C-BF7C-ABAF4F3D8145}" name="Column1582" dataDxfId="14803"/>
    <tableColumn id="1607" xr3:uid="{82C77619-D3E3-4F4D-A3F3-DECA84D5C1BC}" name="Column1583" dataDxfId="14802"/>
    <tableColumn id="1608" xr3:uid="{1F04CAB7-0495-4718-A522-860984D3E8F5}" name="Column1584" dataDxfId="14801"/>
    <tableColumn id="1609" xr3:uid="{6726B264-8C8A-4B10-9F65-6FBFEEAE7F14}" name="Column1585" dataDxfId="14800"/>
    <tableColumn id="1610" xr3:uid="{30595E7E-B6E9-42D3-9AB8-3635914D9BA7}" name="Column1586" dataDxfId="14799"/>
    <tableColumn id="1611" xr3:uid="{2099DFF3-F509-4F90-803F-C5E8A1C35288}" name="Column1587" dataDxfId="14798"/>
    <tableColumn id="1612" xr3:uid="{68E147C2-24E5-429D-9F0C-AA25AA37ADCE}" name="Column1588" dataDxfId="14797"/>
    <tableColumn id="1613" xr3:uid="{647FA443-1EE1-4B26-8D11-0201E396356F}" name="Column1589" dataDxfId="14796"/>
    <tableColumn id="1614" xr3:uid="{99BE82A5-619F-4DDE-9056-C8AA17C93C48}" name="Column1590" dataDxfId="14795"/>
    <tableColumn id="1615" xr3:uid="{4DD92BC5-0E9A-40EE-8FDC-520F1E5EB151}" name="Column1591" dataDxfId="14794"/>
    <tableColumn id="1616" xr3:uid="{2A3D7641-E8B2-497B-B441-4F866355504A}" name="Column1592" dataDxfId="14793"/>
    <tableColumn id="1617" xr3:uid="{4421A749-0111-4154-8E01-F7BCC2DA1601}" name="Column1593" dataDxfId="14792"/>
    <tableColumn id="1618" xr3:uid="{F782EA3E-F5CB-4F03-8693-57B931798D70}" name="Column1594" dataDxfId="14791"/>
    <tableColumn id="1619" xr3:uid="{B9C7AC70-91BA-483B-B3ED-E4834D0E4F54}" name="Column1595" dataDxfId="14790"/>
    <tableColumn id="1620" xr3:uid="{961DE007-D0D0-404A-BC9B-21DC57C5D758}" name="Column1596" dataDxfId="14789"/>
    <tableColumn id="1621" xr3:uid="{56AD68DA-5E61-478A-8AD0-4FF3A09DE217}" name="Column1597" dataDxfId="14788"/>
    <tableColumn id="1622" xr3:uid="{459C0CE2-C748-4D44-A7BC-D91D082356C9}" name="Column1598" dataDxfId="14787"/>
    <tableColumn id="1623" xr3:uid="{5B971D35-265F-42AE-816A-4ACEA37D1D81}" name="Column1599" dataDxfId="14786"/>
    <tableColumn id="1624" xr3:uid="{ADF40A75-D067-479D-9E75-CB6B20433D83}" name="Column1600" dataDxfId="14785"/>
    <tableColumn id="1625" xr3:uid="{B33D8235-03DC-450F-8ACF-D789BF0F1EDB}" name="Column1601" dataDxfId="14784"/>
    <tableColumn id="1626" xr3:uid="{2E38CA84-A97F-475B-B1F7-E1A665F75C43}" name="Column1602" dataDxfId="14783"/>
    <tableColumn id="1627" xr3:uid="{53D0E92F-32BD-4571-A09B-B8DA8448C290}" name="Column1603" dataDxfId="14782"/>
    <tableColumn id="1628" xr3:uid="{BE805853-57FA-4788-9187-3905CBE7D72F}" name="Column1604" dataDxfId="14781"/>
    <tableColumn id="1629" xr3:uid="{E5853314-8DF3-4BC1-A1BD-2B4372CFA623}" name="Column1605" dataDxfId="14780"/>
    <tableColumn id="1630" xr3:uid="{98EF5FBA-D7C7-4355-A388-D9E2567B7668}" name="Column1606" dataDxfId="14779"/>
    <tableColumn id="1631" xr3:uid="{E9D16E5F-06F5-4682-8234-DB3FB74B8D4F}" name="Column1607" dataDxfId="14778"/>
    <tableColumn id="1632" xr3:uid="{4F517719-5762-4158-8708-BE7682266970}" name="Column1608" dataDxfId="14777"/>
    <tableColumn id="1633" xr3:uid="{3B05A3E3-70FD-4FCC-BFC6-363524905B93}" name="Column1609" dataDxfId="14776"/>
    <tableColumn id="1634" xr3:uid="{4BC81DB5-79F6-462F-AB4C-29F1ED721585}" name="Column1610" dataDxfId="14775"/>
    <tableColumn id="1635" xr3:uid="{8DAAD534-0AE0-4F73-B761-B63028374847}" name="Column1611" dataDxfId="14774"/>
    <tableColumn id="1636" xr3:uid="{9004183D-DE5B-4728-B74C-24636F336D46}" name="Column1612" dataDxfId="14773"/>
    <tableColumn id="1637" xr3:uid="{A9ABED9F-FE71-4156-9802-B79E6469DF50}" name="Column1613" dataDxfId="14772"/>
    <tableColumn id="1638" xr3:uid="{CB795E68-60C8-4241-957C-3F63460D29BA}" name="Column1614" dataDxfId="14771"/>
    <tableColumn id="1639" xr3:uid="{7E8D49C1-C762-4692-B709-3BE4918A6B0A}" name="Column1615" dataDxfId="14770"/>
    <tableColumn id="1640" xr3:uid="{8E352CA7-BFD5-4A0C-8A20-6391A8DA18C2}" name="Column1616" dataDxfId="14769"/>
    <tableColumn id="1641" xr3:uid="{B9A4E184-B4A1-4C74-A726-EE858A3D5F3E}" name="Column1617" dataDxfId="14768"/>
    <tableColumn id="1642" xr3:uid="{A857B6C6-2867-4BE0-ADE8-4DED2FE0A463}" name="Column1618" dataDxfId="14767"/>
    <tableColumn id="1643" xr3:uid="{8C8A56EC-F08B-461A-85B4-898590551C93}" name="Column1619" dataDxfId="14766"/>
    <tableColumn id="1644" xr3:uid="{3363BCA0-B935-4EFF-9A17-D332DD000BC0}" name="Column1620" dataDxfId="14765"/>
    <tableColumn id="1645" xr3:uid="{1F502A74-F439-4C8B-8581-481DAFB804C4}" name="Column1621" dataDxfId="14764"/>
    <tableColumn id="1646" xr3:uid="{312F1CBF-5D48-443B-9B06-7FDB34F5FDEF}" name="Column1622" dataDxfId="14763"/>
    <tableColumn id="1647" xr3:uid="{4DD674D7-CF51-404E-BC63-C63756145BCD}" name="Column1623" dataDxfId="14762"/>
    <tableColumn id="1648" xr3:uid="{B4AF0FAB-372F-4359-BE0D-C10C262445D8}" name="Column1624" dataDxfId="14761"/>
    <tableColumn id="1649" xr3:uid="{5CAB535D-7CD8-416C-9803-657935B32934}" name="Column1625" dataDxfId="14760"/>
    <tableColumn id="1650" xr3:uid="{4B2F58CE-5BE2-47B7-A353-554FCDA0802E}" name="Column1626" dataDxfId="14759"/>
    <tableColumn id="1651" xr3:uid="{657B22BE-6032-4733-86CA-658C19272D1D}" name="Column1627" dataDxfId="14758"/>
    <tableColumn id="1652" xr3:uid="{D03E7BAA-5CAA-4DB9-BFBD-876F4D35F13E}" name="Column1628" dataDxfId="14757"/>
    <tableColumn id="1653" xr3:uid="{508F5451-FB46-49BD-9F7D-3BFF2B408E91}" name="Column1629" dataDxfId="14756"/>
    <tableColumn id="1654" xr3:uid="{75585553-2BD5-4CF0-98B5-74B7445ED6A6}" name="Column1630" dataDxfId="14755"/>
    <tableColumn id="1655" xr3:uid="{A81D7876-094E-4903-AC81-E9943A2BEA09}" name="Column1631" dataDxfId="14754"/>
    <tableColumn id="1656" xr3:uid="{1C36CEC9-EFC1-414F-B5D1-967D9310C14B}" name="Column1632" dataDxfId="14753"/>
    <tableColumn id="1657" xr3:uid="{CA23E1A3-7586-4AAA-A33C-51EEB92F5D71}" name="Column1633" dataDxfId="14752"/>
    <tableColumn id="1658" xr3:uid="{E486091D-3B09-48EF-9AC2-EFFA2CCA1664}" name="Column1634" dataDxfId="14751"/>
    <tableColumn id="1659" xr3:uid="{E1CD8ED7-8A72-4D9E-87FB-FEAD4633D779}" name="Column1635" dataDxfId="14750"/>
    <tableColumn id="1660" xr3:uid="{40795AB2-59E4-4C8C-B87B-5DF25FA48907}" name="Column1636" dataDxfId="14749"/>
    <tableColumn id="1661" xr3:uid="{EA1DCE73-04B3-4BD3-8F54-C66D9313E40F}" name="Column1637" dataDxfId="14748"/>
    <tableColumn id="1662" xr3:uid="{BE9AAA18-106E-49A1-B34C-13B2D5FEC9FA}" name="Column1638" dataDxfId="14747"/>
    <tableColumn id="1663" xr3:uid="{09A52766-7040-4306-A12D-0AAF5FBCB7DA}" name="Column1639" dataDxfId="14746"/>
    <tableColumn id="1664" xr3:uid="{6EEED846-F0A2-438B-8A77-6B1DE90456CD}" name="Column1640" dataDxfId="14745"/>
    <tableColumn id="1665" xr3:uid="{C14F2B47-9BB2-422F-BB57-FA09D25F56AB}" name="Column1641" dataDxfId="14744"/>
    <tableColumn id="1666" xr3:uid="{A41DD75C-5B07-4B87-890F-115170622DBD}" name="Column1642" dataDxfId="14743"/>
    <tableColumn id="1667" xr3:uid="{E1C11E71-F006-48B7-A9F2-1B7F1555919B}" name="Column1643" dataDxfId="14742"/>
    <tableColumn id="1668" xr3:uid="{74A9C3E8-FCCB-4698-9872-8B603982FB17}" name="Column1644" dataDxfId="14741"/>
    <tableColumn id="1669" xr3:uid="{6FD2079B-6DDB-422D-8C72-0B6A116E8949}" name="Column1645" dataDxfId="14740"/>
    <tableColumn id="1670" xr3:uid="{000D8340-745F-431B-908E-5B8CF391FBB1}" name="Column1646" dataDxfId="14739"/>
    <tableColumn id="1671" xr3:uid="{12D74875-F99E-4F3B-85F2-619AEE677135}" name="Column1647" dataDxfId="14738"/>
    <tableColumn id="1672" xr3:uid="{1F37A2FD-7A75-47BD-91A6-E583FEF6EE59}" name="Column1648" dataDxfId="14737"/>
    <tableColumn id="1673" xr3:uid="{AFCFF1AB-185A-408F-BA47-DDA2ECE6D7A7}" name="Column1649" dataDxfId="14736"/>
    <tableColumn id="1674" xr3:uid="{1509E8CB-9317-4665-BE79-92779D9425D6}" name="Column1650" dataDxfId="14735"/>
    <tableColumn id="1675" xr3:uid="{EDBAE3AC-1CAA-40F8-8585-32EF61001EFA}" name="Column1651" dataDxfId="14734"/>
    <tableColumn id="1676" xr3:uid="{4FACFCD5-E948-4CFC-B387-10BCA3A790E6}" name="Column1652" dataDxfId="14733"/>
    <tableColumn id="1677" xr3:uid="{260F2C47-D6A9-4635-9AC4-DCBB345803E4}" name="Column1653" dataDxfId="14732"/>
    <tableColumn id="1678" xr3:uid="{544BBCB2-AEEC-476D-918F-EE8072842B39}" name="Column1654" dataDxfId="14731"/>
    <tableColumn id="1679" xr3:uid="{0386B13B-E0F5-4A49-AC3A-3FDAEE8A35F3}" name="Column1655" dataDxfId="14730"/>
    <tableColumn id="1680" xr3:uid="{1F67A2BF-1A15-45E6-8D8F-F1C3198605B3}" name="Column1656" dataDxfId="14729"/>
    <tableColumn id="1681" xr3:uid="{207B0C95-B5FF-4D79-B59C-52A259F6C7BB}" name="Column1657" dataDxfId="14728"/>
    <tableColumn id="1682" xr3:uid="{203BD259-79C3-46F3-84F6-56A1964C66C8}" name="Column1658" dataDxfId="14727"/>
    <tableColumn id="1683" xr3:uid="{D5196B60-44D2-47FC-8C05-96CA5821A08F}" name="Column1659" dataDxfId="14726"/>
    <tableColumn id="1684" xr3:uid="{90D3DBFF-8104-49FD-8A13-AD34C8635115}" name="Column1660" dataDxfId="14725"/>
    <tableColumn id="1685" xr3:uid="{1FDC0DEC-8D63-4336-B99A-CE70B43FF972}" name="Column1661" dataDxfId="14724"/>
    <tableColumn id="1686" xr3:uid="{BC67377C-11B0-434B-9254-D3FB534573E7}" name="Column1662" dataDxfId="14723"/>
    <tableColumn id="1687" xr3:uid="{4C931781-D619-4B0D-8D74-F31C984D9E4E}" name="Column1663" dataDxfId="14722"/>
    <tableColumn id="1688" xr3:uid="{39A10CDF-3FBD-44EA-8FFA-76A87C6BF685}" name="Column1664" dataDxfId="14721"/>
    <tableColumn id="1689" xr3:uid="{5698A3F2-D442-4BFE-B308-D9BCA2F75D74}" name="Column1665" dataDxfId="14720"/>
    <tableColumn id="1690" xr3:uid="{EE645707-E9C9-4640-A024-25AA76E81D4E}" name="Column1666" dataDxfId="14719"/>
    <tableColumn id="1691" xr3:uid="{5230C4A5-03D0-4FFC-AE41-77EAE7F61F75}" name="Column1667" dataDxfId="14718"/>
    <tableColumn id="1692" xr3:uid="{49F1B56E-BDA3-4AA0-80CF-46804E066DE0}" name="Column1668" dataDxfId="14717"/>
    <tableColumn id="1693" xr3:uid="{A0B259E6-12FD-4617-8F15-75D04B58A677}" name="Column1669" dataDxfId="14716"/>
    <tableColumn id="1694" xr3:uid="{C5FDD721-846A-4676-AB1C-DB6629333397}" name="Column1670" dataDxfId="14715"/>
    <tableColumn id="1695" xr3:uid="{2A920DE7-5397-424D-A930-C8A2A8790CF8}" name="Column1671" dataDxfId="14714"/>
    <tableColumn id="1696" xr3:uid="{2F8BF60F-065C-4CCA-B8FA-31E6A62C325E}" name="Column1672" dataDxfId="14713"/>
    <tableColumn id="1697" xr3:uid="{B72FD855-6B30-4EB0-AC6D-5E478FE02F51}" name="Column1673" dataDxfId="14712"/>
    <tableColumn id="1698" xr3:uid="{4A7C6FEE-6631-4F65-96B7-F37E82423740}" name="Column1674" dataDxfId="14711"/>
    <tableColumn id="1699" xr3:uid="{9E8342FB-1EAB-4BB7-BAE9-BFC6EDB8D5AC}" name="Column1675" dataDxfId="14710"/>
    <tableColumn id="1700" xr3:uid="{A6EF481F-0452-4E30-B4A9-9A1C25ABD296}" name="Column1676" dataDxfId="14709"/>
    <tableColumn id="1701" xr3:uid="{E5F42DD7-A37E-4B30-BAAC-3036D7B6EA70}" name="Column1677" dataDxfId="14708"/>
    <tableColumn id="1702" xr3:uid="{ECCBD696-6231-48A9-AA4C-7AE0285A73C8}" name="Column1678" dataDxfId="14707"/>
    <tableColumn id="1703" xr3:uid="{0DEE6CF9-C490-4007-90EF-FFCFD21AAB1C}" name="Column1679" dataDxfId="14706"/>
    <tableColumn id="1704" xr3:uid="{12013155-37A6-4625-93FC-731A628DBD34}" name="Column1680" dataDxfId="14705"/>
    <tableColumn id="1705" xr3:uid="{9EF1DA28-E61E-49F3-9B2F-B65CE4B5A270}" name="Column1681" dataDxfId="14704"/>
    <tableColumn id="1706" xr3:uid="{7EFBF3B0-71B4-4671-A855-E4C78C59E2DF}" name="Column1682" dataDxfId="14703"/>
    <tableColumn id="1707" xr3:uid="{DDA47EED-B04C-4DF9-9D65-0B536067EE23}" name="Column1683" dataDxfId="14702"/>
    <tableColumn id="1708" xr3:uid="{8422DC39-3D54-4F72-A461-03F5BFC6007B}" name="Column1684" dataDxfId="14701"/>
    <tableColumn id="1709" xr3:uid="{26D60B33-76E4-4A08-8E67-348D64DD5F18}" name="Column1685" dataDxfId="14700"/>
    <tableColumn id="1710" xr3:uid="{F1BA4117-AC21-4F35-AD66-8921FE7F4D52}" name="Column1686" dataDxfId="14699"/>
    <tableColumn id="1711" xr3:uid="{F05C3599-AFA8-4A24-85D4-AE317DCA0616}" name="Column1687" dataDxfId="14698"/>
    <tableColumn id="1712" xr3:uid="{52A8E699-5365-4167-B535-EA0829C316DF}" name="Column1688" dataDxfId="14697"/>
    <tableColumn id="1713" xr3:uid="{74568C5B-289F-4D98-80B9-37C500534250}" name="Column1689" dataDxfId="14696"/>
    <tableColumn id="1714" xr3:uid="{1F59CB50-2FBE-47F1-BDDA-445DB636E267}" name="Column1690" dataDxfId="14695"/>
    <tableColumn id="1715" xr3:uid="{47A11666-60A0-40C0-A1D2-D3ED36A1F6CC}" name="Column1691" dataDxfId="14694"/>
    <tableColumn id="1716" xr3:uid="{D9BB06D4-05D6-4781-AE18-0F01F878B13B}" name="Column1692" dataDxfId="14693"/>
    <tableColumn id="1717" xr3:uid="{D51431C5-1551-4989-81F8-B229FDCF191C}" name="Column1693" dataDxfId="14692"/>
    <tableColumn id="1718" xr3:uid="{2C9CF767-F4BA-4D70-99F1-4EC408B3AE8B}" name="Column1694" dataDxfId="14691"/>
    <tableColumn id="1719" xr3:uid="{5E79B252-C00E-4126-9836-2DF6964E8D6A}" name="Column1695" dataDxfId="14690"/>
    <tableColumn id="1720" xr3:uid="{547C1291-DAD9-4031-9637-3EEA13070B70}" name="Column1696" dataDxfId="14689"/>
    <tableColumn id="1721" xr3:uid="{2EC1B668-7429-4FD4-98B8-2FF3AC8B6A87}" name="Column1697" dataDxfId="14688"/>
    <tableColumn id="1722" xr3:uid="{73F96153-158F-4C2B-A623-7A3A08AAC69E}" name="Column1698" dataDxfId="14687"/>
    <tableColumn id="1723" xr3:uid="{59561F9F-5B38-4BA0-A370-5A0DFCD468E5}" name="Column1699" dataDxfId="14686"/>
    <tableColumn id="1724" xr3:uid="{7BC356BD-70CC-4CD4-820C-2CF152DCB219}" name="Column1700" dataDxfId="14685"/>
    <tableColumn id="1725" xr3:uid="{A7D98D10-6422-4DFC-A1E5-DDA2A8A9192A}" name="Column1701" dataDxfId="14684"/>
    <tableColumn id="1726" xr3:uid="{1F59EAE0-1B31-479F-8AA1-E005A154B6DF}" name="Column1702" dataDxfId="14683"/>
    <tableColumn id="1727" xr3:uid="{D3965666-D78A-4094-A9E7-B22ED21ED144}" name="Column1703" dataDxfId="14682"/>
    <tableColumn id="1728" xr3:uid="{4B0F6F89-C111-41AA-8DEF-2B83E88F1126}" name="Column1704" dataDxfId="14681"/>
    <tableColumn id="1729" xr3:uid="{99A25E86-B743-489E-A027-17CF60128CEB}" name="Column1705" dataDxfId="14680"/>
    <tableColumn id="1730" xr3:uid="{490DB858-A8C1-4F90-9AA8-4EFBB4FF494D}" name="Column1706" dataDxfId="14679"/>
    <tableColumn id="1731" xr3:uid="{E22F9AEA-0CCA-44CC-AC46-6ABD5ADA7685}" name="Column1707" dataDxfId="14678"/>
    <tableColumn id="1732" xr3:uid="{EF088C74-369D-47C9-8205-A6CAB730B05A}" name="Column1708" dataDxfId="14677"/>
    <tableColumn id="1733" xr3:uid="{DFD1B661-9E22-45C1-9046-A5724475B32F}" name="Column1709" dataDxfId="14676"/>
    <tableColumn id="1734" xr3:uid="{F08C6A29-2B5F-4C18-9B35-25876750D158}" name="Column1710" dataDxfId="14675"/>
    <tableColumn id="1735" xr3:uid="{0BDF5589-1D09-455C-BCE9-A8E4D0604E0E}" name="Column1711" dataDxfId="14674"/>
    <tableColumn id="1736" xr3:uid="{FDD989E8-5FCA-43E1-9662-022777BDC414}" name="Column1712" dataDxfId="14673"/>
    <tableColumn id="1737" xr3:uid="{41440A42-3678-4852-BECF-0D12E138295C}" name="Column1713" dataDxfId="14672"/>
    <tableColumn id="1738" xr3:uid="{DB87C395-8FEF-4CED-A8B4-EBD7DC9A5EDB}" name="Column1714" dataDxfId="14671"/>
    <tableColumn id="1739" xr3:uid="{560FB247-8F08-4433-B431-F32847FDD962}" name="Column1715" dataDxfId="14670"/>
    <tableColumn id="1740" xr3:uid="{24712A36-5E11-4C65-806E-EA9218BB1789}" name="Column1716" dataDxfId="14669"/>
    <tableColumn id="1741" xr3:uid="{23C593AA-C2DE-4A27-8859-DEF9EB39EA31}" name="Column1717" dataDxfId="14668"/>
    <tableColumn id="1742" xr3:uid="{0AC1AB62-18C7-4973-8689-4E4990C709D0}" name="Column1718" dataDxfId="14667"/>
    <tableColumn id="1743" xr3:uid="{EEEB6355-EF27-4FDD-AF4D-476BD2A25935}" name="Column1719" dataDxfId="14666"/>
    <tableColumn id="1744" xr3:uid="{10AB55A5-6F53-46D6-87B4-0CB53260D387}" name="Column1720" dataDxfId="14665"/>
    <tableColumn id="1745" xr3:uid="{3F11D92A-7E83-4F6D-9000-26A435D0BBC1}" name="Column1721" dataDxfId="14664"/>
    <tableColumn id="1746" xr3:uid="{DC3D0E2D-C823-4541-8992-8AB02281BB0F}" name="Column1722" dataDxfId="14663"/>
    <tableColumn id="1747" xr3:uid="{A37B077F-310E-4C94-AA63-B8A8CC4EC922}" name="Column1723" dataDxfId="14662"/>
    <tableColumn id="1748" xr3:uid="{EF9EC6DD-124D-41ED-B1B3-06FD25A2AC52}" name="Column1724" dataDxfId="14661"/>
    <tableColumn id="1749" xr3:uid="{10DAFAE7-E58D-46A5-B7F4-191E70E1E52F}" name="Column1725" dataDxfId="14660"/>
    <tableColumn id="1750" xr3:uid="{EFD358FA-98FD-410C-8FC0-E73A109E272A}" name="Column1726" dataDxfId="14659"/>
    <tableColumn id="1751" xr3:uid="{EBEFA839-A7E9-4ADD-9903-85996282BCA6}" name="Column1727" dataDxfId="14658"/>
    <tableColumn id="1752" xr3:uid="{3322867E-6793-455F-92D8-0B1C328A498B}" name="Column1728" dataDxfId="14657"/>
    <tableColumn id="1753" xr3:uid="{17D78413-A10C-4307-9241-087FC79A1BA5}" name="Column1729" dataDxfId="14656"/>
    <tableColumn id="1754" xr3:uid="{6FC6BD6E-1EEB-4E19-8A33-1EAC4CCEB9A0}" name="Column1730" dataDxfId="14655"/>
    <tableColumn id="1755" xr3:uid="{D4E8DCB1-2690-40BD-935D-678457D1D820}" name="Column1731" dataDxfId="14654"/>
    <tableColumn id="1756" xr3:uid="{3A207DBD-CCA2-45B0-BB1E-237DF4C95D2D}" name="Column1732" dataDxfId="14653"/>
    <tableColumn id="1757" xr3:uid="{2A062EBF-F911-4C14-B6BC-1DA21A9AE101}" name="Column1733" dataDxfId="14652"/>
    <tableColumn id="1758" xr3:uid="{24ED06FC-2DD3-4F22-8BBD-D2D67D404580}" name="Column1734" dataDxfId="14651"/>
    <tableColumn id="1759" xr3:uid="{166C91F1-65AD-4FFD-AAD4-61025A74FEE8}" name="Column1735" dataDxfId="14650"/>
    <tableColumn id="1760" xr3:uid="{2DBC75B9-A533-4316-AB6E-5940F908A1B9}" name="Column1736" dataDxfId="14649"/>
    <tableColumn id="1761" xr3:uid="{72D9D996-55E1-48AD-869A-1978F5557B4C}" name="Column1737" dataDxfId="14648"/>
    <tableColumn id="1762" xr3:uid="{95136E7B-4CF4-44F1-B2D8-77B33446C622}" name="Column1738" dataDxfId="14647"/>
    <tableColumn id="1763" xr3:uid="{E107770D-4F9E-47DD-887B-29D1FB2F2A09}" name="Column1739" dataDxfId="14646"/>
    <tableColumn id="1764" xr3:uid="{0F15912C-0CDA-4719-8C46-9EB3D95995D9}" name="Column1740" dataDxfId="14645"/>
    <tableColumn id="1765" xr3:uid="{0A5682CA-2EB3-4145-9145-D3E825D43769}" name="Column1741" dataDxfId="14644"/>
    <tableColumn id="1766" xr3:uid="{B41E8C4B-5386-470B-8AB7-6B1827062320}" name="Column1742" dataDxfId="14643"/>
    <tableColumn id="1767" xr3:uid="{A53A1101-1D97-4C48-8C00-DF2A6DF9C6B0}" name="Column1743" dataDxfId="14642"/>
    <tableColumn id="1768" xr3:uid="{76F524F3-FB64-45D7-A3D6-CEDBAFA5F344}" name="Column1744" dataDxfId="14641"/>
    <tableColumn id="1769" xr3:uid="{8A360872-BCA4-4087-9442-173723F6946D}" name="Column1745" dataDxfId="14640"/>
    <tableColumn id="1770" xr3:uid="{19C763B8-EF51-436F-9D77-219C0735F206}" name="Column1746" dataDxfId="14639"/>
    <tableColumn id="1771" xr3:uid="{E30AB554-B2CE-40ED-BD75-1C733520F491}" name="Column1747" dataDxfId="14638"/>
    <tableColumn id="1772" xr3:uid="{65C14250-5955-4DDE-96AE-B585322E7868}" name="Column1748" dataDxfId="14637"/>
    <tableColumn id="1773" xr3:uid="{52FFAEC9-13D6-4CE2-96AE-FA97139FDE99}" name="Column1749" dataDxfId="14636"/>
    <tableColumn id="1774" xr3:uid="{675AF0B3-6CF0-4512-A334-CECCC1D03B54}" name="Column1750" dataDxfId="14635"/>
    <tableColumn id="1775" xr3:uid="{A19B2F95-2079-4997-B89C-C9B849E9A964}" name="Column1751" dataDxfId="14634"/>
    <tableColumn id="1776" xr3:uid="{51C25592-DD68-41C6-8946-F618185EE569}" name="Column1752" dataDxfId="14633"/>
    <tableColumn id="1777" xr3:uid="{75C81B27-B6B4-4A6B-916E-A15537882792}" name="Column1753" dataDxfId="14632"/>
    <tableColumn id="1778" xr3:uid="{6F171779-0EDE-4AEF-8901-035E7307B894}" name="Column1754" dataDxfId="14631"/>
    <tableColumn id="1779" xr3:uid="{E7557205-5905-4C0C-918B-FE0228A0F1EE}" name="Column1755" dataDxfId="14630"/>
    <tableColumn id="1780" xr3:uid="{7ADBA262-7B56-4348-9B86-75F67B1E4F84}" name="Column1756" dataDxfId="14629"/>
    <tableColumn id="1781" xr3:uid="{87A33A21-7815-4472-A3A4-A780A18ADD94}" name="Column1757" dataDxfId="14628"/>
    <tableColumn id="1782" xr3:uid="{65CA370F-0616-44DA-AAED-A81DD83C7684}" name="Column1758" dataDxfId="14627"/>
    <tableColumn id="1783" xr3:uid="{17A04494-9332-404B-8F3E-98DD6A451D14}" name="Column1759" dataDxfId="14626"/>
    <tableColumn id="1784" xr3:uid="{A8533E5C-A658-45F8-9FB4-5F5C0293956B}" name="Column1760" dataDxfId="14625"/>
    <tableColumn id="1785" xr3:uid="{94F84AE1-DA80-4086-89DB-FB040D03D8F2}" name="Column1761" dataDxfId="14624"/>
    <tableColumn id="1786" xr3:uid="{0CAF8337-D9D2-4AC7-891D-164655D343B4}" name="Column1762" dataDxfId="14623"/>
    <tableColumn id="1787" xr3:uid="{6309C288-F1B6-4055-850E-70E8192DE93D}" name="Column1763" dataDxfId="14622"/>
    <tableColumn id="1788" xr3:uid="{F7FB4075-F2E2-4A58-AE6F-528AF82D2255}" name="Column1764" dataDxfId="14621"/>
    <tableColumn id="1789" xr3:uid="{2FA652FE-63F4-492F-8795-1EB1F933957B}" name="Column1765" dataDxfId="14620"/>
    <tableColumn id="1790" xr3:uid="{2F4405BF-64BE-4E2C-B0BF-81C1F942EDEF}" name="Column1766" dataDxfId="14619"/>
    <tableColumn id="1791" xr3:uid="{D546FA76-A0B0-47D5-A863-1CA76A1717B0}" name="Column1767" dataDxfId="14618"/>
    <tableColumn id="1792" xr3:uid="{36A31621-BAF2-4A70-942D-07BD413E03B2}" name="Column1768" dataDxfId="14617"/>
    <tableColumn id="1793" xr3:uid="{AF4CAED6-1652-44E1-AA9F-FB1FCC926DBF}" name="Column1769" dataDxfId="14616"/>
    <tableColumn id="1794" xr3:uid="{897938C8-B2A5-4469-B80F-8DC97F5346BF}" name="Column1770" dataDxfId="14615"/>
    <tableColumn id="1795" xr3:uid="{4AB05179-49A3-4750-A929-9D9AD4054879}" name="Column1771" dataDxfId="14614"/>
    <tableColumn id="1796" xr3:uid="{50F2A9E4-F772-4C2A-9DA1-76660DD0A4F0}" name="Column1772" dataDxfId="14613"/>
    <tableColumn id="1797" xr3:uid="{BEB6C940-396B-4ACA-96B9-3BE01F8CD2EB}" name="Column1773" dataDxfId="14612"/>
    <tableColumn id="1798" xr3:uid="{CBEDBDCB-820E-4BF9-91EE-E350AD9343A6}" name="Column1774" dataDxfId="14611"/>
    <tableColumn id="1799" xr3:uid="{81475E92-1125-4828-9142-8F0306572BF0}" name="Column1775" dataDxfId="14610"/>
    <tableColumn id="1800" xr3:uid="{185937FB-0E7D-4B0D-89CA-3C319EC4F5DD}" name="Column1776" dataDxfId="14609"/>
    <tableColumn id="1801" xr3:uid="{DB0D8121-AB30-4CEE-8E4E-33D73A130892}" name="Column1777" dataDxfId="14608"/>
    <tableColumn id="1802" xr3:uid="{F8B6C4FF-8987-4129-AB09-AA92F4D80EFD}" name="Column1778" dataDxfId="14607"/>
    <tableColumn id="1803" xr3:uid="{D15F4972-ED6B-4D04-B0A1-77B0457B4D94}" name="Column1779" dataDxfId="14606"/>
    <tableColumn id="1804" xr3:uid="{5E58657F-7EA8-4093-BE3C-CCE6437BB692}" name="Column1780" dataDxfId="14605"/>
    <tableColumn id="1805" xr3:uid="{109A5E6A-3CD6-4149-909B-372736796D0C}" name="Column1781" dataDxfId="14604"/>
    <tableColumn id="1806" xr3:uid="{262D60C5-ADC3-4A93-93C8-660475B93AD0}" name="Column1782" dataDxfId="14603"/>
    <tableColumn id="1807" xr3:uid="{EEE00D2D-D7AE-4809-9D95-3B7F14D81800}" name="Column1783" dataDxfId="14602"/>
    <tableColumn id="1808" xr3:uid="{02F67502-57D9-4B3F-B043-A6C1030FED6B}" name="Column1784" dataDxfId="14601"/>
    <tableColumn id="1809" xr3:uid="{0F75EC50-1B5C-49A6-8998-3C10CCFC4B97}" name="Column1785" dataDxfId="14600"/>
    <tableColumn id="1810" xr3:uid="{437AE941-B88B-4D4E-AB79-890E42C52135}" name="Column1786" dataDxfId="14599"/>
    <tableColumn id="1811" xr3:uid="{8329B156-E358-4FD1-A72C-491D2473E895}" name="Column1787" dataDxfId="14598"/>
    <tableColumn id="1812" xr3:uid="{AB35DBC3-BB67-4A78-B71A-D95642DA5763}" name="Column1788" dataDxfId="14597"/>
    <tableColumn id="1813" xr3:uid="{44EAC86F-18B2-4D25-909A-4F5A12E8AE5B}" name="Column1789" dataDxfId="14596"/>
    <tableColumn id="1814" xr3:uid="{37C26A9B-BAB3-4BCC-B6A1-BF1637E26CDA}" name="Column1790" dataDxfId="14595"/>
    <tableColumn id="1815" xr3:uid="{D81EB602-8726-4F99-A2BC-A0BB29196975}" name="Column1791" dataDxfId="14594"/>
    <tableColumn id="1816" xr3:uid="{47A110BA-D547-411B-A8EA-6F9D622A042A}" name="Column1792" dataDxfId="14593"/>
    <tableColumn id="1817" xr3:uid="{408B7D73-C0BE-40B7-9823-7D6DB20B8DB8}" name="Column1793" dataDxfId="14592"/>
    <tableColumn id="1818" xr3:uid="{618BD1C5-4FED-4E31-AE00-F830D4B753AD}" name="Column1794" dataDxfId="14591"/>
    <tableColumn id="1819" xr3:uid="{0EA7967B-604F-4FB5-BD55-32C619B8A9CC}" name="Column1795" dataDxfId="14590"/>
    <tableColumn id="1820" xr3:uid="{203A2A66-3459-4C4A-9594-5511104D0766}" name="Column1796" dataDxfId="14589"/>
    <tableColumn id="1821" xr3:uid="{78D82672-6CED-4B0C-AA46-BE181E4D6EB9}" name="Column1797" dataDxfId="14588"/>
    <tableColumn id="1822" xr3:uid="{815169BE-96CD-46B1-8FD9-23FCFED3D87A}" name="Column1798" dataDxfId="14587"/>
    <tableColumn id="1823" xr3:uid="{86B8834B-021B-4FBE-A9E1-8281B2EDE3BB}" name="Column1799" dataDxfId="14586"/>
    <tableColumn id="1824" xr3:uid="{A9485BF8-06ED-4B1D-97AE-826E6A1A1D22}" name="Column1800" dataDxfId="14585"/>
    <tableColumn id="1825" xr3:uid="{010B825D-9F1C-413E-A5AB-090D6ECA6D5B}" name="Column1801" dataDxfId="14584"/>
    <tableColumn id="1826" xr3:uid="{3C77D2BB-544D-474C-B820-A6D253CA78C9}" name="Column1802" dataDxfId="14583"/>
    <tableColumn id="1827" xr3:uid="{712A2AE8-0551-4756-BF1C-79FDBC554E8E}" name="Column1803" dataDxfId="14582"/>
    <tableColumn id="1828" xr3:uid="{93F67699-698A-4604-B76E-508A9E932130}" name="Column1804" dataDxfId="14581"/>
    <tableColumn id="1829" xr3:uid="{D4897BAF-1765-4A52-9D5B-35803CA467E9}" name="Column1805" dataDxfId="14580"/>
    <tableColumn id="1830" xr3:uid="{962E4565-AEAC-4424-9F3E-ED2CB123052C}" name="Column1806" dataDxfId="14579"/>
    <tableColumn id="1831" xr3:uid="{4BF89798-B041-4262-A7A5-4D6B16805C8A}" name="Column1807" dataDxfId="14578"/>
    <tableColumn id="1832" xr3:uid="{B3F9015E-4400-4352-878C-61D54D4E9E1C}" name="Column1808" dataDxfId="14577"/>
    <tableColumn id="1833" xr3:uid="{C7A98E15-E7AA-4172-9D4A-6B8C7D904848}" name="Column1809" dataDxfId="14576"/>
    <tableColumn id="1834" xr3:uid="{05053F06-AF0D-48B1-B30A-E4F8AD18B562}" name="Column1810" dataDxfId="14575"/>
    <tableColumn id="1835" xr3:uid="{FFBDBB8F-3E2F-4150-B6FC-C94636A1211C}" name="Column1811" dataDxfId="14574"/>
    <tableColumn id="1836" xr3:uid="{C6264E8C-5EB3-49A5-9B73-44823CF6B360}" name="Column1812" dataDxfId="14573"/>
    <tableColumn id="1837" xr3:uid="{BCA00AFA-EAA7-4199-8F74-A32525D1F24C}" name="Column1813" dataDxfId="14572"/>
    <tableColumn id="1838" xr3:uid="{A6E0FEAB-ADDB-43F3-B515-269D4269B689}" name="Column1814" dataDxfId="14571"/>
    <tableColumn id="1839" xr3:uid="{8B6065E1-7A40-4BB1-9E18-44AB0073B9D6}" name="Column1815" dataDxfId="14570"/>
    <tableColumn id="1840" xr3:uid="{14D5B284-B050-4748-89B4-30D4B4A60DD9}" name="Column1816" dataDxfId="14569"/>
    <tableColumn id="1841" xr3:uid="{5DEE55A4-E163-4FF6-8050-6018DEE7C979}" name="Column1817" dataDxfId="14568"/>
    <tableColumn id="1842" xr3:uid="{FA15ABEC-1230-4528-BF33-310AAC138601}" name="Column1818" dataDxfId="14567"/>
    <tableColumn id="1843" xr3:uid="{050FEA9E-B118-4A73-8CC3-6B82F765D87A}" name="Column1819" dataDxfId="14566"/>
    <tableColumn id="1844" xr3:uid="{57BDD431-B261-4DE0-8C6E-83D3F02B7A02}" name="Column1820" dataDxfId="14565"/>
    <tableColumn id="1845" xr3:uid="{5B095FAA-C5E5-40C9-8D65-616A06445821}" name="Column1821" dataDxfId="14564"/>
    <tableColumn id="1846" xr3:uid="{C8C3918C-1B04-442C-9F04-25F3733FBDE5}" name="Column1822" dataDxfId="14563"/>
    <tableColumn id="1847" xr3:uid="{B08852C8-7BFD-4DF2-B6E7-5C85B6D9FA3A}" name="Column1823" dataDxfId="14562"/>
    <tableColumn id="1848" xr3:uid="{B5FC00A9-1D60-41F5-851C-ED731B25B48C}" name="Column1824" dataDxfId="14561"/>
    <tableColumn id="1849" xr3:uid="{E13E1F29-C492-43A0-9C97-960BC2F2E936}" name="Column1825" dataDxfId="14560"/>
    <tableColumn id="1850" xr3:uid="{F3CD48F4-8971-4167-B1B7-19EEC2F36F98}" name="Column1826" dataDxfId="14559"/>
    <tableColumn id="1851" xr3:uid="{C1C7DDCF-C003-48A7-8CF7-DFC816D3476E}" name="Column1827" dataDxfId="14558"/>
    <tableColumn id="1852" xr3:uid="{B483DF28-287D-40BF-86A6-F07E5ABB41CB}" name="Column1828" dataDxfId="14557"/>
    <tableColumn id="1853" xr3:uid="{83B10AB0-F2E3-42DA-AD62-1E25A6DDEFED}" name="Column1829" dataDxfId="14556"/>
    <tableColumn id="1854" xr3:uid="{695625B0-E15C-44D2-8892-C777649441C1}" name="Column1830" dataDxfId="14555"/>
    <tableColumn id="1855" xr3:uid="{E8E18B26-9400-4FEE-A76A-9720D77F12C1}" name="Column1831" dataDxfId="14554"/>
    <tableColumn id="1856" xr3:uid="{547CD954-311C-4CB1-B9EE-B433F5718846}" name="Column1832" dataDxfId="14553"/>
    <tableColumn id="1857" xr3:uid="{CAAF9B7E-B2BF-46E6-808A-86210A543FD4}" name="Column1833" dataDxfId="14552"/>
    <tableColumn id="1858" xr3:uid="{B0C322F4-00EA-47FC-A4B3-D76654F9C375}" name="Column1834" dataDxfId="14551"/>
    <tableColumn id="1859" xr3:uid="{B3D6514B-6DD9-46FE-99FD-B1A581CCE5CE}" name="Column1835" dataDxfId="14550"/>
    <tableColumn id="1860" xr3:uid="{6B4ED08B-FABE-4E23-BCD8-275E6B81C01A}" name="Column1836" dataDxfId="14549"/>
    <tableColumn id="1861" xr3:uid="{F21F98B1-56CA-41A3-8856-04E026D67448}" name="Column1837" dataDxfId="14548"/>
    <tableColumn id="1862" xr3:uid="{4A89E3FA-AFE3-4611-AE17-7190A056A0CC}" name="Column1838" dataDxfId="14547"/>
    <tableColumn id="1863" xr3:uid="{AE4953B3-C67A-47D5-87F5-B1283D2F6E7D}" name="Column1839" dataDxfId="14546"/>
    <tableColumn id="1864" xr3:uid="{81963257-736B-403D-ADD3-AE4E46F2AC9D}" name="Column1840" dataDxfId="14545"/>
    <tableColumn id="1865" xr3:uid="{BCF5E1B2-0D2F-4CC8-B849-A316AA11E6FA}" name="Column1841" dataDxfId="14544"/>
    <tableColumn id="1866" xr3:uid="{427D8F1C-205E-434D-A133-F1F74864D599}" name="Column1842" dataDxfId="14543"/>
    <tableColumn id="1867" xr3:uid="{D184D02B-E0D8-4A6A-ACDD-C4F8555210F0}" name="Column1843" dataDxfId="14542"/>
    <tableColumn id="1868" xr3:uid="{AE5B1EEC-429B-476E-A2B8-0E4F0BA59321}" name="Column1844" dataDxfId="14541"/>
    <tableColumn id="1869" xr3:uid="{56AEBEE5-C45B-46D4-840C-72A1F2F1A2AD}" name="Column1845" dataDxfId="14540"/>
    <tableColumn id="1870" xr3:uid="{5ABA5533-6033-44E0-92C5-F8CC566158BA}" name="Column1846" dataDxfId="14539"/>
    <tableColumn id="1871" xr3:uid="{BB63E7FC-5524-4F41-9641-E56D2181F206}" name="Column1847" dataDxfId="14538"/>
    <tableColumn id="1872" xr3:uid="{7D785C26-2542-4B1E-BFBC-E8FF833F66A9}" name="Column1848" dataDxfId="14537"/>
    <tableColumn id="1873" xr3:uid="{00C1EAEC-E511-41FE-A993-C7847089FF63}" name="Column1849" dataDxfId="14536"/>
    <tableColumn id="1874" xr3:uid="{08266D8F-BDFD-49C2-A00C-94AACFD692FB}" name="Column1850" dataDxfId="14535"/>
    <tableColumn id="1875" xr3:uid="{7B614A00-C7FD-4940-BF96-0F8AE152071E}" name="Column1851" dataDxfId="14534"/>
    <tableColumn id="1876" xr3:uid="{104F4C71-A451-4CDC-AF51-014FEE1ADD82}" name="Column1852" dataDxfId="14533"/>
    <tableColumn id="1877" xr3:uid="{EA5520A5-ECF8-4CA6-B6A6-D8C2C57DC089}" name="Column1853" dataDxfId="14532"/>
    <tableColumn id="1878" xr3:uid="{8FF78D60-A593-4BAB-9EB6-835A14DB4994}" name="Column1854" dataDxfId="14531"/>
    <tableColumn id="1879" xr3:uid="{35391020-4891-4C55-9292-81C46FFAB0BB}" name="Column1855" dataDxfId="14530"/>
    <tableColumn id="1880" xr3:uid="{12AB97EF-AAB8-4712-9277-F3C500E9DE91}" name="Column1856" dataDxfId="14529"/>
    <tableColumn id="1881" xr3:uid="{907DC0BC-2D9C-4F56-A25D-F0A701FB4B2C}" name="Column1857" dataDxfId="14528"/>
    <tableColumn id="1882" xr3:uid="{2CC96EB9-1012-48BB-BE39-765464C37963}" name="Column1858" dataDxfId="14527"/>
    <tableColumn id="1883" xr3:uid="{7C8C8A7A-A166-4B4A-B64F-EF9D883ED667}" name="Column1859" dataDxfId="14526"/>
    <tableColumn id="1884" xr3:uid="{5288E2C1-A858-42FD-ADD5-F75D02DC3F8C}" name="Column1860" dataDxfId="14525"/>
    <tableColumn id="1885" xr3:uid="{637B53F4-C43E-4E93-9AC7-FE84FC122DF8}" name="Column1861" dataDxfId="14524"/>
    <tableColumn id="1886" xr3:uid="{EB0D1852-49D7-4043-BCC7-9A362EBEB7E7}" name="Column1862" dataDxfId="14523"/>
    <tableColumn id="1887" xr3:uid="{EDA93F90-9EB9-4C63-9DB4-FA9C3AD7801D}" name="Column1863" dataDxfId="14522"/>
    <tableColumn id="1888" xr3:uid="{D7FCB3B3-25D4-405C-809E-BB9AADEB754D}" name="Column1864" dataDxfId="14521"/>
    <tableColumn id="1889" xr3:uid="{30FAF749-1AFE-4E21-A797-D9C43385E969}" name="Column1865" dataDxfId="14520"/>
    <tableColumn id="1890" xr3:uid="{D328DB8B-70FD-4A61-A6C0-EF78362FE9C4}" name="Column1866" dataDxfId="14519"/>
    <tableColumn id="1891" xr3:uid="{4B1582CA-47F2-4280-A006-D69066F43171}" name="Column1867" dataDxfId="14518"/>
    <tableColumn id="1892" xr3:uid="{59C44946-1F74-4EBB-8AE1-E9E97B3E1248}" name="Column1868" dataDxfId="14517"/>
    <tableColumn id="1893" xr3:uid="{AC732987-378B-497C-8005-41729144A365}" name="Column1869" dataDxfId="14516"/>
    <tableColumn id="1894" xr3:uid="{CDA753C1-F78C-4E67-980E-40CE8AF5220B}" name="Column1870" dataDxfId="14515"/>
    <tableColumn id="1895" xr3:uid="{8D23CAA0-34C4-4427-AC34-D7B748C383F5}" name="Column1871" dataDxfId="14514"/>
    <tableColumn id="1896" xr3:uid="{D91B8C37-F262-47FB-980D-618BB79AC1FC}" name="Column1872" dataDxfId="14513"/>
    <tableColumn id="1897" xr3:uid="{34718489-1624-47CC-9BE6-2EC1B9C0B20E}" name="Column1873" dataDxfId="14512"/>
    <tableColumn id="1898" xr3:uid="{AEEC8382-8816-4C2A-A0FA-F811B8B16196}" name="Column1874" dataDxfId="14511"/>
    <tableColumn id="1899" xr3:uid="{DFD3A32C-03F6-4F6E-B57A-301B81331094}" name="Column1875" dataDxfId="14510"/>
    <tableColumn id="1900" xr3:uid="{1DEE154D-90CD-4F42-ADF0-4915879D4A45}" name="Column1876" dataDxfId="14509"/>
    <tableColumn id="1901" xr3:uid="{C57C1201-0F83-4AB5-8CD4-CA5A0DA486FD}" name="Column1877" dataDxfId="14508"/>
    <tableColumn id="1902" xr3:uid="{DA2A940E-52AB-4D6D-A86B-316849CD8186}" name="Column1878" dataDxfId="14507"/>
    <tableColumn id="1903" xr3:uid="{346F55F0-5614-477E-908B-81B4A4E9E5C6}" name="Column1879" dataDxfId="14506"/>
    <tableColumn id="1904" xr3:uid="{9A64CA95-C083-41A6-9333-E412E7C0E881}" name="Column1880" dataDxfId="14505"/>
    <tableColumn id="1905" xr3:uid="{6C129F2E-B950-47C9-AD86-9C5708DF60D2}" name="Column1881" dataDxfId="14504"/>
    <tableColumn id="1906" xr3:uid="{D2570032-4274-4148-9731-26FEA2C68057}" name="Column1882" dataDxfId="14503"/>
    <tableColumn id="1907" xr3:uid="{B89CEC36-6DF7-43B8-96A2-43996B318E3D}" name="Column1883" dataDxfId="14502"/>
    <tableColumn id="1908" xr3:uid="{84BB80C8-CEFE-481C-9318-0E3918647296}" name="Column1884" dataDxfId="14501"/>
    <tableColumn id="1909" xr3:uid="{5C1F2189-1BCA-4C4B-A87B-77A4FC33B1E0}" name="Column1885" dataDxfId="14500"/>
    <tableColumn id="1910" xr3:uid="{85E96EAF-64E4-432A-8F1D-1E077B319027}" name="Column1886" dataDxfId="14499"/>
    <tableColumn id="1911" xr3:uid="{76DB7C08-DEF0-414C-A188-8BB48DE746A0}" name="Column1887" dataDxfId="14498"/>
    <tableColumn id="1912" xr3:uid="{AE2D88BB-F8F3-4EF3-866C-C4F1975CE4B8}" name="Column1888" dataDxfId="14497"/>
    <tableColumn id="1913" xr3:uid="{3322C924-BDC2-43E1-8CA9-08438CDEE8B3}" name="Column1889" dataDxfId="14496"/>
    <tableColumn id="1914" xr3:uid="{E200A653-BF7F-44C1-9E17-063EEE2F5296}" name="Column1890" dataDxfId="14495"/>
    <tableColumn id="1915" xr3:uid="{4A4EB817-BB05-4A18-A4B0-75A2FCE685C5}" name="Column1891" dataDxfId="14494"/>
    <tableColumn id="1916" xr3:uid="{B01B29FA-DECC-4F27-A913-EE5265D15403}" name="Column1892" dataDxfId="14493"/>
    <tableColumn id="1917" xr3:uid="{65A7490F-4F3B-4BFC-B46E-92AEC1C59481}" name="Column1893" dataDxfId="14492"/>
    <tableColumn id="1918" xr3:uid="{F192C823-ECEE-4D17-A68E-D7930BBC88E3}" name="Column1894" dataDxfId="14491"/>
    <tableColumn id="1919" xr3:uid="{857B6596-096E-4046-821A-EE1FC873F4D8}" name="Column1895" dataDxfId="14490"/>
    <tableColumn id="1920" xr3:uid="{AA93E69D-95E2-42CA-A6F3-06D4FA568A09}" name="Column1896" dataDxfId="14489"/>
    <tableColumn id="1921" xr3:uid="{3BEAD57B-F88B-4493-8DD3-7B1E5B34AAC5}" name="Column1897" dataDxfId="14488"/>
    <tableColumn id="1922" xr3:uid="{4907DA9B-0211-4A99-A398-D018C93A764D}" name="Column1898" dataDxfId="14487"/>
    <tableColumn id="1923" xr3:uid="{3C30B908-A7A6-42A9-A919-CB237F21E26E}" name="Column1899" dataDxfId="14486"/>
    <tableColumn id="1924" xr3:uid="{9216B6AF-67F4-49E5-92CA-7DC3E7199F11}" name="Column1900" dataDxfId="14485"/>
    <tableColumn id="1925" xr3:uid="{DF5003C6-531D-4DD1-B5D6-2152AB45A51A}" name="Column1901" dataDxfId="14484"/>
    <tableColumn id="1926" xr3:uid="{76E9D5B2-50B7-48E7-87C4-9F677559E912}" name="Column1902" dataDxfId="14483"/>
    <tableColumn id="1927" xr3:uid="{93169F0D-8530-4E15-B96A-4B1FAEA2805C}" name="Column1903" dataDxfId="14482"/>
    <tableColumn id="1928" xr3:uid="{78491F8B-86BA-49FF-8B5B-8B78BC11893B}" name="Column1904" dataDxfId="14481"/>
    <tableColumn id="1929" xr3:uid="{B3A02662-6F3C-4339-A06E-8FB4DA69EEEB}" name="Column1905" dataDxfId="14480"/>
    <tableColumn id="1930" xr3:uid="{5A772BF0-E157-4B52-B455-36FA9626D2C6}" name="Column1906" dataDxfId="14479"/>
    <tableColumn id="1931" xr3:uid="{E2EDB0BA-B1BA-4C4D-8503-C812AB2A6985}" name="Column1907" dataDxfId="14478"/>
    <tableColumn id="1932" xr3:uid="{5B6531F3-999A-4E6E-B834-28D77350B771}" name="Column1908" dataDxfId="14477"/>
    <tableColumn id="1933" xr3:uid="{91E47F27-F4EC-413F-A959-E8B7B6B97B9A}" name="Column1909" dataDxfId="14476"/>
    <tableColumn id="1934" xr3:uid="{FAE3AB8F-343F-404A-815A-1C9A5EC1A571}" name="Column1910" dataDxfId="14475"/>
    <tableColumn id="1935" xr3:uid="{1FEAACCE-50F2-4F78-974D-B9933D2BF7A6}" name="Column1911" dataDxfId="14474"/>
    <tableColumn id="1936" xr3:uid="{C03AF5AC-84FD-4A4E-816D-BF1F29F448F6}" name="Column1912" dataDxfId="14473"/>
    <tableColumn id="1937" xr3:uid="{B07FC0A2-030D-43CC-AEAC-72AE8C8A39E3}" name="Column1913" dataDxfId="14472"/>
    <tableColumn id="1938" xr3:uid="{42C99738-A473-4D11-AAE5-0D067DB93387}" name="Column1914" dataDxfId="14471"/>
    <tableColumn id="1939" xr3:uid="{78C5C212-395B-4100-BBD4-73A3F50D9B40}" name="Column1915" dataDxfId="14470"/>
    <tableColumn id="1940" xr3:uid="{8DA94BAE-CBE6-4169-8884-B701412D7EBD}" name="Column1916" dataDxfId="14469"/>
    <tableColumn id="1941" xr3:uid="{EC3FB802-B4CA-425E-8C90-C2CFC7CB6176}" name="Column1917" dataDxfId="14468"/>
    <tableColumn id="1942" xr3:uid="{B8770536-5370-49DE-9DC0-925DC7E1DB3A}" name="Column1918" dataDxfId="14467"/>
    <tableColumn id="1943" xr3:uid="{316E7980-8595-4482-B107-E72CAA65D583}" name="Column1919" dataDxfId="14466"/>
    <tableColumn id="1944" xr3:uid="{051979D4-D722-4269-8149-96C6A3651EB9}" name="Column1920" dataDxfId="14465"/>
    <tableColumn id="1945" xr3:uid="{98EC74C2-B336-4FAD-A9AE-F48D567B6A9B}" name="Column1921" dataDxfId="14464"/>
    <tableColumn id="1946" xr3:uid="{FE3465EE-32BD-482B-ACD7-758DC5455CEF}" name="Column1922" dataDxfId="14463"/>
    <tableColumn id="1947" xr3:uid="{B102819E-1484-45C1-B3CD-0298B1001834}" name="Column1923" dataDxfId="14462"/>
    <tableColumn id="1948" xr3:uid="{90AB5346-327C-4333-9048-1A4497A81608}" name="Column1924" dataDxfId="14461"/>
    <tableColumn id="1949" xr3:uid="{B230F4CA-5E91-439D-8F7F-941480DAD588}" name="Column1925" dataDxfId="14460"/>
    <tableColumn id="1950" xr3:uid="{314152E3-5A68-4BF0-90B6-BDDB337DA5B8}" name="Column1926" dataDxfId="14459"/>
    <tableColumn id="1951" xr3:uid="{59B25AE6-BF6E-4D31-80E0-0F306B44F970}" name="Column1927" dataDxfId="14458"/>
    <tableColumn id="1952" xr3:uid="{5B27FA99-24D8-4F65-911E-95DAA361D648}" name="Column1928" dataDxfId="14457"/>
    <tableColumn id="1953" xr3:uid="{1DE500D9-582D-4C59-953E-D92E333F8146}" name="Column1929" dataDxfId="14456"/>
    <tableColumn id="1954" xr3:uid="{EA50E0F1-8602-45B6-BF1F-F99803945EFE}" name="Column1930" dataDxfId="14455"/>
    <tableColumn id="1955" xr3:uid="{7D74EA27-A27D-4792-8270-62E9B82A5485}" name="Column1931" dataDxfId="14454"/>
    <tableColumn id="1956" xr3:uid="{B5FC009E-A0DF-4524-A2E2-E58E563CEC39}" name="Column1932" dataDxfId="14453"/>
    <tableColumn id="1957" xr3:uid="{CE39F3ED-6501-4BA6-B38D-8BF4CF08759C}" name="Column1933" dataDxfId="14452"/>
    <tableColumn id="1958" xr3:uid="{2E947010-E4C7-473C-A193-B47C154ECB70}" name="Column1934" dataDxfId="14451"/>
    <tableColumn id="1959" xr3:uid="{12147AAE-ACAB-40E3-AEE0-FABE77DF7C4F}" name="Column1935" dataDxfId="14450"/>
    <tableColumn id="1960" xr3:uid="{DB88904F-0B99-4AEA-A0C1-821739A0329A}" name="Column1936" dataDxfId="14449"/>
    <tableColumn id="1961" xr3:uid="{AE8BF27B-0D3C-41D3-8A4F-EE15CF32EAAE}" name="Column1937" dataDxfId="14448"/>
    <tableColumn id="1962" xr3:uid="{C31B2710-68BE-4288-A9A5-5544A3113518}" name="Column1938" dataDxfId="14447"/>
    <tableColumn id="1963" xr3:uid="{C12CDFEB-1081-46E4-AED4-125F255E504E}" name="Column1939" dataDxfId="14446"/>
    <tableColumn id="1964" xr3:uid="{C0EC4968-534C-420C-9A8D-EBF25CA4E2B5}" name="Column1940" dataDxfId="14445"/>
    <tableColumn id="1965" xr3:uid="{77DCA30B-0E48-4A5C-A721-FDF71195BD5B}" name="Column1941" dataDxfId="14444"/>
    <tableColumn id="1966" xr3:uid="{C6BF5CEB-4045-4445-BAA0-73E760D56CBA}" name="Column1942" dataDxfId="14443"/>
    <tableColumn id="1967" xr3:uid="{89B3C3B3-F5A7-4859-B78E-9543EA4D7102}" name="Column1943" dataDxfId="14442"/>
    <tableColumn id="1968" xr3:uid="{7607035F-3EDF-467B-A3B6-9D7834392049}" name="Column1944" dataDxfId="14441"/>
    <tableColumn id="1969" xr3:uid="{97E5D2B2-4128-4A53-B750-0F22F6D6175B}" name="Column1945" dataDxfId="14440"/>
    <tableColumn id="1970" xr3:uid="{C43DACAE-8F63-4FF0-AB75-A21000702008}" name="Column1946" dataDxfId="14439"/>
    <tableColumn id="1971" xr3:uid="{74BD0AFA-0750-4101-8B22-9908361FF11D}" name="Column1947" dataDxfId="14438"/>
    <tableColumn id="1972" xr3:uid="{690908FA-6C70-4E22-B0D9-B20341C3D1C9}" name="Column1948" dataDxfId="14437"/>
    <tableColumn id="1973" xr3:uid="{00D19F1F-CF23-4818-9438-122995119FF5}" name="Column1949" dataDxfId="14436"/>
    <tableColumn id="1974" xr3:uid="{F980200F-1939-4D61-8B57-0711788E9CFC}" name="Column1950" dataDxfId="14435"/>
    <tableColumn id="1975" xr3:uid="{4822D12B-110E-4EB7-A7A7-888A12DF0A47}" name="Column1951" dataDxfId="14434"/>
    <tableColumn id="1976" xr3:uid="{382AD038-AD4D-424C-83AA-51DA17B3900A}" name="Column1952" dataDxfId="14433"/>
    <tableColumn id="1977" xr3:uid="{9CC2A113-849B-40D9-8409-55BE406440DD}" name="Column1953" dataDxfId="14432"/>
    <tableColumn id="1978" xr3:uid="{89951FE6-498C-4C55-A279-A3364C5C2025}" name="Column1954" dataDxfId="14431"/>
    <tableColumn id="1979" xr3:uid="{2731DC2F-371B-4C22-BD91-CB059343C60E}" name="Column1955" dataDxfId="14430"/>
    <tableColumn id="1980" xr3:uid="{F39C6B64-3119-4648-AFDB-80F1F7855339}" name="Column1956" dataDxfId="14429"/>
    <tableColumn id="1981" xr3:uid="{E991ACED-E707-44FB-88A6-F0FBCC4D3BFA}" name="Column1957" dataDxfId="14428"/>
    <tableColumn id="1982" xr3:uid="{DB54A828-0B50-4F8A-8990-9B6DE04E7F1D}" name="Column1958" dataDxfId="14427"/>
    <tableColumn id="1983" xr3:uid="{5DC4D758-9DA4-4E86-ABAA-38644C543E84}" name="Column1959" dataDxfId="14426"/>
    <tableColumn id="1984" xr3:uid="{D001EAC6-3566-412F-911A-1FB7009C86C5}" name="Column1960" dataDxfId="14425"/>
    <tableColumn id="1985" xr3:uid="{8C89550E-DA4D-414F-99C9-5ED3DC7BB34B}" name="Column1961" dataDxfId="14424"/>
    <tableColumn id="1986" xr3:uid="{91059183-BDE1-4AA3-952A-8356CEE73B3B}" name="Column1962" dataDxfId="14423"/>
    <tableColumn id="1987" xr3:uid="{BE18E938-2FD9-4BA0-930C-A28E73EC7617}" name="Column1963" dataDxfId="14422"/>
    <tableColumn id="1988" xr3:uid="{B46BE2E6-D0F1-4BBD-B172-2A29BB7396F1}" name="Column1964" dataDxfId="14421"/>
    <tableColumn id="1989" xr3:uid="{A500B7D3-7804-41C5-AC2B-33B64B02F7A4}" name="Column1965" dataDxfId="14420"/>
    <tableColumn id="1990" xr3:uid="{7C47E601-33B3-46F0-B863-5A4649D723DC}" name="Column1966" dataDxfId="14419"/>
    <tableColumn id="1991" xr3:uid="{45F89486-E1EC-4E87-9608-4F95BDFDE806}" name="Column1967" dataDxfId="14418"/>
    <tableColumn id="1992" xr3:uid="{BB444264-D55A-429B-9DD4-1E6716ED7483}" name="Column1968" dataDxfId="14417"/>
    <tableColumn id="1993" xr3:uid="{748E3B4D-4C64-4C32-9892-1B403BAC6A0C}" name="Column1969" dataDxfId="14416"/>
    <tableColumn id="1994" xr3:uid="{273D49DE-A077-4192-9244-402BCCA4280A}" name="Column1970" dataDxfId="14415"/>
    <tableColumn id="1995" xr3:uid="{67C803D8-0BE7-45A1-8407-E48F6FD54D13}" name="Column1971" dataDxfId="14414"/>
    <tableColumn id="1996" xr3:uid="{447E8EA1-5834-4E74-82B0-E5ABE2F690B0}" name="Column1972" dataDxfId="14413"/>
    <tableColumn id="1997" xr3:uid="{39855EC4-9EEB-4344-BA90-563BCF50302D}" name="Column1973" dataDxfId="14412"/>
    <tableColumn id="1998" xr3:uid="{AF1A0082-6BB9-4B8F-990F-CD34AE0CA374}" name="Column1974" dataDxfId="14411"/>
    <tableColumn id="1999" xr3:uid="{4EAB0A19-E118-4EA6-865B-BDDE9E8121AB}" name="Column1975" dataDxfId="14410"/>
    <tableColumn id="2000" xr3:uid="{395C28ED-4DA9-4D8F-AF35-ACEA179CDEF5}" name="Column1976" dataDxfId="14409"/>
    <tableColumn id="2001" xr3:uid="{35CC96BF-F493-4DFA-9C49-0940AE90BD99}" name="Column1977" dataDxfId="14408"/>
    <tableColumn id="2002" xr3:uid="{BA5530AB-18C5-410B-BF9C-BD2F17E3CE79}" name="Column1978" dataDxfId="14407"/>
    <tableColumn id="2003" xr3:uid="{44B3BBE4-5FFB-4BC7-B9D0-EF1F1AC41742}" name="Column1979" dataDxfId="14406"/>
    <tableColumn id="2004" xr3:uid="{8423A402-CC22-4FCC-8168-74965249A045}" name="Column1980" dataDxfId="14405"/>
    <tableColumn id="2005" xr3:uid="{80CDD3D5-0502-48E9-80AA-85426B0C154A}" name="Column1981" dataDxfId="14404"/>
    <tableColumn id="2006" xr3:uid="{58F33DCD-E601-472A-A757-58FC0B8A105A}" name="Column1982" dataDxfId="14403"/>
    <tableColumn id="2007" xr3:uid="{EDEC3860-E455-4238-B032-9AC7500957FC}" name="Column1983" dataDxfId="14402"/>
    <tableColumn id="2008" xr3:uid="{5533A6B0-165D-47A3-8501-C03E320D3E0B}" name="Column1984" dataDxfId="14401"/>
    <tableColumn id="2009" xr3:uid="{E5DF90E5-ECFF-4B14-98E2-65368DD936E7}" name="Column1985" dataDxfId="14400"/>
    <tableColumn id="2010" xr3:uid="{FFE69DF7-61CA-45C5-8AD2-0AA9221400A5}" name="Column1986" dataDxfId="14399"/>
    <tableColumn id="2011" xr3:uid="{562F37F1-2599-41D9-82C9-3F2F31D66772}" name="Column1987" dataDxfId="14398"/>
    <tableColumn id="2012" xr3:uid="{605E7516-2F46-4C62-84D0-11397E40FA60}" name="Column1988" dataDxfId="14397"/>
    <tableColumn id="2013" xr3:uid="{B948A3C0-6178-4E3A-B5D1-E44F5E4CDB99}" name="Column1989" dataDxfId="14396"/>
    <tableColumn id="2014" xr3:uid="{195A400C-4B1E-4B43-A1F6-B100B3CD980D}" name="Column1990" dataDxfId="14395"/>
    <tableColumn id="2015" xr3:uid="{CF6A2774-CC0B-414B-AE3A-3B168534C242}" name="Column1991" dataDxfId="14394"/>
    <tableColumn id="2016" xr3:uid="{A80C5C08-FF51-4A7B-B409-BF9885E33C96}" name="Column1992" dataDxfId="14393"/>
    <tableColumn id="2017" xr3:uid="{A5905FB6-A507-4A92-B247-09AE785FD34E}" name="Column1993" dataDxfId="14392"/>
    <tableColumn id="2018" xr3:uid="{CA82F2D2-E847-440B-89BF-87B9842A6AF9}" name="Column1994" dataDxfId="14391"/>
    <tableColumn id="2019" xr3:uid="{1363D96B-BAF0-4CB9-BAE1-8C1D437ABA0C}" name="Column1995" dataDxfId="14390"/>
    <tableColumn id="2020" xr3:uid="{6CB634E6-DC52-422B-854E-4127CC6D4842}" name="Column1996" dataDxfId="14389"/>
    <tableColumn id="2021" xr3:uid="{5C4613BE-A97C-478E-A777-B0DFB301E4F2}" name="Column1997" dataDxfId="14388"/>
    <tableColumn id="2022" xr3:uid="{3CCF173B-670A-466A-9708-B12F8002CE1C}" name="Column1998" dataDxfId="14387"/>
    <tableColumn id="2023" xr3:uid="{CD754BDA-F45D-4B06-9A08-5A5621B8AC80}" name="Column1999" dataDxfId="14386"/>
    <tableColumn id="2024" xr3:uid="{ED13190A-A64A-485E-BE16-6F5E3DE6AB23}" name="Column2000" dataDxfId="14385"/>
    <tableColumn id="2025" xr3:uid="{4F0DF713-3962-41E2-A371-67D8912BD1AE}" name="Column2001" dataDxfId="14384"/>
    <tableColumn id="2026" xr3:uid="{52B462C7-B534-4D78-83A9-52A16F2EE659}" name="Column2002" dataDxfId="14383"/>
    <tableColumn id="2027" xr3:uid="{BB73C3DC-3251-4052-AEAF-8DA7D1BE6C65}" name="Column2003" dataDxfId="14382"/>
    <tableColumn id="2028" xr3:uid="{888D7EED-8467-485C-AC9C-C7A740AD7281}" name="Column2004" dataDxfId="14381"/>
    <tableColumn id="2029" xr3:uid="{30A28B4E-2C87-425B-9290-606A2F5DB05F}" name="Column2005" dataDxfId="14380"/>
    <tableColumn id="2030" xr3:uid="{899BE2FC-FE97-489F-9F5D-B009A052910E}" name="Column2006" dataDxfId="14379"/>
    <tableColumn id="2031" xr3:uid="{FAF32C26-FE31-4333-ACC4-191BC60B0287}" name="Column2007" dataDxfId="14378"/>
    <tableColumn id="2032" xr3:uid="{1A7B6A10-503B-4EBB-BD23-C415496F808A}" name="Column2008" dataDxfId="14377"/>
    <tableColumn id="2033" xr3:uid="{D3FF5823-51C5-4729-AFAF-9CEAE4A677A6}" name="Column2009" dataDxfId="14376"/>
    <tableColumn id="2034" xr3:uid="{F87D123D-085E-4665-AFC1-28C7ECA9BE30}" name="Column2010" dataDxfId="14375"/>
    <tableColumn id="2035" xr3:uid="{1577E031-6CA6-435A-B1CE-76047EDFF59F}" name="Column2011" dataDxfId="14374"/>
    <tableColumn id="2036" xr3:uid="{7F61A809-4B91-4EBA-96B5-2561C5282C56}" name="Column2012" dataDxfId="14373"/>
    <tableColumn id="2037" xr3:uid="{79BA8F9F-56A2-469B-B81D-BA5CF917B7CA}" name="Column2013" dataDxfId="14372"/>
    <tableColumn id="2038" xr3:uid="{AF6D7FBE-D07E-4F1A-9648-80DAA899C949}" name="Column2014" dataDxfId="14371"/>
    <tableColumn id="2039" xr3:uid="{C4C54E26-2E62-43AE-9C72-6E56A9BE99DF}" name="Column2015" dataDxfId="14370"/>
    <tableColumn id="2040" xr3:uid="{D9642255-1F13-49D2-AD06-9150C08E9D93}" name="Column2016" dataDxfId="14369"/>
    <tableColumn id="2041" xr3:uid="{6215F6F5-CF77-4BC9-86B3-626ADFCE814E}" name="Column2017" dataDxfId="14368"/>
    <tableColumn id="2042" xr3:uid="{83919352-E3B8-4930-8248-D461A20434CE}" name="Column2018" dataDxfId="14367"/>
    <tableColumn id="2043" xr3:uid="{7307C57C-1EA0-4BC9-A5FA-0D2C5B7219DF}" name="Column2019" dataDxfId="14366"/>
    <tableColumn id="2044" xr3:uid="{6B9FD608-81CC-4929-AA5C-CC118BC5CA85}" name="Column2020" dataDxfId="14365"/>
    <tableColumn id="2045" xr3:uid="{51305B61-344E-46AC-BFDF-561CBE12E210}" name="Column2021" dataDxfId="14364"/>
    <tableColumn id="2046" xr3:uid="{4A95E123-E705-4E44-87BE-F2591CCAEAD3}" name="Column2022" dataDxfId="14363"/>
    <tableColumn id="2047" xr3:uid="{45964223-079E-41DE-B7E2-4CBBF0ACF0D7}" name="Column2023" dataDxfId="14362"/>
    <tableColumn id="2048" xr3:uid="{18E559A7-6A28-44F8-9E29-6A5CD3778B24}" name="Column2024" dataDxfId="14361"/>
    <tableColumn id="2049" xr3:uid="{2A381D95-02E0-43C6-A785-C422D33A3BD3}" name="Column2025" dataDxfId="14360"/>
    <tableColumn id="2050" xr3:uid="{E27F61B3-C91A-4981-B8CC-6EE98EF935A0}" name="Column2026" dataDxfId="14359"/>
    <tableColumn id="2051" xr3:uid="{C1BF71DE-CFE6-49FF-833B-2C8DFDD5669E}" name="Column2027" dataDxfId="14358"/>
    <tableColumn id="2052" xr3:uid="{633F9FB7-66B9-4BE3-9280-6303CD514E16}" name="Column2028" dataDxfId="14357"/>
    <tableColumn id="2053" xr3:uid="{432FDDA9-9E7A-4F20-95C6-EC6F3893B450}" name="Column2029" dataDxfId="14356"/>
    <tableColumn id="2054" xr3:uid="{E7E0E5CD-A23A-44D4-B18E-93D196BEEDE3}" name="Column2030" dataDxfId="14355"/>
    <tableColumn id="2055" xr3:uid="{FF335BD2-C14D-4FEA-B90D-47F1ECAA0472}" name="Column2031" dataDxfId="14354"/>
    <tableColumn id="2056" xr3:uid="{A83A112E-619E-474B-B526-03D9CCDD3ADB}" name="Column2032" dataDxfId="14353"/>
    <tableColumn id="2057" xr3:uid="{78FBDC9C-FD3E-46BD-B7D0-F11B462EF4F5}" name="Column2033" dataDxfId="14352"/>
    <tableColumn id="2058" xr3:uid="{F37AEEC1-C4D3-410F-8C40-D90A4FEE12FE}" name="Column2034" dataDxfId="14351"/>
    <tableColumn id="2059" xr3:uid="{8EC54BE4-1CF0-455D-874D-F0D03584828A}" name="Column2035" dataDxfId="14350"/>
    <tableColumn id="2060" xr3:uid="{02845015-191F-4237-A680-E79C7B7ECB46}" name="Column2036" dataDxfId="14349"/>
    <tableColumn id="2061" xr3:uid="{0BB722B2-3742-49BA-AE85-00D125590993}" name="Column2037" dataDxfId="14348"/>
    <tableColumn id="2062" xr3:uid="{4706D25E-D878-45A1-8BC9-9CD948831B12}" name="Column2038" dataDxfId="14347"/>
    <tableColumn id="2063" xr3:uid="{5D7F453A-3460-48E9-B85D-F5F8938331A7}" name="Column2039" dataDxfId="14346"/>
    <tableColumn id="2064" xr3:uid="{2C4905FB-8A42-4930-949B-BD4E44A34BB8}" name="Column2040" dataDxfId="14345"/>
    <tableColumn id="2065" xr3:uid="{B16F9EF9-5717-405A-AE44-D67AD336D208}" name="Column2041" dataDxfId="14344"/>
    <tableColumn id="2066" xr3:uid="{DB756A4D-D13F-4918-8B30-2CB247265836}" name="Column2042" dataDxfId="14343"/>
    <tableColumn id="2067" xr3:uid="{04B47AAB-598D-4D22-B848-06BD03D2AD51}" name="Column2043" dataDxfId="14342"/>
    <tableColumn id="2068" xr3:uid="{F4E4F7AD-FE4A-4391-959A-7B54A063D28A}" name="Column2044" dataDxfId="14341"/>
    <tableColumn id="2069" xr3:uid="{94227CA4-B9FA-424C-8E1A-950012591400}" name="Column2045" dataDxfId="14340"/>
    <tableColumn id="2070" xr3:uid="{A02FFD19-812B-4DBA-9DEE-B014A116A4D9}" name="Column2046" dataDxfId="14339"/>
    <tableColumn id="2071" xr3:uid="{5DB8AA0C-E59D-4D5D-BCD8-12F89EC07B9B}" name="Column2047" dataDxfId="14338"/>
    <tableColumn id="2072" xr3:uid="{3933764C-FFD7-42E4-825B-CE0A34733430}" name="Column2048" dataDxfId="14337"/>
    <tableColumn id="2073" xr3:uid="{32ED3967-8E4B-47E9-ADEA-E34BD7C6FBC3}" name="Column2049" dataDxfId="14336"/>
    <tableColumn id="2074" xr3:uid="{CFC30652-717E-4D80-A5B4-80D731EFC585}" name="Column2050" dataDxfId="14335"/>
    <tableColumn id="2075" xr3:uid="{9467574B-D48A-468D-A4DB-B0FA5EC24E44}" name="Column2051" dataDxfId="14334"/>
    <tableColumn id="2076" xr3:uid="{331240DD-35C2-42EF-A85B-DCEE15A143DC}" name="Column2052" dataDxfId="14333"/>
    <tableColumn id="2077" xr3:uid="{03C7B629-B568-4563-9D8D-8EC542371C66}" name="Column2053" dataDxfId="14332"/>
    <tableColumn id="2078" xr3:uid="{6E08EB01-7C0D-4B4A-A9F9-218DB638CB84}" name="Column2054" dataDxfId="14331"/>
    <tableColumn id="2079" xr3:uid="{0EED92AB-0511-4E36-B7A6-4A9B7722B3DC}" name="Column2055" dataDxfId="14330"/>
    <tableColumn id="2080" xr3:uid="{8A9284F9-95F2-425A-A45D-DB3DEC7D452A}" name="Column2056" dataDxfId="14329"/>
    <tableColumn id="2081" xr3:uid="{AB31B27C-4F92-4606-9359-D01EE26DE48F}" name="Column2057" dataDxfId="14328"/>
    <tableColumn id="2082" xr3:uid="{E37832F7-9273-4C54-96AC-1EA74DFF2DB7}" name="Column2058" dataDxfId="14327"/>
    <tableColumn id="2083" xr3:uid="{A4233F51-8756-4740-9472-0AA06D80B068}" name="Column2059" dataDxfId="14326"/>
    <tableColumn id="2084" xr3:uid="{D84BAB9A-7E36-47C2-A073-1FED46FDA02A}" name="Column2060" dataDxfId="14325"/>
    <tableColumn id="2085" xr3:uid="{B81EB1FE-3607-40E1-AEB9-E5A251CF4E10}" name="Column2061" dataDxfId="14324"/>
    <tableColumn id="2086" xr3:uid="{868DA5DC-F58C-4862-B885-30A804AC788E}" name="Column2062" dataDxfId="14323"/>
    <tableColumn id="2087" xr3:uid="{8B578649-1EDD-4614-9C8D-0DC7C4FE0957}" name="Column2063" dataDxfId="14322"/>
    <tableColumn id="2088" xr3:uid="{47273481-67FE-4E51-8C46-6A00F9D1B5B8}" name="Column2064" dataDxfId="14321"/>
    <tableColumn id="2089" xr3:uid="{D4B28C38-BB7F-410C-9431-1089FE96352B}" name="Column2065" dataDxfId="14320"/>
    <tableColumn id="2090" xr3:uid="{4DC75CE4-7ADB-46DF-8514-425E6220E890}" name="Column2066" dataDxfId="14319"/>
    <tableColumn id="2091" xr3:uid="{9E0E8A65-F916-4D97-AD6A-449A39AE2A80}" name="Column2067" dataDxfId="14318"/>
    <tableColumn id="2092" xr3:uid="{1EA5F170-CD16-4598-9FF6-49B53B43AB87}" name="Column2068" dataDxfId="14317"/>
    <tableColumn id="2093" xr3:uid="{BB3C3FCF-A12D-4A7C-8B61-F0F1C9E4D003}" name="Column2069" dataDxfId="14316"/>
    <tableColumn id="2094" xr3:uid="{40AFEA0B-7AA4-4F77-98EA-EEFE185DDFDF}" name="Column2070" dataDxfId="14315"/>
    <tableColumn id="2095" xr3:uid="{5B3BCFEF-1A3B-4A58-88CA-69D3D45D0AFB}" name="Column2071" dataDxfId="14314"/>
    <tableColumn id="2096" xr3:uid="{7FF16A93-10A1-4AE4-BD0B-FC60A105C290}" name="Column2072" dataDxfId="14313"/>
    <tableColumn id="2097" xr3:uid="{D9FAF6E2-0855-4EE6-B64D-B9E0BEBB7C6D}" name="Column2073" dataDxfId="14312"/>
    <tableColumn id="2098" xr3:uid="{CC0331E2-BABC-4C5F-AA4E-8F0D5BCAF71B}" name="Column2074" dataDxfId="14311"/>
    <tableColumn id="2099" xr3:uid="{1DDD802E-FF79-407A-B76E-63E0CBD3AC93}" name="Column2075" dataDxfId="14310"/>
    <tableColumn id="2100" xr3:uid="{47A0AF2D-AA46-4F9A-BE66-FF9D74CCC2B1}" name="Column2076" dataDxfId="14309"/>
    <tableColumn id="2101" xr3:uid="{3168CD84-78F9-48DA-9C72-599D83030E91}" name="Column2077" dataDxfId="14308"/>
    <tableColumn id="2102" xr3:uid="{0FEB1AED-9D03-4CDB-9D10-1F5CB6264466}" name="Column2078" dataDxfId="14307"/>
    <tableColumn id="2103" xr3:uid="{2AC3D653-9A7A-42BD-911F-2AB8E3CCDB64}" name="Column2079" dataDxfId="14306"/>
    <tableColumn id="2104" xr3:uid="{449752DA-B81B-47B1-A7B5-767627CB26F6}" name="Column2080" dataDxfId="14305"/>
    <tableColumn id="2105" xr3:uid="{45457258-633F-4C0D-BE51-C64CF43A6A7E}" name="Column2081" dataDxfId="14304"/>
    <tableColumn id="2106" xr3:uid="{ACA334C6-CF2D-4637-9358-12B2BA892558}" name="Column2082" dataDxfId="14303"/>
    <tableColumn id="2107" xr3:uid="{F0F1E8B0-0776-4B8E-9F5D-543CA73080BF}" name="Column2083" dataDxfId="14302"/>
    <tableColumn id="2108" xr3:uid="{97DCA1BC-57FE-43C1-8E75-21218CD908D7}" name="Column2084" dataDxfId="14301"/>
    <tableColumn id="2109" xr3:uid="{BB109675-61A9-4A2F-82B3-70E9125B290F}" name="Column2085" dataDxfId="14300"/>
    <tableColumn id="2110" xr3:uid="{F5BF68EA-D751-4A9D-8E28-E92202B44231}" name="Column2086" dataDxfId="14299"/>
    <tableColumn id="2111" xr3:uid="{012ADE5F-72A4-444E-9F4E-FBFCD7CAC88F}" name="Column2087" dataDxfId="14298"/>
    <tableColumn id="2112" xr3:uid="{AC62C05B-790D-4662-946D-E4E2AE478153}" name="Column2088" dataDxfId="14297"/>
    <tableColumn id="2113" xr3:uid="{39070BB5-5804-4322-BD8E-AB945519C2E4}" name="Column2089" dataDxfId="14296"/>
    <tableColumn id="2114" xr3:uid="{33710B52-52DF-4D6A-864E-40B11BB8C070}" name="Column2090" dataDxfId="14295"/>
    <tableColumn id="2115" xr3:uid="{46A8B2A6-5E0D-44E8-994A-6D4EDFD75ABA}" name="Column2091" dataDxfId="14294"/>
    <tableColumn id="2116" xr3:uid="{58CD7BA0-E23E-4FF3-98FD-F8456C61852F}" name="Column2092" dataDxfId="14293"/>
    <tableColumn id="2117" xr3:uid="{03E08828-C2B3-49F1-8A49-A25342F46D19}" name="Column2093" dataDxfId="14292"/>
    <tableColumn id="2118" xr3:uid="{0C7398FC-3260-485C-B163-20347043EE6A}" name="Column2094" dataDxfId="14291"/>
    <tableColumn id="2119" xr3:uid="{9E8D084D-A080-43AF-B45B-8507CF5F9E6B}" name="Column2095" dataDxfId="14290"/>
    <tableColumn id="2120" xr3:uid="{12E23DFE-E38E-4153-B84C-238F072EE9A8}" name="Column2096" dataDxfId="14289"/>
    <tableColumn id="2121" xr3:uid="{E0C62791-22C0-4977-8777-76A196A9C513}" name="Column2097" dataDxfId="14288"/>
    <tableColumn id="2122" xr3:uid="{38953B78-40FB-4A96-8338-17F35D99304A}" name="Column2098" dataDxfId="14287"/>
    <tableColumn id="2123" xr3:uid="{1410F02F-F274-412D-B7A4-EF8EA86B23A6}" name="Column2099" dataDxfId="14286"/>
    <tableColumn id="2124" xr3:uid="{B8E1D559-4F85-4A3E-86C9-83E6EB6F848F}" name="Column2100" dataDxfId="14285"/>
    <tableColumn id="2125" xr3:uid="{C78795EF-BB59-4374-8432-BBDC9256D908}" name="Column2101" dataDxfId="14284"/>
    <tableColumn id="2126" xr3:uid="{3CA489A6-CB5E-4BAD-B3C4-FBAA46EDF98A}" name="Column2102" dataDxfId="14283"/>
    <tableColumn id="2127" xr3:uid="{2BCD5A3C-E331-4818-B41B-2DAA7E6EFF4C}" name="Column2103" dataDxfId="14282"/>
    <tableColumn id="2128" xr3:uid="{ABD92223-135D-4963-95A7-44F2610A00BA}" name="Column2104" dataDxfId="14281"/>
    <tableColumn id="2129" xr3:uid="{FA54A503-A440-4B47-9D68-B388B07318ED}" name="Column2105" dataDxfId="14280"/>
    <tableColumn id="2130" xr3:uid="{C55AEA88-DC3C-4625-9F1C-7F3E1A58CA67}" name="Column2106" dataDxfId="14279"/>
    <tableColumn id="2131" xr3:uid="{CDDCF072-48FF-424A-8E78-E2F77E41E33F}" name="Column2107" dataDxfId="14278"/>
    <tableColumn id="2132" xr3:uid="{F7FDCBCA-C0AB-48C2-ABBB-303BFFC1A1EA}" name="Column2108" dataDxfId="14277"/>
    <tableColumn id="2133" xr3:uid="{D54E0C0B-BC2F-4690-A089-B6B3CADE28B7}" name="Column2109" dataDxfId="14276"/>
    <tableColumn id="2134" xr3:uid="{2D978E66-9026-4FDA-A990-CEDD7922C261}" name="Column2110" dataDxfId="14275"/>
    <tableColumn id="2135" xr3:uid="{B8A759E5-9AC3-47D0-B681-0EF2F841C833}" name="Column2111" dataDxfId="14274"/>
    <tableColumn id="2136" xr3:uid="{4DA2E614-9C41-4559-8FD1-3830AFED86AD}" name="Column2112" dataDxfId="14273"/>
    <tableColumn id="2137" xr3:uid="{C6476C64-4F8A-4E26-BDBC-089749C8ECAA}" name="Column2113" dataDxfId="14272"/>
    <tableColumn id="2138" xr3:uid="{596CCF5B-97BA-405D-9EC2-8ABD859CC780}" name="Column2114" dataDxfId="14271"/>
    <tableColumn id="2139" xr3:uid="{BFC0A945-D356-46EA-A043-B35B69EEF09B}" name="Column2115" dataDxfId="14270"/>
    <tableColumn id="2140" xr3:uid="{D025B9B8-0179-4969-A0DB-27FB97DEBF35}" name="Column2116" dataDxfId="14269"/>
    <tableColumn id="2141" xr3:uid="{3F21C005-351F-43C5-9AB8-7B9EECF1D90A}" name="Column2117" dataDxfId="14268"/>
    <tableColumn id="2142" xr3:uid="{80D165D7-0317-485C-B016-1A4F716CD336}" name="Column2118" dataDxfId="14267"/>
    <tableColumn id="2143" xr3:uid="{10CA87EF-A39A-4DD0-B9B9-008ED8D36FA6}" name="Column2119" dataDxfId="14266"/>
    <tableColumn id="2144" xr3:uid="{FAC7105A-679B-4E07-8744-D67ECC92DE20}" name="Column2120" dataDxfId="14265"/>
    <tableColumn id="2145" xr3:uid="{C0DF543F-4D5F-4294-A4F8-17B8D9A9317D}" name="Column2121" dataDxfId="14264"/>
    <tableColumn id="2146" xr3:uid="{8F488E37-1488-4DE6-8BCC-6969A04CD334}" name="Column2122" dataDxfId="14263"/>
    <tableColumn id="2147" xr3:uid="{DE3E0E28-D469-4672-97CB-0579C355C2E8}" name="Column2123" dataDxfId="14262"/>
    <tableColumn id="2148" xr3:uid="{98325659-8EED-470B-8D2A-771E05B39021}" name="Column2124" dataDxfId="14261"/>
    <tableColumn id="2149" xr3:uid="{64CB3390-3F9A-45BE-8972-5FE915D23B6D}" name="Column2125" dataDxfId="14260"/>
    <tableColumn id="2150" xr3:uid="{8F74B178-DE24-4278-93F2-CD476CD5B025}" name="Column2126" dataDxfId="14259"/>
    <tableColumn id="2151" xr3:uid="{4B7E55C5-036E-4574-A0C2-ED12F8F5CE04}" name="Column2127" dataDxfId="14258"/>
    <tableColumn id="2152" xr3:uid="{444E82D3-D3E9-41AB-A08F-DAD15A8E53EE}" name="Column2128" dataDxfId="14257"/>
    <tableColumn id="2153" xr3:uid="{F0182A82-3568-4FA2-995A-8A51A2545DD4}" name="Column2129" dataDxfId="14256"/>
    <tableColumn id="2154" xr3:uid="{3EBF6939-562B-4829-B38A-2D09EBA73BDE}" name="Column2130" dataDxfId="14255"/>
    <tableColumn id="2155" xr3:uid="{DD57BB82-5E13-4B1D-90B2-FF474D4A32E9}" name="Column2131" dataDxfId="14254"/>
    <tableColumn id="2156" xr3:uid="{C7F8963F-4CBA-4B80-ACE8-31E02470768B}" name="Column2132" dataDxfId="14253"/>
    <tableColumn id="2157" xr3:uid="{03B3FA61-C56A-4DB2-912C-86CB6CB159F8}" name="Column2133" dataDxfId="14252"/>
    <tableColumn id="2158" xr3:uid="{04A38003-6173-4FD4-8F08-9A405C510DD8}" name="Column2134" dataDxfId="14251"/>
    <tableColumn id="2159" xr3:uid="{02C20967-382E-471A-9458-A97D40BC1E0D}" name="Column2135" dataDxfId="14250"/>
    <tableColumn id="2160" xr3:uid="{F7DBB3EE-BBFF-4AE7-8759-E331F796948F}" name="Column2136" dataDxfId="14249"/>
    <tableColumn id="2161" xr3:uid="{61BDCEAB-2F36-4997-B07E-18976BC3E5B9}" name="Column2137" dataDxfId="14248"/>
    <tableColumn id="2162" xr3:uid="{0CAD1158-34D4-449D-B92B-6311159010C1}" name="Column2138" dataDxfId="14247"/>
    <tableColumn id="2163" xr3:uid="{C09D844E-528C-4D86-8DE4-B4873AFC50CC}" name="Column2139" dataDxfId="14246"/>
    <tableColumn id="2164" xr3:uid="{D242CB1A-FB65-487F-B4F1-11F4C754DA8D}" name="Column2140" dataDxfId="14245"/>
    <tableColumn id="2165" xr3:uid="{F591D199-C175-49CE-8A3E-3BD048AE791C}" name="Column2141" dataDxfId="14244"/>
    <tableColumn id="2166" xr3:uid="{9415A073-1955-43F8-BB16-CC8BE25176B5}" name="Column2142" dataDxfId="14243"/>
    <tableColumn id="2167" xr3:uid="{8D1CA048-A966-45A4-8041-4B064F2996D3}" name="Column2143" dataDxfId="14242"/>
    <tableColumn id="2168" xr3:uid="{12696A02-FB77-4168-BE3E-54C319D206FE}" name="Column2144" dataDxfId="14241"/>
    <tableColumn id="2169" xr3:uid="{E8859570-9FB2-4F3C-BBE7-CC3B04001E51}" name="Column2145" dataDxfId="14240"/>
    <tableColumn id="2170" xr3:uid="{78D05358-F0A4-4609-B1C5-A93B95A56E2C}" name="Column2146" dataDxfId="14239"/>
    <tableColumn id="2171" xr3:uid="{9E751778-E113-41A3-BA59-320633FA0D52}" name="Column2147" dataDxfId="14238"/>
    <tableColumn id="2172" xr3:uid="{87A141A3-8727-4660-9107-7172419C170F}" name="Column2148" dataDxfId="14237"/>
    <tableColumn id="2173" xr3:uid="{84D3AB55-BA1F-4D90-8A42-1FB3E14FBE25}" name="Column2149" dataDxfId="14236"/>
    <tableColumn id="2174" xr3:uid="{468DAD03-BBFE-432B-AF92-8824C3CEB1C1}" name="Column2150" dataDxfId="14235"/>
    <tableColumn id="2175" xr3:uid="{74D3F768-B9C9-4164-B17C-2E287DAC9634}" name="Column2151" dataDxfId="14234"/>
    <tableColumn id="2176" xr3:uid="{8E4C57A5-00A6-44A9-B85C-3AA2E58E139D}" name="Column2152" dataDxfId="14233"/>
    <tableColumn id="2177" xr3:uid="{59FC9089-C924-496B-AEBF-7DCD381718BE}" name="Column2153" dataDxfId="14232"/>
    <tableColumn id="2178" xr3:uid="{31E25AE1-9A4E-4AE3-9D7E-9F513A0842EE}" name="Column2154" dataDxfId="14231"/>
    <tableColumn id="2179" xr3:uid="{17D82A57-8496-45C7-A0C6-840C961E4425}" name="Column2155" dataDxfId="14230"/>
    <tableColumn id="2180" xr3:uid="{E8F56A31-0656-4945-8278-15AF2F407CB1}" name="Column2156" dataDxfId="14229"/>
    <tableColumn id="2181" xr3:uid="{9BABD48B-3391-48DD-B3F7-6D01383E1808}" name="Column2157" dataDxfId="14228"/>
    <tableColumn id="2182" xr3:uid="{57D723F9-966C-4A40-9E52-415FEA42FB92}" name="Column2158" dataDxfId="14227"/>
    <tableColumn id="2183" xr3:uid="{5DE530BA-0F82-4A7A-8B3C-0ED3BC002D54}" name="Column2159" dataDxfId="14226"/>
    <tableColumn id="2184" xr3:uid="{FEEBAD8F-6EE5-4DCA-B657-ED91EBB56B6E}" name="Column2160" dataDxfId="14225"/>
    <tableColumn id="2185" xr3:uid="{0DD9155F-5165-4883-BE6E-D67C807B3E8C}" name="Column2161" dataDxfId="14224"/>
    <tableColumn id="2186" xr3:uid="{F06520A1-AE44-4E39-8863-0A69EC4FA5AC}" name="Column2162" dataDxfId="14223"/>
    <tableColumn id="2187" xr3:uid="{79C8DA58-02BC-4F23-BDF7-3A86404238F1}" name="Column2163" dataDxfId="14222"/>
    <tableColumn id="2188" xr3:uid="{A1D218E6-4A17-41AA-82FA-139B62AA34D9}" name="Column2164" dataDxfId="14221"/>
    <tableColumn id="2189" xr3:uid="{0BDF90F8-1225-452E-AFB8-D81BF47752ED}" name="Column2165" dataDxfId="14220"/>
    <tableColumn id="2190" xr3:uid="{F7B0314B-5ADC-47EE-B7FA-56318EC01F96}" name="Column2166" dataDxfId="14219"/>
    <tableColumn id="2191" xr3:uid="{AB4AF507-A6BB-4689-A499-FDA2271C78A5}" name="Column2167" dataDxfId="14218"/>
    <tableColumn id="2192" xr3:uid="{A376A00B-C385-4FD5-8839-6B0FF42DD95D}" name="Column2168" dataDxfId="14217"/>
    <tableColumn id="2193" xr3:uid="{E14019DD-C4F2-4784-BF43-C730ECDC0770}" name="Column2169" dataDxfId="14216"/>
    <tableColumn id="2194" xr3:uid="{577C77CD-48C7-4C4B-AE2B-35C754DF567E}" name="Column2170" dataDxfId="14215"/>
    <tableColumn id="2195" xr3:uid="{A0B52380-6EAA-4492-AD92-349977B8C8E3}" name="Column2171" dataDxfId="14214"/>
    <tableColumn id="2196" xr3:uid="{C1210BDE-32B9-4F99-8BB6-18844F4016E3}" name="Column2172" dataDxfId="14213"/>
    <tableColumn id="2197" xr3:uid="{A18BA7B5-FD86-4EC4-AEF4-08E197757D6A}" name="Column2173" dataDxfId="14212"/>
    <tableColumn id="2198" xr3:uid="{D53DF5C7-34F4-4410-8300-61F958151AE8}" name="Column2174" dataDxfId="14211"/>
    <tableColumn id="2199" xr3:uid="{8DE6B2C1-3A88-4892-96C9-24F8CE22C426}" name="Column2175" dataDxfId="14210"/>
    <tableColumn id="2200" xr3:uid="{806BA4E2-5CB1-4FD3-A8E1-C72B5FDA867B}" name="Column2176" dataDxfId="14209"/>
    <tableColumn id="2201" xr3:uid="{FAE60C40-281D-43F9-97C9-019C6AF2E671}" name="Column2177" dataDxfId="14208"/>
    <tableColumn id="2202" xr3:uid="{D8DA8B84-5788-4659-9F8D-AE6CB1145F74}" name="Column2178" dataDxfId="14207"/>
    <tableColumn id="2203" xr3:uid="{6D330E05-9D0D-44D7-9E92-B4992A54D62E}" name="Column2179" dataDxfId="14206"/>
    <tableColumn id="2204" xr3:uid="{254A3AEB-DA4E-4A68-A3CD-64CA76DB0776}" name="Column2180" dataDxfId="14205"/>
    <tableColumn id="2205" xr3:uid="{D236563D-2689-4051-BF3D-0C1A5196D259}" name="Column2181" dataDxfId="14204"/>
    <tableColumn id="2206" xr3:uid="{ADDD31E9-E498-48BA-A2B2-D21363C6741A}" name="Column2182" dataDxfId="14203"/>
    <tableColumn id="2207" xr3:uid="{88FCE71F-0BE2-42C7-9BDF-894825B02A3A}" name="Column2183" dataDxfId="14202"/>
    <tableColumn id="2208" xr3:uid="{A1D50F6C-CABD-4A17-8B9B-C6134720BEA9}" name="Column2184" dataDxfId="14201"/>
    <tableColumn id="2209" xr3:uid="{69B3291D-2DAC-4C54-A8C8-EA7B3F6E1C91}" name="Column2185" dataDxfId="14200"/>
    <tableColumn id="2210" xr3:uid="{49F0AEA2-6488-416F-9C4F-6CEB4F80D987}" name="Column2186" dataDxfId="14199"/>
    <tableColumn id="2211" xr3:uid="{2991720E-0315-441A-A193-18B26BE83504}" name="Column2187" dataDxfId="14198"/>
    <tableColumn id="2212" xr3:uid="{F6107CC5-9AE5-4AE7-8666-20C186D87910}" name="Column2188" dataDxfId="14197"/>
    <tableColumn id="2213" xr3:uid="{21968DBF-DFDB-4205-A065-D7AC773B7E51}" name="Column2189" dataDxfId="14196"/>
    <tableColumn id="2214" xr3:uid="{8046284B-3E70-4C96-BC7E-98BF73632194}" name="Column2190" dataDxfId="14195"/>
    <tableColumn id="2215" xr3:uid="{424C1C15-5CD9-4D04-B864-6FF5FFE8C732}" name="Column2191" dataDxfId="14194"/>
    <tableColumn id="2216" xr3:uid="{198CB9B5-4BD5-48EA-AD6E-F472A8014F01}" name="Column2192" dataDxfId="14193"/>
    <tableColumn id="2217" xr3:uid="{0169F09E-DD6E-4405-BCE4-2F6435310FD7}" name="Column2193" dataDxfId="14192"/>
    <tableColumn id="2218" xr3:uid="{3B8D6195-859B-4363-A17D-379FB6EE4BC7}" name="Column2194" dataDxfId="14191"/>
    <tableColumn id="2219" xr3:uid="{BE017652-FD79-4911-B1A1-C11934A2D764}" name="Column2195" dataDxfId="14190"/>
    <tableColumn id="2220" xr3:uid="{77E1F98E-5F07-4494-9477-306343DA629E}" name="Column2196" dataDxfId="14189"/>
    <tableColumn id="2221" xr3:uid="{D6E4A1E0-6854-4022-B0AB-A2E5FD584534}" name="Column2197" dataDxfId="14188"/>
    <tableColumn id="2222" xr3:uid="{ED3CA0DF-93F4-40C2-8A0D-207B9DB14C80}" name="Column2198" dataDxfId="14187"/>
    <tableColumn id="2223" xr3:uid="{4834DB20-67B6-4D99-A39F-FB9FB0D3B4C6}" name="Column2199" dataDxfId="14186"/>
    <tableColumn id="2224" xr3:uid="{363DC274-D3A2-4B6B-B601-94DD3EFFEC68}" name="Column2200" dataDxfId="14185"/>
    <tableColumn id="2225" xr3:uid="{6DBCA388-2B7D-4DCC-BD9A-02AA84D4E9C0}" name="Column2201" dataDxfId="14184"/>
    <tableColumn id="2226" xr3:uid="{BC7D05FD-B160-43B8-AD02-1175213760FB}" name="Column2202" dataDxfId="14183"/>
    <tableColumn id="2227" xr3:uid="{D4F84A4B-27DC-4156-A952-D96BA0C2D0B1}" name="Column2203" dataDxfId="14182"/>
    <tableColumn id="2228" xr3:uid="{933A44C8-BF1F-43C8-8CE9-7045E16C7653}" name="Column2204" dataDxfId="14181"/>
    <tableColumn id="2229" xr3:uid="{E11F92E1-4F0A-4D3F-94EE-C93CA166C76A}" name="Column2205" dataDxfId="14180"/>
    <tableColumn id="2230" xr3:uid="{1C8F28D6-7D67-4288-A6F1-A02A97F86389}" name="Column2206" dataDxfId="14179"/>
    <tableColumn id="2231" xr3:uid="{B2DDC47E-89B9-4A17-80DD-B85A9B95F22B}" name="Column2207" dataDxfId="14178"/>
    <tableColumn id="2232" xr3:uid="{7394ADB7-7BF4-4A6A-B92F-AA7F93363F2B}" name="Column2208" dataDxfId="14177"/>
    <tableColumn id="2233" xr3:uid="{D06ABE57-8EEC-4B99-B57F-8534803E2547}" name="Column2209" dataDxfId="14176"/>
    <tableColumn id="2234" xr3:uid="{57E285E5-77EB-40C0-818A-9772CFC51C8D}" name="Column2210" dataDxfId="14175"/>
    <tableColumn id="2235" xr3:uid="{C690649D-42E5-43F7-96F2-1B1E3B125765}" name="Column2211" dataDxfId="14174"/>
    <tableColumn id="2236" xr3:uid="{F38FE01C-A8F2-4292-B314-0CCBECE14DEE}" name="Column2212" dataDxfId="14173"/>
    <tableColumn id="2237" xr3:uid="{D6BA6268-10C9-4C03-BBE3-2BDE615540A2}" name="Column2213" dataDxfId="14172"/>
    <tableColumn id="2238" xr3:uid="{8322F44B-D942-4B18-BAD9-0B32E879F634}" name="Column2214" dataDxfId="14171"/>
    <tableColumn id="2239" xr3:uid="{0579E83B-BA3C-4C8F-8E95-C1B5A9ED7C3F}" name="Column2215" dataDxfId="14170"/>
    <tableColumn id="2240" xr3:uid="{87E878BE-86D5-4A70-8FCA-14D2ADB2E021}" name="Column2216" dataDxfId="14169"/>
    <tableColumn id="2241" xr3:uid="{6DC45721-7EFD-461A-90DA-94740224E780}" name="Column2217" dataDxfId="14168"/>
    <tableColumn id="2242" xr3:uid="{B836ADC9-442F-4A30-8DAD-930AF32424AD}" name="Column2218" dataDxfId="14167"/>
    <tableColumn id="2243" xr3:uid="{D142F1AD-FC58-4066-AC44-D3F050E7D1D5}" name="Column2219" dataDxfId="14166"/>
    <tableColumn id="2244" xr3:uid="{70CAD8EE-AE35-4F0E-8FE2-1E501297B6FD}" name="Column2220" dataDxfId="14165"/>
    <tableColumn id="2245" xr3:uid="{838D006B-C7A6-470B-9B7D-4C9ECD618146}" name="Column2221" dataDxfId="14164"/>
    <tableColumn id="2246" xr3:uid="{DC69AB50-350A-412E-BF9A-4E30BB51D77F}" name="Column2222" dataDxfId="14163"/>
    <tableColumn id="2247" xr3:uid="{FC5FA566-1A39-473F-85AD-11F7B282F6A4}" name="Column2223" dataDxfId="14162"/>
    <tableColumn id="2248" xr3:uid="{810910E6-AF91-488B-939A-3BD40D415DA2}" name="Column2224" dataDxfId="14161"/>
    <tableColumn id="2249" xr3:uid="{28358221-352D-4B36-8CBC-1E6CB71BC468}" name="Column2225" dataDxfId="14160"/>
    <tableColumn id="2250" xr3:uid="{7C7D2482-02B5-4D18-B6AA-91A6CCB12E9B}" name="Column2226" dataDxfId="14159"/>
    <tableColumn id="2251" xr3:uid="{D8B8263D-8CB1-4691-889F-F253FF06C97C}" name="Column2227" dataDxfId="14158"/>
    <tableColumn id="2252" xr3:uid="{46E64216-067C-4F05-ACDD-373805E9F94E}" name="Column2228" dataDxfId="14157"/>
    <tableColumn id="2253" xr3:uid="{E85AC1C8-0795-4A01-BD50-1D3EA4BB3CF6}" name="Column2229" dataDxfId="14156"/>
    <tableColumn id="2254" xr3:uid="{022558D6-026B-43EF-8FBF-354615852F37}" name="Column2230" dataDxfId="14155"/>
    <tableColumn id="2255" xr3:uid="{E8A44AE5-57DC-4F7F-95DE-FEE20985D5AB}" name="Column2231" dataDxfId="14154"/>
    <tableColumn id="2256" xr3:uid="{BBADE462-B8F2-4403-A3C3-0F6C861F7C90}" name="Column2232" dataDxfId="14153"/>
    <tableColumn id="2257" xr3:uid="{0E02A443-0D39-4893-BE38-4F5A69C538E7}" name="Column2233" dataDxfId="14152"/>
    <tableColumn id="2258" xr3:uid="{7B76F887-D4F5-4755-A557-6D80B8D17286}" name="Column2234" dataDxfId="14151"/>
    <tableColumn id="2259" xr3:uid="{ECCF5EC4-1A29-4289-B8A6-ACC3C90A935B}" name="Column2235" dataDxfId="14150"/>
    <tableColumn id="2260" xr3:uid="{C60D3E35-BD41-424D-952A-4D5A508B3EA7}" name="Column2236" dataDxfId="14149"/>
    <tableColumn id="2261" xr3:uid="{8F4E2643-72F3-4BF8-A736-F9265E9F4B75}" name="Column2237" dataDxfId="14148"/>
    <tableColumn id="2262" xr3:uid="{C4EF6C6E-DD9A-4011-96C2-84DDF4F6EFF1}" name="Column2238" dataDxfId="14147"/>
    <tableColumn id="2263" xr3:uid="{CDB70FBF-9E70-4D15-8D39-582E41F7C9D2}" name="Column2239" dataDxfId="14146"/>
    <tableColumn id="2264" xr3:uid="{4A68435B-2950-44F1-9F4A-686F67F3FF66}" name="Column2240" dataDxfId="14145"/>
    <tableColumn id="2265" xr3:uid="{EAEB7FB2-9B18-42E4-9A63-80B207441C04}" name="Column2241" dataDxfId="14144"/>
    <tableColumn id="2266" xr3:uid="{F21BB598-8A6A-4727-850D-F3E46B78D764}" name="Column2242" dataDxfId="14143"/>
    <tableColumn id="2267" xr3:uid="{4BFFB040-C4E5-499D-B068-E99AC69D361B}" name="Column2243" dataDxfId="14142"/>
    <tableColumn id="2268" xr3:uid="{ED9D3446-855F-403C-9842-A7B493F0BF83}" name="Column2244" dataDxfId="14141"/>
    <tableColumn id="2269" xr3:uid="{E8ECF849-400D-49FA-83FA-725A1C492028}" name="Column2245" dataDxfId="14140"/>
    <tableColumn id="2270" xr3:uid="{4C4FDBDB-8861-4DC9-B3AB-CDCBFB6335B0}" name="Column2246" dataDxfId="14139"/>
    <tableColumn id="2271" xr3:uid="{D8913C6E-ED2D-44B6-9343-D77B2FFCC1DD}" name="Column2247" dataDxfId="14138"/>
    <tableColumn id="2272" xr3:uid="{849B4CBE-206B-45F2-BF3D-7B2EED6B28BB}" name="Column2248" dataDxfId="14137"/>
    <tableColumn id="2273" xr3:uid="{2B110ADA-04ED-4F2A-BAE5-C4F7318B235F}" name="Column2249" dataDxfId="14136"/>
    <tableColumn id="2274" xr3:uid="{6C983869-F7D7-4EF0-87C9-82674105469A}" name="Column2250" dataDxfId="14135"/>
    <tableColumn id="2275" xr3:uid="{B0E7B51B-BE11-4CCD-87E5-C1AFFAEA8BA1}" name="Column2251" dataDxfId="14134"/>
    <tableColumn id="2276" xr3:uid="{BA1052A1-8EE8-4A89-B2DA-DF5B20E9735A}" name="Column2252" dataDxfId="14133"/>
    <tableColumn id="2277" xr3:uid="{19B8EE4D-2059-412C-B087-D0E21DAD71A0}" name="Column2253" dataDxfId="14132"/>
    <tableColumn id="2278" xr3:uid="{CEAAB3E0-D60A-472A-9FCF-7C09EF6CBEB8}" name="Column2254" dataDxfId="14131"/>
    <tableColumn id="2279" xr3:uid="{3B0A65FE-1DB4-4E3D-9A27-22D39D90DEDD}" name="Column2255" dataDxfId="14130"/>
    <tableColumn id="2280" xr3:uid="{B0135AD1-6D08-4834-BBCF-1FFD94684900}" name="Column2256" dataDxfId="14129"/>
    <tableColumn id="2281" xr3:uid="{B9379BD9-2249-4081-96EC-796E66D4C5C8}" name="Column2257" dataDxfId="14128"/>
    <tableColumn id="2282" xr3:uid="{A2F92385-8DDD-41EE-8192-D6AD3BB2A332}" name="Column2258" dataDxfId="14127"/>
    <tableColumn id="2283" xr3:uid="{51633E28-F41F-4B8C-9C77-422EF8994852}" name="Column2259" dataDxfId="14126"/>
    <tableColumn id="2284" xr3:uid="{F8D8C4D7-3388-42E3-9FE1-C22170AD63FE}" name="Column2260" dataDxfId="14125"/>
    <tableColumn id="2285" xr3:uid="{A94D4C54-586A-4204-A2B7-AC4F18F13994}" name="Column2261" dataDxfId="14124"/>
    <tableColumn id="2286" xr3:uid="{3BDA0EAB-D59F-4213-8B66-905E2705ED7D}" name="Column2262" dataDxfId="14123"/>
    <tableColumn id="2287" xr3:uid="{0DEA7BDB-70EB-4F5A-BCCF-5D6EE5D5157A}" name="Column2263" dataDxfId="14122"/>
    <tableColumn id="2288" xr3:uid="{A3AFB3CB-B331-41DC-B9D7-AF7123B1B9D6}" name="Column2264" dataDxfId="14121"/>
    <tableColumn id="2289" xr3:uid="{7B471409-86D2-460D-BB55-6A5FB087D71D}" name="Column2265" dataDxfId="14120"/>
    <tableColumn id="2290" xr3:uid="{02CEDB1D-F439-4DF1-B013-013567A6C5B9}" name="Column2266" dataDxfId="14119"/>
    <tableColumn id="2291" xr3:uid="{7F503ED5-F805-44B8-89DB-AB15797A3EB3}" name="Column2267" dataDxfId="14118"/>
    <tableColumn id="2292" xr3:uid="{622362A4-5195-4258-8A8E-FC13C2717312}" name="Column2268" dataDxfId="14117"/>
    <tableColumn id="2293" xr3:uid="{E103972E-B5ED-4EE9-9464-574C712CBE4C}" name="Column2269" dataDxfId="14116"/>
    <tableColumn id="2294" xr3:uid="{8BE6823D-064A-49D6-AF16-BFEEB2BA40A4}" name="Column2270" dataDxfId="14115"/>
    <tableColumn id="2295" xr3:uid="{BAE4D494-FF91-4F8C-AB1C-5130ED7579BF}" name="Column2271" dataDxfId="14114"/>
    <tableColumn id="2296" xr3:uid="{554FD867-F0EA-4F4C-B61A-685D3D7A2429}" name="Column2272" dataDxfId="14113"/>
    <tableColumn id="2297" xr3:uid="{D0A1A5EE-0EB1-4F60-BCB1-A66EF99DB8F9}" name="Column2273" dataDxfId="14112"/>
    <tableColumn id="2298" xr3:uid="{F59CB2B5-548D-45B1-B1C0-1A98CE22B22C}" name="Column2274" dataDxfId="14111"/>
    <tableColumn id="2299" xr3:uid="{A43A6B9B-EECB-4D0E-AEBF-E0751B381F62}" name="Column2275" dataDxfId="14110"/>
    <tableColumn id="2300" xr3:uid="{293C6C53-F9A9-4B85-9F6E-371F195B2821}" name="Column2276" dataDxfId="14109"/>
    <tableColumn id="2301" xr3:uid="{6D5CFE03-F7E1-48C9-943F-8CA9F80520DD}" name="Column2277" dataDxfId="14108"/>
    <tableColumn id="2302" xr3:uid="{6B510049-2EB7-4589-A480-5473739C64B0}" name="Column2278" dataDxfId="14107"/>
    <tableColumn id="2303" xr3:uid="{8345C6AE-1A12-41FE-A9C4-14D1040998C0}" name="Column2279" dataDxfId="14106"/>
    <tableColumn id="2304" xr3:uid="{A321A928-24C2-4B26-889E-D70CD8F1AE20}" name="Column2280" dataDxfId="14105"/>
    <tableColumn id="2305" xr3:uid="{4B86077D-F1D3-49CD-984F-70D7B09136DD}" name="Column2281" dataDxfId="14104"/>
    <tableColumn id="2306" xr3:uid="{B364C94C-FA6F-49C1-BD00-DF3E48A4BFB5}" name="Column2282" dataDxfId="14103"/>
    <tableColumn id="2307" xr3:uid="{D9ECBB31-B9AF-4C6F-8404-FA7B933396DF}" name="Column2283" dataDxfId="14102"/>
    <tableColumn id="2308" xr3:uid="{0AA681AF-1B0C-464A-A254-B8AF0515EC38}" name="Column2284" dataDxfId="14101"/>
    <tableColumn id="2309" xr3:uid="{99091503-2E82-4391-B658-210A781E9B0A}" name="Column2285" dataDxfId="14100"/>
    <tableColumn id="2310" xr3:uid="{CCB7D3D7-CE6A-49F6-9D5C-E1F2937208F7}" name="Column2286" dataDxfId="14099"/>
    <tableColumn id="2311" xr3:uid="{62313652-2597-40DB-8010-FA217F748046}" name="Column2287" dataDxfId="14098"/>
    <tableColumn id="2312" xr3:uid="{73C817AB-21FA-4CD6-8B8D-F9E4935471D9}" name="Column2288" dataDxfId="14097"/>
    <tableColumn id="2313" xr3:uid="{B5416DBF-C3CA-46F4-924D-A36AC76E9F24}" name="Column2289" dataDxfId="14096"/>
    <tableColumn id="2314" xr3:uid="{6EC3AAC3-A99C-4DF8-B154-918B049BE0B1}" name="Column2290" dataDxfId="14095"/>
    <tableColumn id="2315" xr3:uid="{E15A20D7-18AD-4371-B227-B905C5FFCA92}" name="Column2291" dataDxfId="14094"/>
    <tableColumn id="2316" xr3:uid="{B7B7DFEB-D161-4CC4-9688-60C1CA9103C1}" name="Column2292" dataDxfId="14093"/>
    <tableColumn id="2317" xr3:uid="{CCAF3958-4FC0-446B-BF8D-41B2ACD31E63}" name="Column2293" dataDxfId="14092"/>
    <tableColumn id="2318" xr3:uid="{3191488E-3999-43AF-8FFB-3E95AB7C8A2C}" name="Column2294" dataDxfId="14091"/>
    <tableColumn id="2319" xr3:uid="{46B8B154-C5D1-4FD6-AF68-BAD828EA71EA}" name="Column2295" dataDxfId="14090"/>
    <tableColumn id="2320" xr3:uid="{33B52C1E-C0ED-4B0B-9E2C-F1FF0AC216D4}" name="Column2296" dataDxfId="14089"/>
    <tableColumn id="2321" xr3:uid="{B3C0DBD3-B25B-4F39-BB13-B02FB92D919B}" name="Column2297" dataDxfId="14088"/>
    <tableColumn id="2322" xr3:uid="{D65B04B0-F362-49F8-89FA-CF9A33DBCD8B}" name="Column2298" dataDxfId="14087"/>
    <tableColumn id="2323" xr3:uid="{6D5CA119-B2A3-4B00-BEEC-1E3EFA5F8909}" name="Column2299" dataDxfId="14086"/>
    <tableColumn id="2324" xr3:uid="{973A12CB-8340-4D78-8CAC-A3470DE7F2AE}" name="Column2300" dataDxfId="14085"/>
    <tableColumn id="2325" xr3:uid="{9593D641-26E6-4956-850A-491A20C06A3F}" name="Column2301" dataDxfId="14084"/>
    <tableColumn id="2326" xr3:uid="{3B48EB3E-B790-4633-9021-BB34A11836D8}" name="Column2302" dataDxfId="14083"/>
    <tableColumn id="2327" xr3:uid="{79959BC9-5F86-473E-811A-596658C8DE8E}" name="Column2303" dataDxfId="14082"/>
    <tableColumn id="2328" xr3:uid="{0BD0AA63-6EC1-4937-ABFC-89EA286C626E}" name="Column2304" dataDxfId="14081"/>
    <tableColumn id="2329" xr3:uid="{7842DCFD-4159-46A4-A2FA-6711ABB791A2}" name="Column2305" dataDxfId="14080"/>
    <tableColumn id="2330" xr3:uid="{6F348652-6D01-4847-ACCF-206BD81A5503}" name="Column2306" dataDxfId="14079"/>
    <tableColumn id="2331" xr3:uid="{19C24AC6-E642-4AB2-A54C-CF393E4ABA50}" name="Column2307" dataDxfId="14078"/>
    <tableColumn id="2332" xr3:uid="{B8A7E576-AE4B-44EA-AC9D-4006D04A12F7}" name="Column2308" dataDxfId="14077"/>
    <tableColumn id="2333" xr3:uid="{6BFDA63A-3C3A-4D6E-B7A7-13530A1E054F}" name="Column2309" dataDxfId="14076"/>
    <tableColumn id="2334" xr3:uid="{02C76EB8-9485-4FB4-ACFC-D4DBA2CA8196}" name="Column2310" dataDxfId="14075"/>
    <tableColumn id="2335" xr3:uid="{728C23C1-F759-4670-BA80-2E76A9A1CF7B}" name="Column2311" dataDxfId="14074"/>
    <tableColumn id="2336" xr3:uid="{1FD13627-D7E4-44AA-8970-A0F84B91BD31}" name="Column2312" dataDxfId="14073"/>
    <tableColumn id="2337" xr3:uid="{9691B768-3D2E-4A39-96EE-6A980CA76213}" name="Column2313" dataDxfId="14072"/>
    <tableColumn id="2338" xr3:uid="{7C04F9C6-0D40-4A6B-951C-BBE07DFB8622}" name="Column2314" dataDxfId="14071"/>
    <tableColumn id="2339" xr3:uid="{8BCD5347-005E-4BDD-AD50-AB1FA5B1FC35}" name="Column2315" dataDxfId="14070"/>
    <tableColumn id="2340" xr3:uid="{5B1ED40C-A65E-4208-9186-C8CD920573D2}" name="Column2316" dataDxfId="14069"/>
    <tableColumn id="2341" xr3:uid="{74B71C48-22D0-42E2-B435-2DE3B815AD0C}" name="Column2317" dataDxfId="14068"/>
    <tableColumn id="2342" xr3:uid="{4BF04531-6313-433A-A039-5E9A11CB9C6C}" name="Column2318" dataDxfId="14067"/>
    <tableColumn id="2343" xr3:uid="{D51EF1D0-83A5-4AF1-8766-8943B05D6D8F}" name="Column2319" dataDxfId="14066"/>
    <tableColumn id="2344" xr3:uid="{4B9F78F9-4585-452C-988F-25F9E5F1D19E}" name="Column2320" dataDxfId="14065"/>
    <tableColumn id="2345" xr3:uid="{7A67D235-4764-41D2-827B-A7DB20E98474}" name="Column2321" dataDxfId="14064"/>
    <tableColumn id="2346" xr3:uid="{7A7D54CC-9563-4B6D-9E09-7E9CF239A9D3}" name="Column2322" dataDxfId="14063"/>
    <tableColumn id="2347" xr3:uid="{8BE80D24-1C34-443E-82CE-9576F5C65682}" name="Column2323" dataDxfId="14062"/>
    <tableColumn id="2348" xr3:uid="{C096AF8A-5B11-40CD-9F7F-D2A766CC11B9}" name="Column2324" dataDxfId="14061"/>
    <tableColumn id="2349" xr3:uid="{ACB87883-B28A-456A-90AE-802C630541CE}" name="Column2325" dataDxfId="14060"/>
    <tableColumn id="2350" xr3:uid="{E185761C-12AA-4D41-AF2F-B976FC2F4468}" name="Column2326" dataDxfId="14059"/>
    <tableColumn id="2351" xr3:uid="{9A16F6E2-C9CF-4011-889D-19A4E335CC95}" name="Column2327" dataDxfId="14058"/>
    <tableColumn id="2352" xr3:uid="{605321D0-950B-4678-9ECE-5A4F186F795A}" name="Column2328" dataDxfId="14057"/>
    <tableColumn id="2353" xr3:uid="{E1A0DAD5-8A9F-4961-A0E1-C646BD931D13}" name="Column2329" dataDxfId="14056"/>
    <tableColumn id="2354" xr3:uid="{B99D1767-9793-49C2-8072-BF0B8ED24C9B}" name="Column2330" dataDxfId="14055"/>
    <tableColumn id="2355" xr3:uid="{256B9956-A5A3-423C-93F5-9DC72CEC5AF2}" name="Column2331" dataDxfId="14054"/>
    <tableColumn id="2356" xr3:uid="{2206D36A-5C0D-4F01-B639-1A82DA8E508B}" name="Column2332" dataDxfId="14053"/>
    <tableColumn id="2357" xr3:uid="{F226E035-BB6E-435A-8405-D39C38E3B295}" name="Column2333" dataDxfId="14052"/>
    <tableColumn id="2358" xr3:uid="{675C89EA-6407-4024-9BB4-8BCF44C15D02}" name="Column2334" dataDxfId="14051"/>
    <tableColumn id="2359" xr3:uid="{FFBB1B7A-E2E5-4FAD-BEB3-E2333C5E3171}" name="Column2335" dataDxfId="14050"/>
    <tableColumn id="2360" xr3:uid="{3789E0DD-79FA-40EC-91CF-6205A91731B4}" name="Column2336" dataDxfId="14049"/>
    <tableColumn id="2361" xr3:uid="{A294B080-1C24-4914-B87B-545882008A7D}" name="Column2337" dataDxfId="14048"/>
    <tableColumn id="2362" xr3:uid="{BB16AB67-BE46-4BB3-95F5-92B5E5915F5D}" name="Column2338" dataDxfId="14047"/>
    <tableColumn id="2363" xr3:uid="{AA16E37B-85CD-4FFD-81AC-E84DA02D44C0}" name="Column2339" dataDxfId="14046"/>
    <tableColumn id="2364" xr3:uid="{8C32A125-1B94-4FC4-83F7-3F684C964E2A}" name="Column2340" dataDxfId="14045"/>
    <tableColumn id="2365" xr3:uid="{D535C677-A384-4B94-AD4B-4F07861DD78F}" name="Column2341" dataDxfId="14044"/>
    <tableColumn id="2366" xr3:uid="{9503DCCA-A49C-47BD-BB9E-1EB90746521F}" name="Column2342" dataDxfId="14043"/>
    <tableColumn id="2367" xr3:uid="{C3017463-C71A-4768-8B2B-58AB380D80DD}" name="Column2343" dataDxfId="14042"/>
    <tableColumn id="2368" xr3:uid="{C86320D4-C7F4-4E70-B24E-6BA4B3F626B9}" name="Column2344" dataDxfId="14041"/>
    <tableColumn id="2369" xr3:uid="{6CB67D9E-7FD3-4E1B-AA00-3C25CBEEF3D1}" name="Column2345" dataDxfId="14040"/>
    <tableColumn id="2370" xr3:uid="{17214C70-2222-4EE5-8788-07F8B25C6EC6}" name="Column2346" dataDxfId="14039"/>
    <tableColumn id="2371" xr3:uid="{9991687C-325E-403F-A894-60D288BD303C}" name="Column2347" dataDxfId="14038"/>
    <tableColumn id="2372" xr3:uid="{3D27C997-0C64-44E7-81DD-9E3D343434CE}" name="Column2348" dataDxfId="14037"/>
    <tableColumn id="2373" xr3:uid="{E88E6135-2D97-4762-A561-D3AB0A118E98}" name="Column2349" dataDxfId="14036"/>
    <tableColumn id="2374" xr3:uid="{28E1BDC4-3799-4A93-83B7-CB4305A206A5}" name="Column2350" dataDxfId="14035"/>
    <tableColumn id="2375" xr3:uid="{30411143-0872-45E1-A481-C0F7601BA3D8}" name="Column2351" dataDxfId="14034"/>
    <tableColumn id="2376" xr3:uid="{09AF4542-5EE4-4E4B-BCF4-DD52C746D4E7}" name="Column2352" dataDxfId="14033"/>
    <tableColumn id="2377" xr3:uid="{A6491708-E64B-4922-A1FE-E3B14CA08621}" name="Column2353" dataDxfId="14032"/>
    <tableColumn id="2378" xr3:uid="{328A8C43-1B09-4DBD-BC27-AB9F0A3DEB0F}" name="Column2354" dataDxfId="14031"/>
    <tableColumn id="2379" xr3:uid="{85F64A00-9F3A-4A08-BFA4-5C40EF9D59CF}" name="Column2355" dataDxfId="14030"/>
    <tableColumn id="2380" xr3:uid="{CDDFF126-4082-4A70-ADAC-24536FAB3C55}" name="Column2356" dataDxfId="14029"/>
    <tableColumn id="2381" xr3:uid="{7E371BB9-B140-41EF-BC4B-4C35B43FE9CF}" name="Column2357" dataDxfId="14028"/>
    <tableColumn id="2382" xr3:uid="{93005577-1177-4CB8-85F5-99F8A8A00924}" name="Column2358" dataDxfId="14027"/>
    <tableColumn id="2383" xr3:uid="{88708960-7E65-4889-BED4-665D115DE9A9}" name="Column2359" dataDxfId="14026"/>
    <tableColumn id="2384" xr3:uid="{C71E1A6D-0FD4-4B07-B95A-8BA167E97E99}" name="Column2360" dataDxfId="14025"/>
    <tableColumn id="2385" xr3:uid="{B95A837F-6E5D-40CF-A619-9C11AEC8B69C}" name="Column2361" dataDxfId="14024"/>
    <tableColumn id="2386" xr3:uid="{E0D525FC-2F7C-48DF-AD71-B39CE992D470}" name="Column2362" dataDxfId="14023"/>
    <tableColumn id="2387" xr3:uid="{6DC0A27B-1CB8-456A-81D3-AB7F3024C4EB}" name="Column2363" dataDxfId="14022"/>
    <tableColumn id="2388" xr3:uid="{4A26AE34-7CD2-4571-BF11-16C921358C36}" name="Column2364" dataDxfId="14021"/>
    <tableColumn id="2389" xr3:uid="{FC0A9138-3FEF-4964-A8FC-2D21355D446C}" name="Column2365" dataDxfId="14020"/>
    <tableColumn id="2390" xr3:uid="{2B1D27AB-622D-43CE-80EF-19832A88554C}" name="Column2366" dataDxfId="14019"/>
    <tableColumn id="2391" xr3:uid="{BC13614E-EF2D-410C-8D08-13F067649053}" name="Column2367" dataDxfId="14018"/>
    <tableColumn id="2392" xr3:uid="{DBCD5787-DA11-4B11-B5F8-FB2E5CD67B2A}" name="Column2368" dataDxfId="14017"/>
    <tableColumn id="2393" xr3:uid="{8175EB0A-9118-4B5F-A5F2-B37DDE76626C}" name="Column2369" dataDxfId="14016"/>
    <tableColumn id="2394" xr3:uid="{00AD6BEB-659A-45C9-B69D-11E518057867}" name="Column2370" dataDxfId="14015"/>
    <tableColumn id="2395" xr3:uid="{1A6F0569-BF4B-4EB4-BF04-002B3EBAA79F}" name="Column2371" dataDxfId="14014"/>
    <tableColumn id="2396" xr3:uid="{AC406427-61AD-411C-AA1F-BD8CB754A97D}" name="Column2372" dataDxfId="14013"/>
    <tableColumn id="2397" xr3:uid="{770842EE-D5B9-485F-885B-9FA81E745347}" name="Column2373" dataDxfId="14012"/>
    <tableColumn id="2398" xr3:uid="{846018AB-75B1-4D7E-8EE1-A5AEC3FDF52C}" name="Column2374" dataDxfId="14011"/>
    <tableColumn id="2399" xr3:uid="{36935485-682F-4C1A-9D65-74D4076BAF02}" name="Column2375" dataDxfId="14010"/>
    <tableColumn id="2400" xr3:uid="{CC5DCCEE-F242-4EAC-B513-5A8C8FC44BA7}" name="Column2376" dataDxfId="14009"/>
    <tableColumn id="2401" xr3:uid="{F7942A66-43B5-43C9-B162-7D59DA264FE0}" name="Column2377" dataDxfId="14008"/>
    <tableColumn id="2402" xr3:uid="{D47F867E-FBEA-4ADC-A781-6024AC0C7996}" name="Column2378" dataDxfId="14007"/>
    <tableColumn id="2403" xr3:uid="{8E94AF75-57C7-4DFA-9D80-A8FAD12280A7}" name="Column2379" dataDxfId="14006"/>
    <tableColumn id="2404" xr3:uid="{42990635-3ABC-41FC-83FA-5CE0A4F4BC5D}" name="Column2380" dataDxfId="14005"/>
    <tableColumn id="2405" xr3:uid="{E5AD830B-C776-49CD-B274-7FE409687C15}" name="Column2381" dataDxfId="14004"/>
    <tableColumn id="2406" xr3:uid="{DA232211-C17A-4095-97A4-197071069AFD}" name="Column2382" dataDxfId="14003"/>
    <tableColumn id="2407" xr3:uid="{1EA7E223-3589-42A3-B860-7B9484EAFE90}" name="Column2383" dataDxfId="14002"/>
    <tableColumn id="2408" xr3:uid="{D4BDDD3E-453A-4D6D-82B7-1DB7360F3CC4}" name="Column2384" dataDxfId="14001"/>
    <tableColumn id="2409" xr3:uid="{A8A9E0AF-C906-4580-A0D0-C3EBE12DB5DD}" name="Column2385" dataDxfId="14000"/>
    <tableColumn id="2410" xr3:uid="{D133B8E1-ED1E-4C06-A50C-BE843E24D762}" name="Column2386" dataDxfId="13999"/>
    <tableColumn id="2411" xr3:uid="{8E858E09-794C-4C01-A613-14970CBC9AB4}" name="Column2387" dataDxfId="13998"/>
    <tableColumn id="2412" xr3:uid="{5089B646-BA50-4D2F-9313-821060665E03}" name="Column2388" dataDxfId="13997"/>
    <tableColumn id="2413" xr3:uid="{F2D48E99-C487-432C-AA4A-431707BE5F13}" name="Column2389" dataDxfId="13996"/>
    <tableColumn id="2414" xr3:uid="{27BDC773-87C8-4FE1-B250-B541ABA9C607}" name="Column2390" dataDxfId="13995"/>
    <tableColumn id="2415" xr3:uid="{B1FDAC3E-DA2F-4E20-A76D-B15595FD9E5B}" name="Column2391" dataDxfId="13994"/>
    <tableColumn id="2416" xr3:uid="{CD96D826-0F6A-438E-9E8E-BC394B78EA91}" name="Column2392" dataDxfId="13993"/>
    <tableColumn id="2417" xr3:uid="{2B211938-44E3-4444-AB0F-4E733A9623E6}" name="Column2393" dataDxfId="13992"/>
    <tableColumn id="2418" xr3:uid="{126B1878-5FED-494A-837A-07A28F67F233}" name="Column2394" dataDxfId="13991"/>
    <tableColumn id="2419" xr3:uid="{A6CC27BC-C530-4E32-BA1D-59F3845C29FB}" name="Column2395" dataDxfId="13990"/>
    <tableColumn id="2420" xr3:uid="{18128B91-1A58-4431-8E7A-5F8D079AAAF2}" name="Column2396" dataDxfId="13989"/>
    <tableColumn id="2421" xr3:uid="{3A984079-CA95-4D5F-ADF0-216954863765}" name="Column2397" dataDxfId="13988"/>
    <tableColumn id="2422" xr3:uid="{CE1F8D18-9C78-46B3-974A-EF825E62519B}" name="Column2398" dataDxfId="13987"/>
    <tableColumn id="2423" xr3:uid="{95014FBE-B350-465E-BC11-2ABF71577741}" name="Column2399" dataDxfId="13986"/>
    <tableColumn id="2424" xr3:uid="{D6C07E45-0EAC-4EB3-BC69-50BC2DB6F899}" name="Column2400" dataDxfId="13985"/>
    <tableColumn id="2425" xr3:uid="{1BC9C445-6CAB-48A7-88A5-1FE47E2E626A}" name="Column2401" dataDxfId="13984"/>
    <tableColumn id="2426" xr3:uid="{ADFB89B3-64C0-40C4-A767-C91C38A69616}" name="Column2402" dataDxfId="13983"/>
    <tableColumn id="2427" xr3:uid="{DA835229-EF2F-4D37-9DD1-22928435E31F}" name="Column2403" dataDxfId="13982"/>
    <tableColumn id="2428" xr3:uid="{7ECCD51C-8AC8-4260-8525-B0EB65CFDF3D}" name="Column2404" dataDxfId="13981"/>
    <tableColumn id="2429" xr3:uid="{3E9ABA13-1BCB-4FAD-A328-875A9DB894A6}" name="Column2405" dataDxfId="13980"/>
    <tableColumn id="2430" xr3:uid="{67F1C323-D549-4523-8FB4-A1A5147FFF41}" name="Column2406" dataDxfId="13979"/>
    <tableColumn id="2431" xr3:uid="{DD38926D-3C31-4DE7-8F0C-373FDEDDF166}" name="Column2407" dataDxfId="13978"/>
    <tableColumn id="2432" xr3:uid="{B4E3C932-DE84-4F2B-A995-5AD45A24ED2C}" name="Column2408" dataDxfId="13977"/>
    <tableColumn id="2433" xr3:uid="{341D7D71-52C8-4541-9754-D07BFD86676A}" name="Column2409" dataDxfId="13976"/>
    <tableColumn id="2434" xr3:uid="{1EC94355-3620-4BFF-95DE-1628A64E11BA}" name="Column2410" dataDxfId="13975"/>
    <tableColumn id="2435" xr3:uid="{CD518B23-9647-4FCC-BE97-082D8677CD5E}" name="Column2411" dataDxfId="13974"/>
    <tableColumn id="2436" xr3:uid="{D394C2BD-F4AE-4E94-B615-E789440843E5}" name="Column2412" dataDxfId="13973"/>
    <tableColumn id="2437" xr3:uid="{EF5F9DA7-1844-4CD5-B07C-24AA368BAA23}" name="Column2413" dataDxfId="13972"/>
    <tableColumn id="2438" xr3:uid="{02EC5D41-5C9F-4B44-AD60-6E5B66DAE7D2}" name="Column2414" dataDxfId="13971"/>
    <tableColumn id="2439" xr3:uid="{830A980E-6A18-4602-8D12-18B4A1D0A999}" name="Column2415" dataDxfId="13970"/>
    <tableColumn id="2440" xr3:uid="{42B4DF96-A833-4CE2-AA57-4EC0597D8E22}" name="Column2416" dataDxfId="13969"/>
    <tableColumn id="2441" xr3:uid="{4CC56A99-AF56-46DC-9711-23D8B060AC47}" name="Column2417" dataDxfId="13968"/>
    <tableColumn id="2442" xr3:uid="{B4A59FAF-0991-4466-820E-C47B939EC1AB}" name="Column2418" dataDxfId="13967"/>
    <tableColumn id="2443" xr3:uid="{67CA4851-95B4-4F52-B1F5-295C2DB5F25B}" name="Column2419" dataDxfId="13966"/>
    <tableColumn id="2444" xr3:uid="{C83CD995-2E5F-479F-9AE7-BC3E45DD20FC}" name="Column2420" dataDxfId="13965"/>
    <tableColumn id="2445" xr3:uid="{F6BEC981-5F39-4CDC-8E76-70B335ACC279}" name="Column2421" dataDxfId="13964"/>
    <tableColumn id="2446" xr3:uid="{C740F748-798B-4171-96D9-843D881CC72D}" name="Column2422" dataDxfId="13963"/>
    <tableColumn id="2447" xr3:uid="{61C41B6B-3500-4AD1-A16A-276F2B49D9BA}" name="Column2423" dataDxfId="13962"/>
    <tableColumn id="2448" xr3:uid="{7DD33647-C738-42FF-9D20-EE89318DF836}" name="Column2424" dataDxfId="13961"/>
    <tableColumn id="2449" xr3:uid="{08EFE52B-A7F8-4050-9E23-BBBE27279FDF}" name="Column2425" dataDxfId="13960"/>
    <tableColumn id="2450" xr3:uid="{F47D0C60-2B42-4AC3-96D9-C8F7D1B920F8}" name="Column2426" dataDxfId="13959"/>
    <tableColumn id="2451" xr3:uid="{FE9D2F4B-B2B7-447F-8533-D19914ED8E0B}" name="Column2427" dataDxfId="13958"/>
    <tableColumn id="2452" xr3:uid="{DF0F4422-A630-4060-A7AE-987D90E1BC64}" name="Column2428" dataDxfId="13957"/>
    <tableColumn id="2453" xr3:uid="{93D2B416-05C3-45A5-A5DA-399E8F3D809D}" name="Column2429" dataDxfId="13956"/>
    <tableColumn id="2454" xr3:uid="{A0CCA05D-56C0-4AE9-8AB4-5942F55F6F29}" name="Column2430" dataDxfId="13955"/>
    <tableColumn id="2455" xr3:uid="{9B67D87D-D499-4670-AF2B-8ED746BACABC}" name="Column2431" dataDxfId="13954"/>
    <tableColumn id="2456" xr3:uid="{56C9B3A1-B0F9-43CB-81CF-E2E02F43BAB4}" name="Column2432" dataDxfId="13953"/>
    <tableColumn id="2457" xr3:uid="{5E3FFA72-308E-4E5F-A488-009997B4ABA5}" name="Column2433" dataDxfId="13952"/>
    <tableColumn id="2458" xr3:uid="{F203D844-295A-4FE6-9F23-F7E5A8B0BDA0}" name="Column2434" dataDxfId="13951"/>
    <tableColumn id="2459" xr3:uid="{D2D91103-A3AB-4ABD-B063-CD8CAEBE8E3E}" name="Column2435" dataDxfId="13950"/>
    <tableColumn id="2460" xr3:uid="{2A26AD40-6FD9-4D61-A1EF-0B876D7E6F61}" name="Column2436" dataDxfId="13949"/>
    <tableColumn id="2461" xr3:uid="{F76D17AC-FD11-42E3-97D8-7643FD74021A}" name="Column2437" dataDxfId="13948"/>
    <tableColumn id="2462" xr3:uid="{CABCAF10-F34D-47EA-8518-0897414A73A8}" name="Column2438" dataDxfId="13947"/>
    <tableColumn id="2463" xr3:uid="{067702BB-0157-46EF-A0AA-C3B15DE7FA53}" name="Column2439" dataDxfId="13946"/>
    <tableColumn id="2464" xr3:uid="{7675455C-662F-424F-8443-CA7DF4777C95}" name="Column2440" dataDxfId="13945"/>
    <tableColumn id="2465" xr3:uid="{09CC0370-563E-4711-85F8-105113184752}" name="Column2441" dataDxfId="13944"/>
    <tableColumn id="2466" xr3:uid="{FD086ED0-9FEC-43C2-B834-4B1276595427}" name="Column2442" dataDxfId="13943"/>
    <tableColumn id="2467" xr3:uid="{A6216EE3-4AFC-452D-A86D-C4B511F5A1F6}" name="Column2443" dataDxfId="13942"/>
    <tableColumn id="2468" xr3:uid="{8B9AD9DA-8358-40D1-A2C8-85A1EE7B08EB}" name="Column2444" dataDxfId="13941"/>
    <tableColumn id="2469" xr3:uid="{DC6E918D-5C6B-4E30-B321-2987C5FDE0B4}" name="Column2445" dataDxfId="13940"/>
    <tableColumn id="2470" xr3:uid="{87977820-DF66-45D2-B8A8-A6F6EFD48D17}" name="Column2446" dataDxfId="13939"/>
    <tableColumn id="2471" xr3:uid="{B524E1C9-EDBA-430B-BEE7-F05811BB8A04}" name="Column2447" dataDxfId="13938"/>
    <tableColumn id="2472" xr3:uid="{1411ECCC-63B0-4B3F-9BB5-B52609A93522}" name="Column2448" dataDxfId="13937"/>
    <tableColumn id="2473" xr3:uid="{985892FC-8187-4006-AE1E-AD32C04FA1DE}" name="Column2449" dataDxfId="13936"/>
    <tableColumn id="2474" xr3:uid="{F588B41C-CA22-4DF0-8E8E-D4BCC61D7606}" name="Column2450" dataDxfId="13935"/>
    <tableColumn id="2475" xr3:uid="{10D145AE-76E7-4030-847A-DB84AD6428DC}" name="Column2451" dataDxfId="13934"/>
    <tableColumn id="2476" xr3:uid="{DBA39901-81DC-4D30-BA2D-59B7214AFA1F}" name="Column2452" dataDxfId="13933"/>
    <tableColumn id="2477" xr3:uid="{6777F056-B155-4066-81C7-0F6B444283C8}" name="Column2453" dataDxfId="13932"/>
    <tableColumn id="2478" xr3:uid="{B01CA037-F3C1-4C2B-8C4A-19232FD23ECD}" name="Column2454" dataDxfId="13931"/>
    <tableColumn id="2479" xr3:uid="{91955503-1E6A-4558-B2CE-6A032FD64899}" name="Column2455" dataDxfId="13930"/>
    <tableColumn id="2480" xr3:uid="{499D6B6A-30E4-4ACF-9808-F870C49D4F7B}" name="Column2456" dataDxfId="13929"/>
    <tableColumn id="2481" xr3:uid="{276F599E-5B6F-431C-9EC0-73D387350920}" name="Column2457" dataDxfId="13928"/>
    <tableColumn id="2482" xr3:uid="{6E5E0C1C-B6D6-424A-96C8-47DA27C86767}" name="Column2458" dataDxfId="13927"/>
    <tableColumn id="2483" xr3:uid="{704201B4-41E4-42CF-BA96-82BB1DC085C1}" name="Column2459" dataDxfId="13926"/>
    <tableColumn id="2484" xr3:uid="{4BBE67AD-78C8-41DD-86FA-8CF185294B79}" name="Column2460" dataDxfId="13925"/>
    <tableColumn id="2485" xr3:uid="{6B961140-123B-4D3A-AE4B-95345BDEA6A2}" name="Column2461" dataDxfId="13924"/>
    <tableColumn id="2486" xr3:uid="{1240AFD0-D36A-4B07-AEBF-C0AC7EE9CFFE}" name="Column2462" dataDxfId="13923"/>
    <tableColumn id="2487" xr3:uid="{FB4969F3-E7B2-4AEE-A477-BA7093BC8CE8}" name="Column2463" dataDxfId="13922"/>
    <tableColumn id="2488" xr3:uid="{088C3C5A-525E-4B57-A239-FB9847D49F20}" name="Column2464" dataDxfId="13921"/>
    <tableColumn id="2489" xr3:uid="{84618111-B650-48FE-BE1A-E035D2069623}" name="Column2465" dataDxfId="13920"/>
    <tableColumn id="2490" xr3:uid="{49B883A1-FE63-4037-8463-676AE63CA1E3}" name="Column2466" dataDxfId="13919"/>
    <tableColumn id="2491" xr3:uid="{AAE64B70-BA04-4E25-8C06-9005CCC11FA6}" name="Column2467" dataDxfId="13918"/>
    <tableColumn id="2492" xr3:uid="{C8ADA296-5FC4-48A0-B7C7-54BE32550AA7}" name="Column2468" dataDxfId="13917"/>
    <tableColumn id="2493" xr3:uid="{648ADFBF-0C03-4FD0-8E85-9993E3ED90C8}" name="Column2469" dataDxfId="13916"/>
    <tableColumn id="2494" xr3:uid="{FD76FB7E-534C-444F-A136-7A45FE38CB41}" name="Column2470" dataDxfId="13915"/>
    <tableColumn id="2495" xr3:uid="{CE9953E4-0184-41DB-8070-EA26249EC8D8}" name="Column2471" dataDxfId="13914"/>
    <tableColumn id="2496" xr3:uid="{AE10CC50-B7A1-40BC-92F5-213213CFBDA2}" name="Column2472" dataDxfId="13913"/>
    <tableColumn id="2497" xr3:uid="{32B695F4-D6C3-4342-886A-F41FE8A9E0D3}" name="Column2473" dataDxfId="13912"/>
    <tableColumn id="2498" xr3:uid="{7C39BDBD-3B47-472B-9F46-623F81C2DC29}" name="Column2474" dataDxfId="13911"/>
    <tableColumn id="2499" xr3:uid="{A5A6C1D0-53F5-4E3C-90AC-9A0959720314}" name="Column2475" dataDxfId="13910"/>
    <tableColumn id="2500" xr3:uid="{759BE117-7359-4676-A330-DB64CB0B81EC}" name="Column2476" dataDxfId="13909"/>
    <tableColumn id="2501" xr3:uid="{9E1E2855-AAAF-480D-9D59-9DF3868AE45F}" name="Column2477" dataDxfId="13908"/>
    <tableColumn id="2502" xr3:uid="{B3CAF94D-A577-432A-ADFB-56C8FDA9DE66}" name="Column2478" dataDxfId="13907"/>
    <tableColumn id="2503" xr3:uid="{89704652-6C66-472F-B796-ACDFA3D698A5}" name="Column2479" dataDxfId="13906"/>
    <tableColumn id="2504" xr3:uid="{F55860A1-B09A-4BD9-82C9-1C0D669C0FCA}" name="Column2480" dataDxfId="13905"/>
    <tableColumn id="2505" xr3:uid="{D877F2FE-1357-4ACE-A520-49EF9A1E8541}" name="Column2481" dataDxfId="13904"/>
    <tableColumn id="2506" xr3:uid="{9138E793-9A94-4E49-85B6-2EBE908ECFBE}" name="Column2482" dataDxfId="13903"/>
    <tableColumn id="2507" xr3:uid="{032A82F8-9401-4751-AE60-D05F3CC2D2CD}" name="Column2483" dataDxfId="13902"/>
    <tableColumn id="2508" xr3:uid="{89DBD07B-C28B-45A5-8315-80EAE51DFF65}" name="Column2484" dataDxfId="13901"/>
    <tableColumn id="2509" xr3:uid="{5CF5F941-7F9E-41EB-AA65-C0C52463CD96}" name="Column2485" dataDxfId="13900"/>
    <tableColumn id="2510" xr3:uid="{1E43AE80-4CD0-4718-8940-D0AEA9310F33}" name="Column2486" dataDxfId="13899"/>
    <tableColumn id="2511" xr3:uid="{6E77F629-47F3-4035-8482-806EB09FCA16}" name="Column2487" dataDxfId="13898"/>
    <tableColumn id="2512" xr3:uid="{89F8B172-D5FF-483F-B133-1D6FB09E071F}" name="Column2488" dataDxfId="13897"/>
    <tableColumn id="2513" xr3:uid="{C6651273-7EA7-4D8A-A5A4-E46E5D684937}" name="Column2489" dataDxfId="13896"/>
    <tableColumn id="2514" xr3:uid="{5D823243-EEF5-4760-A213-10BE1BA57AAE}" name="Column2490" dataDxfId="13895"/>
    <tableColumn id="2515" xr3:uid="{8DE1EF23-1E5B-4F1E-AE9B-0C2FCE80E5C8}" name="Column2491" dataDxfId="13894"/>
    <tableColumn id="2516" xr3:uid="{DB4C9072-06FE-445A-B5DD-765336C27229}" name="Column2492" dataDxfId="13893"/>
    <tableColumn id="2517" xr3:uid="{96614861-4C21-4773-9463-39C7FC0DE6C6}" name="Column2493" dataDxfId="13892"/>
    <tableColumn id="2518" xr3:uid="{523FCB89-262D-44B7-ADC2-588125C25D40}" name="Column2494" dataDxfId="13891"/>
    <tableColumn id="2519" xr3:uid="{DBBD7022-1D09-4B2F-9016-E6F662EB8F99}" name="Column2495" dataDxfId="13890"/>
    <tableColumn id="2520" xr3:uid="{FF320011-57E0-4038-8991-03D850FB4D3A}" name="Column2496" dataDxfId="13889"/>
    <tableColumn id="2521" xr3:uid="{35001B7C-B349-49CD-8FF9-E171AA2CCC04}" name="Column2497" dataDxfId="13888"/>
    <tableColumn id="2522" xr3:uid="{618FD1CE-06C0-48BD-8664-DD8DD667BE92}" name="Column2498" dataDxfId="13887"/>
    <tableColumn id="2523" xr3:uid="{C467ACC0-06BF-4DB0-AE95-2652E872AC76}" name="Column2499" dataDxfId="13886"/>
    <tableColumn id="2524" xr3:uid="{F0538F87-8B41-4BFC-8817-2B5D0B023751}" name="Column2500" dataDxfId="13885"/>
    <tableColumn id="2525" xr3:uid="{9AA8147F-3CAC-4903-88DB-BA7ABF864D8F}" name="Column2501" dataDxfId="13884"/>
    <tableColumn id="2526" xr3:uid="{3CB685AF-21DA-4AAB-8238-B24E25E0DCE9}" name="Column2502" dataDxfId="13883"/>
    <tableColumn id="2527" xr3:uid="{EB6220E1-2726-4CAA-B2C7-B137FB2522D2}" name="Column2503" dataDxfId="13882"/>
    <tableColumn id="2528" xr3:uid="{F2FCEF3E-1963-4BE9-BEDE-02F875F6325D}" name="Column2504" dataDxfId="13881"/>
    <tableColumn id="2529" xr3:uid="{474E2EDA-8A2D-44D8-A33E-CABCBF08B82B}" name="Column2505" dataDxfId="13880"/>
    <tableColumn id="2530" xr3:uid="{A0D18599-9EAC-4927-84D5-731A9A6ABE17}" name="Column2506" dataDxfId="13879"/>
    <tableColumn id="2531" xr3:uid="{34423BB3-2159-4F06-9622-8C2CF22C5A74}" name="Column2507" dataDxfId="13878"/>
    <tableColumn id="2532" xr3:uid="{4A1FB69D-EEFE-43D5-8DB1-E73A3A524669}" name="Column2508" dataDxfId="13877"/>
    <tableColumn id="2533" xr3:uid="{0B136EA8-35A1-4F45-8927-7288505DCB0D}" name="Column2509" dataDxfId="13876"/>
    <tableColumn id="2534" xr3:uid="{B8D88562-E37F-4407-92BD-B6C9A47294C6}" name="Column2510" dataDxfId="13875"/>
    <tableColumn id="2535" xr3:uid="{B5E35737-70D8-4592-B9E6-8E6218381B32}" name="Column2511" dataDxfId="13874"/>
    <tableColumn id="2536" xr3:uid="{A42A12A4-B296-435D-8936-49093F086D3C}" name="Column2512" dataDxfId="13873"/>
    <tableColumn id="2537" xr3:uid="{51CB8A3A-B08A-4A9A-A509-5F845E1BA86B}" name="Column2513" dataDxfId="13872"/>
    <tableColumn id="2538" xr3:uid="{92BF1D22-A808-40F0-96AE-78BC4A0620B1}" name="Column2514" dataDxfId="13871"/>
    <tableColumn id="2539" xr3:uid="{54CFE2B2-5F73-4AFC-AFFC-5136353E10EB}" name="Column2515" dataDxfId="13870"/>
    <tableColumn id="2540" xr3:uid="{F2B72912-FAF7-4AFF-92C7-6227BB5D14B7}" name="Column2516" dataDxfId="13869"/>
    <tableColumn id="2541" xr3:uid="{9480E154-D3EA-4761-B920-DF4F976BB73C}" name="Column2517" dataDxfId="13868"/>
    <tableColumn id="2542" xr3:uid="{45DB11AA-D822-4069-A571-CC1CE5E41F68}" name="Column2518" dataDxfId="13867"/>
    <tableColumn id="2543" xr3:uid="{4333D01B-E2AE-441B-84D0-826B6BD510D9}" name="Column2519" dataDxfId="13866"/>
    <tableColumn id="2544" xr3:uid="{6667976C-DDB6-4542-B752-E2F6E2DD8B99}" name="Column2520" dataDxfId="13865"/>
    <tableColumn id="2545" xr3:uid="{C137A075-179E-47DD-AF5E-EFD07004686C}" name="Column2521" dataDxfId="13864"/>
    <tableColumn id="2546" xr3:uid="{B0B36D55-7423-4D80-8A1D-5116D0EB3E3E}" name="Column2522" dataDxfId="13863"/>
    <tableColumn id="2547" xr3:uid="{CBEDB171-5EC5-4422-9C77-FB4247C95BFE}" name="Column2523" dataDxfId="13862"/>
    <tableColumn id="2548" xr3:uid="{010C8B88-671B-454A-8F6F-EDC666B01EAD}" name="Column2524" dataDxfId="13861"/>
    <tableColumn id="2549" xr3:uid="{46C2058E-DCB7-47BC-9ABF-DC5ED40D8DDD}" name="Column2525" dataDxfId="13860"/>
    <tableColumn id="2550" xr3:uid="{2EF5D7B5-7450-4B92-B287-5FB5F924C408}" name="Column2526" dataDxfId="13859"/>
    <tableColumn id="2551" xr3:uid="{7722B5B3-CEB3-4543-9863-6D3FE794EE1E}" name="Column2527" dataDxfId="13858"/>
    <tableColumn id="2552" xr3:uid="{B7E7981A-FC1D-46BD-81E0-0357CC1BEADD}" name="Column2528" dataDxfId="13857"/>
    <tableColumn id="2553" xr3:uid="{A61D9A02-C87A-4654-92E3-BFE88ED101B4}" name="Column2529" dataDxfId="13856"/>
    <tableColumn id="2554" xr3:uid="{06AFD4D1-7C43-42F1-A5E2-ADCEB3563923}" name="Column2530" dataDxfId="13855"/>
    <tableColumn id="2555" xr3:uid="{DADB8C58-9665-4512-8362-0B193D5C67AE}" name="Column2531" dataDxfId="13854"/>
    <tableColumn id="2556" xr3:uid="{AECBD4A7-ED29-4720-A2E4-A033E866DCA8}" name="Column2532" dataDxfId="13853"/>
    <tableColumn id="2557" xr3:uid="{4A737C9F-42B4-459B-832F-58C00DE1DE79}" name="Column2533" dataDxfId="13852"/>
    <tableColumn id="2558" xr3:uid="{2418F31D-3F0B-4561-992D-9570757A9E7C}" name="Column2534" dataDxfId="13851"/>
    <tableColumn id="2559" xr3:uid="{3AA68247-D076-48AC-BBB0-D6BF706C6E5F}" name="Column2535" dataDxfId="13850"/>
    <tableColumn id="2560" xr3:uid="{0D556EA0-8616-4529-8384-21D2A0770468}" name="Column2536" dataDxfId="13849"/>
    <tableColumn id="2561" xr3:uid="{428164DD-7535-4A5D-88A2-50CF588F1D86}" name="Column2537" dataDxfId="13848"/>
    <tableColumn id="2562" xr3:uid="{919F8EBC-102A-4985-AF04-FC9AAB7A61BF}" name="Column2538" dataDxfId="13847"/>
    <tableColumn id="2563" xr3:uid="{77ED181F-8155-4E09-9CA2-FC92F832824E}" name="Column2539" dataDxfId="13846"/>
    <tableColumn id="2564" xr3:uid="{09243FDD-EE84-4521-B6A4-E343881F41A7}" name="Column2540" dataDxfId="13845"/>
    <tableColumn id="2565" xr3:uid="{B3235099-2595-42CB-B12B-354BE15C736D}" name="Column2541" dataDxfId="13844"/>
    <tableColumn id="2566" xr3:uid="{CD88C81B-9304-4536-820E-AA149DDD1283}" name="Column2542" dataDxfId="13843"/>
    <tableColumn id="2567" xr3:uid="{375DB4E9-7A5C-40C8-8943-F2F0C4B841B7}" name="Column2543" dataDxfId="13842"/>
    <tableColumn id="2568" xr3:uid="{69D75258-EE40-4DA3-836A-F25E0E4FF100}" name="Column2544" dataDxfId="13841"/>
    <tableColumn id="2569" xr3:uid="{9CC46B9D-F58D-4230-827B-684209DA7BEA}" name="Column2545" dataDxfId="13840"/>
    <tableColumn id="2570" xr3:uid="{DA1D7FCD-28F6-4BB7-805F-B1ABF46772C9}" name="Column2546" dataDxfId="13839"/>
    <tableColumn id="2571" xr3:uid="{10AB27CB-BD24-427D-A01C-2D3A9FC2A77D}" name="Column2547" dataDxfId="13838"/>
    <tableColumn id="2572" xr3:uid="{1278D03C-2436-4CD5-A575-35A88B35EB06}" name="Column2548" dataDxfId="13837"/>
    <tableColumn id="2573" xr3:uid="{1945D9DD-25CD-4A87-94D9-6C33EDAA9FAB}" name="Column2549" dataDxfId="13836"/>
    <tableColumn id="2574" xr3:uid="{3BDF2B39-8621-434E-A0B5-9DBD7E3C8FB1}" name="Column2550" dataDxfId="13835"/>
    <tableColumn id="2575" xr3:uid="{717A2B22-B18C-4D7F-A7CB-32A080EB3E72}" name="Column2551" dataDxfId="13834"/>
    <tableColumn id="2576" xr3:uid="{ACBD61CA-172D-44F5-90C3-1BC0AE32807D}" name="Column2552" dataDxfId="13833"/>
    <tableColumn id="2577" xr3:uid="{AA4C6DC8-2AE6-44EE-B363-423A2FE68913}" name="Column2553" dataDxfId="13832"/>
    <tableColumn id="2578" xr3:uid="{92721381-8521-4A51-9F02-A7396360653F}" name="Column2554" dataDxfId="13831"/>
    <tableColumn id="2579" xr3:uid="{C0451542-A671-4411-9AE0-52B8E35639E1}" name="Column2555" dataDxfId="13830"/>
    <tableColumn id="2580" xr3:uid="{553A8899-DAA0-4B72-8715-B49C855A4378}" name="Column2556" dataDxfId="13829"/>
    <tableColumn id="2581" xr3:uid="{D05C2F20-F58C-46F4-8F30-852E426437E6}" name="Column2557" dataDxfId="13828"/>
    <tableColumn id="2582" xr3:uid="{D357308C-87A2-41C5-88CF-D51E1808EEC4}" name="Column2558" dataDxfId="13827"/>
    <tableColumn id="2583" xr3:uid="{4890BEA0-1FDF-4F57-B029-F3AC7D5ADA51}" name="Column2559" dataDxfId="13826"/>
    <tableColumn id="2584" xr3:uid="{76FA6A68-67B3-4E4D-8BFB-6D8E7565FE11}" name="Column2560" dataDxfId="13825"/>
    <tableColumn id="2585" xr3:uid="{61E89105-6F3F-4FF7-9995-D73377F94ACA}" name="Column2561" dataDxfId="13824"/>
    <tableColumn id="2586" xr3:uid="{6B36C903-466E-4480-8C77-8B716710CE22}" name="Column2562" dataDxfId="13823"/>
    <tableColumn id="2587" xr3:uid="{B4D0E033-7441-4B0C-AAEE-6A3051044002}" name="Column2563" dataDxfId="13822"/>
    <tableColumn id="2588" xr3:uid="{BB452F39-587F-464A-8E04-885277FF304B}" name="Column2564" dataDxfId="13821"/>
    <tableColumn id="2589" xr3:uid="{2A5A9CDD-A4D1-4D76-8703-ACACC1859518}" name="Column2565" dataDxfId="13820"/>
    <tableColumn id="2590" xr3:uid="{8DFAF078-BEFC-4631-AF62-3D65BD0400CC}" name="Column2566" dataDxfId="13819"/>
    <tableColumn id="2591" xr3:uid="{34B3547D-F5E0-47A9-97C0-D0644D32BD38}" name="Column2567" dataDxfId="13818"/>
    <tableColumn id="2592" xr3:uid="{96B5A8FD-850A-437A-9E97-F68798E8904F}" name="Column2568" dataDxfId="13817"/>
    <tableColumn id="2593" xr3:uid="{AAE77C33-4EBC-44F8-B09A-CE9037E3187E}" name="Column2569" dataDxfId="13816"/>
    <tableColumn id="2594" xr3:uid="{443B4627-189C-46D0-9F4A-8533C94663CA}" name="Column2570" dataDxfId="13815"/>
    <tableColumn id="2595" xr3:uid="{8FF2E56C-537E-4DB3-BEF4-5323BAAC4F7A}" name="Column2571" dataDxfId="13814"/>
    <tableColumn id="2596" xr3:uid="{25AA5AB7-BA8E-4CCF-AB15-F50AE2C70075}" name="Column2572" dataDxfId="13813"/>
    <tableColumn id="2597" xr3:uid="{292799A8-642B-4D23-BF9A-3CF6C267EA96}" name="Column2573" dataDxfId="13812"/>
    <tableColumn id="2598" xr3:uid="{08ADDA53-67CD-4760-8785-AC2F1B285170}" name="Column2574" dataDxfId="13811"/>
    <tableColumn id="2599" xr3:uid="{2CE48EAD-6B2C-46C3-9536-3A84B5540B02}" name="Column2575" dataDxfId="13810"/>
    <tableColumn id="2600" xr3:uid="{BED90233-1FBA-4091-810B-057FAD391CFF}" name="Column2576" dataDxfId="13809"/>
    <tableColumn id="2601" xr3:uid="{0FAA587B-6FB0-4F5A-9127-B2D368FD8990}" name="Column2577" dataDxfId="13808"/>
    <tableColumn id="2602" xr3:uid="{CCAFCFE8-9179-494F-9384-563CA7F0B529}" name="Column2578" dataDxfId="13807"/>
    <tableColumn id="2603" xr3:uid="{60CA7D82-ADED-4FAF-808B-07451A270387}" name="Column2579" dataDxfId="13806"/>
    <tableColumn id="2604" xr3:uid="{145108A7-73AE-49CB-A8CD-B67FACA9947E}" name="Column2580" dataDxfId="13805"/>
    <tableColumn id="2605" xr3:uid="{2DA92397-8FC4-47C0-895E-2194B5896691}" name="Column2581" dataDxfId="13804"/>
    <tableColumn id="2606" xr3:uid="{CC0D2FE9-D4B3-4BDB-86D3-66B6CEBE04CB}" name="Column2582" dataDxfId="13803"/>
    <tableColumn id="2607" xr3:uid="{3D515780-6D31-4FEF-AEED-66C477B19A49}" name="Column2583" dataDxfId="13802"/>
    <tableColumn id="2608" xr3:uid="{0F3CE603-E882-4D89-8D40-18BD8C56FA62}" name="Column2584" dataDxfId="13801"/>
    <tableColumn id="2609" xr3:uid="{5CFF783E-D2B3-4740-AB34-C081ED374FC3}" name="Column2585" dataDxfId="13800"/>
    <tableColumn id="2610" xr3:uid="{5D78C2F6-2745-42FB-B9E8-108C308A208C}" name="Column2586" dataDxfId="13799"/>
    <tableColumn id="2611" xr3:uid="{6647861F-B7A0-4234-A99A-34003EFF83AE}" name="Column2587" dataDxfId="13798"/>
    <tableColumn id="2612" xr3:uid="{8B05924F-059C-4EE3-96D9-2F108FC17F06}" name="Column2588" dataDxfId="13797"/>
    <tableColumn id="2613" xr3:uid="{910FFCF8-C532-48C3-BC3D-C618CEB9D08D}" name="Column2589" dataDxfId="13796"/>
    <tableColumn id="2614" xr3:uid="{4CAAC2E9-D0AF-499E-9587-B9CAF7B0CB61}" name="Column2590" dataDxfId="13795"/>
    <tableColumn id="2615" xr3:uid="{5CA3B6CF-713A-4A52-8E54-A3BD52BD1C46}" name="Column2591" dataDxfId="13794"/>
    <tableColumn id="2616" xr3:uid="{D848E6ED-7174-4391-BAA6-3642056D538A}" name="Column2592" dataDxfId="13793"/>
    <tableColumn id="2617" xr3:uid="{6926CA64-E620-450C-A36D-C8FAB5DF5E5C}" name="Column2593" dataDxfId="13792"/>
    <tableColumn id="2618" xr3:uid="{99CD5CE8-C2FA-4329-B265-E5FB8B983884}" name="Column2594" dataDxfId="13791"/>
    <tableColumn id="2619" xr3:uid="{5221421F-BB64-42B9-8746-514D5183CF8D}" name="Column2595" dataDxfId="13790"/>
    <tableColumn id="2620" xr3:uid="{AF17466D-FB27-4D1A-A59C-9F37E24AB25F}" name="Column2596" dataDxfId="13789"/>
    <tableColumn id="2621" xr3:uid="{0D68A72B-4AFA-480F-851F-7BB4BCD84AF4}" name="Column2597" dataDxfId="13788"/>
    <tableColumn id="2622" xr3:uid="{592DF740-F609-45CD-959A-8DD0AB1C10D3}" name="Column2598" dataDxfId="13787"/>
    <tableColumn id="2623" xr3:uid="{8E126150-F31A-4AF5-A6CF-227514C2E572}" name="Column2599" dataDxfId="13786"/>
    <tableColumn id="2624" xr3:uid="{B4DB4AA8-86D5-43B7-8AB9-C0706496D619}" name="Column2600" dataDxfId="13785"/>
    <tableColumn id="2625" xr3:uid="{5B167358-5E40-429A-9C5D-D8840984CD21}" name="Column2601" dataDxfId="13784"/>
    <tableColumn id="2626" xr3:uid="{B117816E-9A3A-4F67-86EB-9E6EDEE02838}" name="Column2602" dataDxfId="13783"/>
    <tableColumn id="2627" xr3:uid="{EA229473-E3B4-448B-83F8-D2E51E97581F}" name="Column2603" dataDxfId="13782"/>
    <tableColumn id="2628" xr3:uid="{F95CF285-C7CF-4424-80D8-96C04056E6A0}" name="Column2604" dataDxfId="13781"/>
    <tableColumn id="2629" xr3:uid="{4C7297E7-3AA4-4632-BC3B-3FEF940DCD89}" name="Column2605" dataDxfId="13780"/>
    <tableColumn id="2630" xr3:uid="{BA872A1F-0D2C-4F5D-8917-1B8431EF8317}" name="Column2606" dataDxfId="13779"/>
    <tableColumn id="2631" xr3:uid="{D143A8B9-9457-4529-B137-C815D6FA7C31}" name="Column2607" dataDxfId="13778"/>
    <tableColumn id="2632" xr3:uid="{7E158E34-2CEF-4576-B046-343F1ABF58DA}" name="Column2608" dataDxfId="13777"/>
    <tableColumn id="2633" xr3:uid="{1EBD9DAB-4725-467F-BB95-266B1AB9FAFB}" name="Column2609" dataDxfId="13776"/>
    <tableColumn id="2634" xr3:uid="{B57AB5DC-12FF-4BF1-934B-7E734108BEAF}" name="Column2610" dataDxfId="13775"/>
    <tableColumn id="2635" xr3:uid="{614CFB99-70B5-43A9-AB31-92CFE9841766}" name="Column2611" dataDxfId="13774"/>
    <tableColumn id="2636" xr3:uid="{4DB6BA61-C1AE-4D4B-AA5C-FEF90D26476A}" name="Column2612" dataDxfId="13773"/>
    <tableColumn id="2637" xr3:uid="{23D8B6AB-AAE2-41DB-B989-A9B80950E32F}" name="Column2613" dataDxfId="13772"/>
    <tableColumn id="2638" xr3:uid="{A8D18C07-AAD8-4FC4-AC07-6652EF0D8EF1}" name="Column2614" dataDxfId="13771"/>
    <tableColumn id="2639" xr3:uid="{E57094FE-5D58-4B7D-93BB-05227D1617BB}" name="Column2615" dataDxfId="13770"/>
    <tableColumn id="2640" xr3:uid="{CDDA5E43-7CAA-4287-9D54-E512CAD9530A}" name="Column2616" dataDxfId="13769"/>
    <tableColumn id="2641" xr3:uid="{29BEED0F-C530-4B60-B901-914F0EFB010D}" name="Column2617" dataDxfId="13768"/>
    <tableColumn id="2642" xr3:uid="{EEF16113-DA98-44D9-B61A-F24D7930FE65}" name="Column2618" dataDxfId="13767"/>
    <tableColumn id="2643" xr3:uid="{29678E63-F8FD-4EEB-B2B7-3B554B004FBB}" name="Column2619" dataDxfId="13766"/>
    <tableColumn id="2644" xr3:uid="{975DC360-F7E3-478E-A1A0-69BFFBAD866E}" name="Column2620" dataDxfId="13765"/>
    <tableColumn id="2645" xr3:uid="{9DF3066F-2424-4D82-BBE8-2C42C1B88B47}" name="Column2621" dataDxfId="13764"/>
    <tableColumn id="2646" xr3:uid="{7812173A-9DB5-4785-9873-F2FCEB749B5D}" name="Column2622" dataDxfId="13763"/>
    <tableColumn id="2647" xr3:uid="{7F8D78A5-2E76-4F0C-9771-3B8F339A23D4}" name="Column2623" dataDxfId="13762"/>
    <tableColumn id="2648" xr3:uid="{853ECA55-307D-4CA5-B0AD-1B54878CDA4B}" name="Column2624" dataDxfId="13761"/>
    <tableColumn id="2649" xr3:uid="{25878A47-D510-470B-851C-4A80CBCDB1CE}" name="Column2625" dataDxfId="13760"/>
    <tableColumn id="2650" xr3:uid="{255F6178-CA00-4B5C-AF3E-F4A96498A21C}" name="Column2626" dataDxfId="13759"/>
    <tableColumn id="2651" xr3:uid="{60E19D57-92AE-4EAC-A7DA-8DD3EA140F5F}" name="Column2627" dataDxfId="13758"/>
    <tableColumn id="2652" xr3:uid="{CF1AE56C-2356-491A-AE5E-B279AB2CED26}" name="Column2628" dataDxfId="13757"/>
    <tableColumn id="2653" xr3:uid="{DA5754B3-113B-47BF-8B60-5508426C9CB9}" name="Column2629" dataDxfId="13756"/>
    <tableColumn id="2654" xr3:uid="{547964E6-D661-49BA-82D1-F46C3B481506}" name="Column2630" dataDxfId="13755"/>
    <tableColumn id="2655" xr3:uid="{687EF42E-E488-444F-83E5-C24EBC2B92AB}" name="Column2631" dataDxfId="13754"/>
    <tableColumn id="2656" xr3:uid="{7BECD9C0-FE51-4330-9932-D89640E731C6}" name="Column2632" dataDxfId="13753"/>
    <tableColumn id="2657" xr3:uid="{548E6AA1-2DE2-4229-8DB3-E51F065F3A81}" name="Column2633" dataDxfId="13752"/>
    <tableColumn id="2658" xr3:uid="{553EDD2E-A2E3-464A-BAE4-FDC4A8FF6167}" name="Column2634" dataDxfId="13751"/>
    <tableColumn id="2659" xr3:uid="{3CE09A0C-82DD-4FE3-AF45-893126F56E57}" name="Column2635" dataDxfId="13750"/>
    <tableColumn id="2660" xr3:uid="{BB303BE3-50AE-4030-95CF-105555F82D28}" name="Column2636" dataDxfId="13749"/>
    <tableColumn id="2661" xr3:uid="{15C726EC-7F64-490E-B89C-B8B6D275EB4E}" name="Column2637" dataDxfId="13748"/>
    <tableColumn id="2662" xr3:uid="{2A2AB232-0796-4787-9B2A-6230213F114A}" name="Column2638" dataDxfId="13747"/>
    <tableColumn id="2663" xr3:uid="{FAB1252E-4C6D-4867-8305-04AD509690E0}" name="Column2639" dataDxfId="13746"/>
    <tableColumn id="2664" xr3:uid="{3BAA7E1E-58E0-4B7A-9E4A-961E8A528F3A}" name="Column2640" dataDxfId="13745"/>
    <tableColumn id="2665" xr3:uid="{0B567E77-382B-442F-8E57-48E59F7A691A}" name="Column2641" dataDxfId="13744"/>
    <tableColumn id="2666" xr3:uid="{38F39993-6618-4108-938A-91E192904149}" name="Column2642" dataDxfId="13743"/>
    <tableColumn id="2667" xr3:uid="{1F092BFE-BAFB-4E77-BB8F-93C161ECA1FC}" name="Column2643" dataDxfId="13742"/>
    <tableColumn id="2668" xr3:uid="{F29EF350-A696-4227-8C4E-901F04FAF2EE}" name="Column2644" dataDxfId="13741"/>
    <tableColumn id="2669" xr3:uid="{4B540715-2817-493B-8782-D33A88AAF500}" name="Column2645" dataDxfId="13740"/>
    <tableColumn id="2670" xr3:uid="{9716D712-D1EB-4D60-BB07-8A59DB30E913}" name="Column2646" dataDxfId="13739"/>
    <tableColumn id="2671" xr3:uid="{3B59338D-59F0-4FA8-BB87-DDACB6779951}" name="Column2647" dataDxfId="13738"/>
    <tableColumn id="2672" xr3:uid="{53B338CF-F887-4466-8E53-A17C86C8615D}" name="Column2648" dataDxfId="13737"/>
    <tableColumn id="2673" xr3:uid="{2AF71E8D-101B-4004-A011-958A579C17B8}" name="Column2649" dataDxfId="13736"/>
    <tableColumn id="2674" xr3:uid="{D6EFF1D5-5FE3-499F-821A-68ED1F6F8342}" name="Column2650" dataDxfId="13735"/>
    <tableColumn id="2675" xr3:uid="{1BA237FD-5618-4A86-9424-3F3DEA981BF7}" name="Column2651" dataDxfId="13734"/>
    <tableColumn id="2676" xr3:uid="{C47FFE8B-AAA6-4FFE-9E23-C728275D9C03}" name="Column2652" dataDxfId="13733"/>
    <tableColumn id="2677" xr3:uid="{C3F3A0DF-45A6-4E9E-9860-C627DFB53A14}" name="Column2653" dataDxfId="13732"/>
    <tableColumn id="2678" xr3:uid="{0F695339-8279-4093-95E1-4EB091A6897B}" name="Column2654" dataDxfId="13731"/>
    <tableColumn id="2679" xr3:uid="{CC5330D0-BC93-42ED-92B8-4E09ECFFA56C}" name="Column2655" dataDxfId="13730"/>
    <tableColumn id="2680" xr3:uid="{0C93CC22-8F45-4F3E-9777-6C6BD777CD81}" name="Column2656" dataDxfId="13729"/>
    <tableColumn id="2681" xr3:uid="{0E5A4C5D-BD0F-4B64-9631-1449B7AF314F}" name="Column2657" dataDxfId="13728"/>
    <tableColumn id="2682" xr3:uid="{FE816144-1C7C-4185-8C2B-E16165D8C611}" name="Column2658" dataDxfId="13727"/>
    <tableColumn id="2683" xr3:uid="{37AFE94C-0E84-4F43-B4FD-9BFF52DA76FC}" name="Column2659" dataDxfId="13726"/>
    <tableColumn id="2684" xr3:uid="{B0CC1364-E234-4ED0-BA90-049ABE39FC4F}" name="Column2660" dataDxfId="13725"/>
    <tableColumn id="2685" xr3:uid="{CFD2A0ED-673E-4B71-8C5E-0419F47699BE}" name="Column2661" dataDxfId="13724"/>
    <tableColumn id="2686" xr3:uid="{80869034-56B5-4C4F-8A99-11649FD263BF}" name="Column2662" dataDxfId="13723"/>
    <tableColumn id="2687" xr3:uid="{7A70D8EE-528F-4355-8256-275C6AD5AB05}" name="Column2663" dataDxfId="13722"/>
    <tableColumn id="2688" xr3:uid="{58E4A976-72CA-4424-9012-C61E51B4FC7A}" name="Column2664" dataDxfId="13721"/>
    <tableColumn id="2689" xr3:uid="{65799FC9-89F8-40D3-AC58-4EC568F11872}" name="Column2665" dataDxfId="13720"/>
    <tableColumn id="2690" xr3:uid="{A7EB213E-87CD-42DD-A3E2-09140522EB78}" name="Column2666" dataDxfId="13719"/>
    <tableColumn id="2691" xr3:uid="{B8D616A9-15EE-45CD-A6B6-9D1F4C29CF54}" name="Column2667" dataDxfId="13718"/>
    <tableColumn id="2692" xr3:uid="{F4647507-0BE9-4AA1-8B67-62861ADC35EA}" name="Column2668" dataDxfId="13717"/>
    <tableColumn id="2693" xr3:uid="{BCB5E40E-0E28-410E-A095-AE11AA3EB7B1}" name="Column2669" dataDxfId="13716"/>
    <tableColumn id="2694" xr3:uid="{D79200F8-C691-492B-9A23-CAE23C35212D}" name="Column2670" dataDxfId="13715"/>
    <tableColumn id="2695" xr3:uid="{D6236CBB-7AC7-4283-A750-5E431DD12492}" name="Column2671" dataDxfId="13714"/>
    <tableColumn id="2696" xr3:uid="{5C1C4F51-79A0-44C4-B5F4-361C44D9BC88}" name="Column2672" dataDxfId="13713"/>
    <tableColumn id="2697" xr3:uid="{686CD8B2-3589-4309-8B7F-103E40E8AF04}" name="Column2673" dataDxfId="13712"/>
    <tableColumn id="2698" xr3:uid="{87E41447-4C54-4A16-95DF-96CEF4862A0A}" name="Column2674" dataDxfId="13711"/>
    <tableColumn id="2699" xr3:uid="{7F36A2FB-D173-4453-A4DF-D06A4C8C8337}" name="Column2675" dataDxfId="13710"/>
    <tableColumn id="2700" xr3:uid="{3437A683-4B60-4340-B0DC-9631565DDA0C}" name="Column2676" dataDxfId="13709"/>
    <tableColumn id="2701" xr3:uid="{DE7B665E-A5AA-4228-A5DC-A27BAACED9F2}" name="Column2677" dataDxfId="13708"/>
    <tableColumn id="2702" xr3:uid="{1589802A-88D4-4BD4-B742-67EEC96352D3}" name="Column2678" dataDxfId="13707"/>
    <tableColumn id="2703" xr3:uid="{4B26CA7B-14A4-4D3F-A572-15C595C8C23A}" name="Column2679" dataDxfId="13706"/>
    <tableColumn id="2704" xr3:uid="{F736F032-4CF1-4E90-AA9A-FD0589E6188A}" name="Column2680" dataDxfId="13705"/>
    <tableColumn id="2705" xr3:uid="{E3ED24F3-8DF4-4773-86B7-E4D65B3B215C}" name="Column2681" dataDxfId="13704"/>
    <tableColumn id="2706" xr3:uid="{FEAA4AA9-B56A-41BA-9874-66F2F51C9DCD}" name="Column2682" dataDxfId="13703"/>
    <tableColumn id="2707" xr3:uid="{EEC1DF59-4F7F-469D-953D-EC52DF778AF5}" name="Column2683" dataDxfId="13702"/>
    <tableColumn id="2708" xr3:uid="{570A665B-E09D-41B1-92FB-810DC29736A1}" name="Column2684" dataDxfId="13701"/>
    <tableColumn id="2709" xr3:uid="{CA293642-85EC-4C02-91F3-F44FAA7B8CA8}" name="Column2685" dataDxfId="13700"/>
    <tableColumn id="2710" xr3:uid="{CDB46CCC-13E9-47DF-A279-9C3D6CDC33A8}" name="Column2686" dataDxfId="13699"/>
    <tableColumn id="2711" xr3:uid="{CE72A818-99C4-4326-AB78-EC2AD428D637}" name="Column2687" dataDxfId="13698"/>
    <tableColumn id="2712" xr3:uid="{68DB6912-F1C4-4FBA-A710-27EC6B813749}" name="Column2688" dataDxfId="13697"/>
    <tableColumn id="2713" xr3:uid="{C402D982-2549-4E98-8E34-6EDA3D778592}" name="Column2689" dataDxfId="13696"/>
    <tableColumn id="2714" xr3:uid="{4E3D7B36-19A8-4907-BAF5-ED4C68ED72B1}" name="Column2690" dataDxfId="13695"/>
    <tableColumn id="2715" xr3:uid="{D842F136-9124-4DA7-BC0B-62E2F434039E}" name="Column2691" dataDxfId="13694"/>
    <tableColumn id="2716" xr3:uid="{9F1A6717-9EC7-4573-B68C-0EAE7A9B6BB9}" name="Column2692" dataDxfId="13693"/>
    <tableColumn id="2717" xr3:uid="{948EA8B8-C96A-4CA8-98E9-22A55197E58D}" name="Column2693" dataDxfId="13692"/>
    <tableColumn id="2718" xr3:uid="{5592FF67-0A1A-4F3D-910D-EBDD387614C2}" name="Column2694" dataDxfId="13691"/>
    <tableColumn id="2719" xr3:uid="{D2829774-CD8A-45A3-89A1-B0D05F0B4BCF}" name="Column2695" dataDxfId="13690"/>
    <tableColumn id="2720" xr3:uid="{51E33D7F-E2E8-4AA2-A5BE-7B1EFA6FCE68}" name="Column2696" dataDxfId="13689"/>
    <tableColumn id="2721" xr3:uid="{A0E720D0-042E-432C-B22C-9C4D683B1B81}" name="Column2697" dataDxfId="13688"/>
    <tableColumn id="2722" xr3:uid="{25DBAF88-81C8-4EF4-BEEB-D91506ED4BB9}" name="Column2698" dataDxfId="13687"/>
    <tableColumn id="2723" xr3:uid="{31C85216-8918-497D-A2B2-0D58BABE1FC9}" name="Column2699" dataDxfId="13686"/>
    <tableColumn id="2724" xr3:uid="{89F9D003-BB40-41EB-ACEC-298455F30485}" name="Column2700" dataDxfId="13685"/>
    <tableColumn id="2725" xr3:uid="{56913917-8092-455E-B433-309CF4674338}" name="Column2701" dataDxfId="13684"/>
    <tableColumn id="2726" xr3:uid="{1BDD5FD6-0804-4623-92FE-3D9FAA6169C4}" name="Column2702" dataDxfId="13683"/>
    <tableColumn id="2727" xr3:uid="{F9501A77-E95A-4ED6-B173-BB234D0E2408}" name="Column2703" dataDxfId="13682"/>
    <tableColumn id="2728" xr3:uid="{864D4727-D568-4F9C-A61B-1647E9AD574F}" name="Column2704" dataDxfId="13681"/>
    <tableColumn id="2729" xr3:uid="{92DFA2A7-C8CC-4E33-BF0F-977A5220A480}" name="Column2705" dataDxfId="13680"/>
    <tableColumn id="2730" xr3:uid="{2305754E-7914-4ACD-AEA1-F4B83B726293}" name="Column2706" dataDxfId="13679"/>
    <tableColumn id="2731" xr3:uid="{842FAAF1-1C95-4D44-BBE8-CF9605610FBF}" name="Column2707" dataDxfId="13678"/>
    <tableColumn id="2732" xr3:uid="{CCD2FA78-EC75-48CB-B1D3-E21E4169DB06}" name="Column2708" dataDxfId="13677"/>
    <tableColumn id="2733" xr3:uid="{76EF6416-17D9-4092-AC41-3BBAA44AE775}" name="Column2709" dataDxfId="13676"/>
    <tableColumn id="2734" xr3:uid="{B7CBF368-9578-4255-A4D9-5DA6E574077A}" name="Column2710" dataDxfId="13675"/>
    <tableColumn id="2735" xr3:uid="{90610237-36B1-4800-999B-96FE0220591D}" name="Column2711" dataDxfId="13674"/>
    <tableColumn id="2736" xr3:uid="{A282940A-5EB1-4F06-8F84-64EDEAABE0D0}" name="Column2712" dataDxfId="13673"/>
    <tableColumn id="2737" xr3:uid="{87C39F97-2C9C-465F-AB3A-6B7DB6E715C4}" name="Column2713" dataDxfId="13672"/>
    <tableColumn id="2738" xr3:uid="{3BF36ADB-AD63-4957-86BF-8A111FEAAEFC}" name="Column2714" dataDxfId="13671"/>
    <tableColumn id="2739" xr3:uid="{903D28C4-E753-4F4C-8707-9AC80212B7FD}" name="Column2715" dataDxfId="13670"/>
    <tableColumn id="2740" xr3:uid="{AFAAD534-D427-4702-BB11-8F17259591DF}" name="Column2716" dataDxfId="13669"/>
    <tableColumn id="2741" xr3:uid="{7CA9C7C6-DF31-43D6-9472-BF6DB7225607}" name="Column2717" dataDxfId="13668"/>
    <tableColumn id="2742" xr3:uid="{8E73F6D2-B6F3-4FC2-B27C-5F9CB2B5E364}" name="Column2718" dataDxfId="13667"/>
    <tableColumn id="2743" xr3:uid="{0A77227F-42DB-4418-9D04-9A1E0805F60A}" name="Column2719" dataDxfId="13666"/>
    <tableColumn id="2744" xr3:uid="{D2DB4262-7B3C-46CE-B20E-326BCF97A7A8}" name="Column2720" dataDxfId="13665"/>
    <tableColumn id="2745" xr3:uid="{2056A827-BB06-4E1F-87E7-7DF721B620F6}" name="Column2721" dataDxfId="13664"/>
    <tableColumn id="2746" xr3:uid="{968A5BB1-B5AF-4641-9B66-CB1C7218AB23}" name="Column2722" dataDxfId="13663"/>
    <tableColumn id="2747" xr3:uid="{020445D8-BBFA-46C4-9588-5D19CA291F7A}" name="Column2723" dataDxfId="13662"/>
    <tableColumn id="2748" xr3:uid="{4F554D83-B75B-438C-8FF7-0F400F4A84B4}" name="Column2724" dataDxfId="13661"/>
    <tableColumn id="2749" xr3:uid="{632CA6AE-9096-474F-9FC9-C77F902278AE}" name="Column2725" dataDxfId="13660"/>
    <tableColumn id="2750" xr3:uid="{C96A0D96-873A-4C01-B8B0-C0844F3C995D}" name="Column2726" dataDxfId="13659"/>
    <tableColumn id="2751" xr3:uid="{244D8433-2B7B-4154-B3BA-A6A46D73DDC9}" name="Column2727" dataDxfId="13658"/>
    <tableColumn id="2752" xr3:uid="{66FAF7C0-4CD3-4C02-9730-127A02DCADED}" name="Column2728" dataDxfId="13657"/>
    <tableColumn id="2753" xr3:uid="{2C97A233-6307-4396-9026-EA104A3E9AE1}" name="Column2729" dataDxfId="13656"/>
    <tableColumn id="2754" xr3:uid="{EE292283-17FA-4C3B-83D3-A6737515B631}" name="Column2730" dataDxfId="13655"/>
    <tableColumn id="2755" xr3:uid="{1ABE6ECD-46BD-40DF-B5E0-A94B27E32A70}" name="Column2731" dataDxfId="13654"/>
    <tableColumn id="2756" xr3:uid="{817C0F52-C577-4D73-96CF-983B58BDC098}" name="Column2732" dataDxfId="13653"/>
    <tableColumn id="2757" xr3:uid="{F40C150B-003E-4214-AFEB-47131805D4E1}" name="Column2733" dataDxfId="13652"/>
    <tableColumn id="2758" xr3:uid="{C2DDBC06-2533-46A7-8DD8-469010617101}" name="Column2734" dataDxfId="13651"/>
    <tableColumn id="2759" xr3:uid="{03EBA7C4-9D65-4042-BD15-9E33564C265D}" name="Column2735" dataDxfId="13650"/>
    <tableColumn id="2760" xr3:uid="{C140BC8B-890B-4478-983C-6CD7F9FB6425}" name="Column2736" dataDxfId="13649"/>
    <tableColumn id="2761" xr3:uid="{45C1C84B-21EA-4006-88E0-8FB6D4156A8B}" name="Column2737" dataDxfId="13648"/>
    <tableColumn id="2762" xr3:uid="{2FB33B6B-C37D-4A0D-8046-D24E8D956099}" name="Column2738" dataDxfId="13647"/>
    <tableColumn id="2763" xr3:uid="{98E88ADE-0B01-4BB8-BC53-063B8F8078B8}" name="Column2739" dataDxfId="13646"/>
    <tableColumn id="2764" xr3:uid="{6EB7FCFC-4CE0-42BB-AEEF-356D149EB385}" name="Column2740" dataDxfId="13645"/>
    <tableColumn id="2765" xr3:uid="{FD035C4A-1631-4A75-B6F1-5C96CD6A7F0C}" name="Column2741" dataDxfId="13644"/>
    <tableColumn id="2766" xr3:uid="{D8DD0692-272C-4120-A6A2-BEEE9321749B}" name="Column2742" dataDxfId="13643"/>
    <tableColumn id="2767" xr3:uid="{DC366E17-4AF7-4BF3-A127-E45D08647B23}" name="Column2743" dataDxfId="13642"/>
    <tableColumn id="2768" xr3:uid="{60C2D02D-1449-418D-BEA1-041FC23DE131}" name="Column2744" dataDxfId="13641"/>
    <tableColumn id="2769" xr3:uid="{56629A5B-77BD-47D5-B5E4-B212819A8EB4}" name="Column2745" dataDxfId="13640"/>
    <tableColumn id="2770" xr3:uid="{01F62A82-1A75-48D2-A982-5AF5E2FB205A}" name="Column2746" dataDxfId="13639"/>
    <tableColumn id="2771" xr3:uid="{BDAACCF4-31A2-455E-820D-B1A2DCB0A6C2}" name="Column2747" dataDxfId="13638"/>
    <tableColumn id="2772" xr3:uid="{7438F572-C57B-4E1B-B049-AD758F13FEA7}" name="Column2748" dataDxfId="13637"/>
    <tableColumn id="2773" xr3:uid="{0D2F1658-6D06-4708-8FF8-09AEAB5466D8}" name="Column2749" dataDxfId="13636"/>
    <tableColumn id="2774" xr3:uid="{68656AAB-71A8-48C7-B4B0-F0F88E39EC1E}" name="Column2750" dataDxfId="13635"/>
    <tableColumn id="2775" xr3:uid="{497FD443-EEB1-4E56-A575-505562FFB893}" name="Column2751" dataDxfId="13634"/>
    <tableColumn id="2776" xr3:uid="{746584E8-A95C-4D90-AA96-83AD7E3BB81F}" name="Column2752" dataDxfId="13633"/>
    <tableColumn id="2777" xr3:uid="{4804150B-63AE-4388-AAA1-1E8FBA00B856}" name="Column2753" dataDxfId="13632"/>
    <tableColumn id="2778" xr3:uid="{A54ECDAA-5B91-4676-9032-79D4A5529EB6}" name="Column2754" dataDxfId="13631"/>
    <tableColumn id="2779" xr3:uid="{10F8C95E-D1D5-407C-B663-B1509FBCC1E3}" name="Column2755" dataDxfId="13630"/>
    <tableColumn id="2780" xr3:uid="{F0ACAF70-FCDE-432A-AACC-E8D56A7485CB}" name="Column2756" dataDxfId="13629"/>
    <tableColumn id="2781" xr3:uid="{05F2B2B6-69AA-4C4C-BD4A-A5C8A94877A1}" name="Column2757" dataDxfId="13628"/>
    <tableColumn id="2782" xr3:uid="{F19FF0AB-C851-487B-8872-5D67D047061E}" name="Column2758" dataDxfId="13627"/>
    <tableColumn id="2783" xr3:uid="{5767C8BA-215E-42BC-9650-A8465F6F977A}" name="Column2759" dataDxfId="13626"/>
    <tableColumn id="2784" xr3:uid="{4A0D336B-6E4F-4A55-800D-9B006DD52D2B}" name="Column2760" dataDxfId="13625"/>
    <tableColumn id="2785" xr3:uid="{0219A7E8-C50A-4607-B869-785E79B03CB0}" name="Column2761" dataDxfId="13624"/>
    <tableColumn id="2786" xr3:uid="{B5E34065-E2C0-4EF8-8D68-F31656699CA0}" name="Column2762" dataDxfId="13623"/>
    <tableColumn id="2787" xr3:uid="{041D6E0D-9A34-48A3-8354-04ACB8807796}" name="Column2763" dataDxfId="13622"/>
    <tableColumn id="2788" xr3:uid="{988E830D-9D62-4CA2-B362-C5CAD0C0614C}" name="Column2764" dataDxfId="13621"/>
    <tableColumn id="2789" xr3:uid="{C053900A-4A1D-41CE-A3C2-ED3C8D221C0A}" name="Column2765" dataDxfId="13620"/>
    <tableColumn id="2790" xr3:uid="{1525F47F-39BF-44AB-84CD-7E489CD528CF}" name="Column2766" dataDxfId="13619"/>
    <tableColumn id="2791" xr3:uid="{B62C9797-8B60-4CC9-8DEA-950455A66C30}" name="Column2767" dataDxfId="13618"/>
    <tableColumn id="2792" xr3:uid="{287FC349-1AC5-452E-8DBC-8D23E4163818}" name="Column2768" dataDxfId="13617"/>
    <tableColumn id="2793" xr3:uid="{44A0F9C9-F04B-4118-B7E0-6D0E2CB30CBD}" name="Column2769" dataDxfId="13616"/>
    <tableColumn id="2794" xr3:uid="{6E760F72-52FE-47B7-B1B7-BCDCFC358BDD}" name="Column2770" dataDxfId="13615"/>
    <tableColumn id="2795" xr3:uid="{31160C34-CA5B-4D3F-B8AB-0CDF5E96125C}" name="Column2771" dataDxfId="13614"/>
    <tableColumn id="2796" xr3:uid="{BE526AFA-EBD3-4F00-B8AD-C91B1B558DDC}" name="Column2772" dataDxfId="13613"/>
    <tableColumn id="2797" xr3:uid="{3A55DD44-E945-4700-BB39-603A9A1E25EC}" name="Column2773" dataDxfId="13612"/>
    <tableColumn id="2798" xr3:uid="{EB319DD1-E872-46B3-A6AA-BEA60358E4FA}" name="Column2774" dataDxfId="13611"/>
    <tableColumn id="2799" xr3:uid="{17A298E8-3649-46F2-AA2F-70CBDD89498D}" name="Column2775" dataDxfId="13610"/>
    <tableColumn id="2800" xr3:uid="{F7E45645-A1E1-49B9-89FF-210D0F1771A2}" name="Column2776" dataDxfId="13609"/>
    <tableColumn id="2801" xr3:uid="{A6B47C6C-E9DB-49A3-9A86-413761353986}" name="Column2777" dataDxfId="13608"/>
    <tableColumn id="2802" xr3:uid="{C5A24554-619F-4258-932E-131E676B45AB}" name="Column2778" dataDxfId="13607"/>
    <tableColumn id="2803" xr3:uid="{30DECE68-E5D0-4E2C-B6A5-E3A3547B3C19}" name="Column2779" dataDxfId="13606"/>
    <tableColumn id="2804" xr3:uid="{BD5A9E7C-E1C2-42EC-ABF4-C2569CFC118D}" name="Column2780" dataDxfId="13605"/>
    <tableColumn id="2805" xr3:uid="{ECBFF0C5-B926-4D4F-9978-5108594BDBC4}" name="Column2781" dataDxfId="13604"/>
    <tableColumn id="2806" xr3:uid="{61495934-2185-41DD-B2A2-0F65EA75374C}" name="Column2782" dataDxfId="13603"/>
    <tableColumn id="2807" xr3:uid="{50C3930C-0026-48A6-9653-E893E8942445}" name="Column2783" dataDxfId="13602"/>
    <tableColumn id="2808" xr3:uid="{FCEFC907-EF22-4FEB-B89E-09833682BD54}" name="Column2784" dataDxfId="13601"/>
    <tableColumn id="2809" xr3:uid="{82959619-D038-461E-9A21-0FDFECA2D5CD}" name="Column2785" dataDxfId="13600"/>
    <tableColumn id="2810" xr3:uid="{92DCED81-36EA-4C0E-8195-6AF685159DD3}" name="Column2786" dataDxfId="13599"/>
    <tableColumn id="2811" xr3:uid="{307F3F21-D9D8-43E1-9512-A1522AAE3421}" name="Column2787" dataDxfId="13598"/>
    <tableColumn id="2812" xr3:uid="{38651223-3A80-467B-B008-09B66C017ACB}" name="Column2788" dataDxfId="13597"/>
    <tableColumn id="2813" xr3:uid="{363FB2D3-2AEA-40F1-ABCC-8D4D1041648A}" name="Column2789" dataDxfId="13596"/>
    <tableColumn id="2814" xr3:uid="{153909EF-547C-4D9A-AC20-D6140001EC38}" name="Column2790" dataDxfId="13595"/>
    <tableColumn id="2815" xr3:uid="{2BE097DB-2D2D-4593-AC1F-A4C452427705}" name="Column2791" dataDxfId="13594"/>
    <tableColumn id="2816" xr3:uid="{6863605E-5CAB-43AD-A900-297161356B28}" name="Column2792" dataDxfId="13593"/>
    <tableColumn id="2817" xr3:uid="{80461A7C-1FC5-45B5-BE25-1438BA41A79D}" name="Column2793" dataDxfId="13592"/>
    <tableColumn id="2818" xr3:uid="{71A7DAB6-BD0C-4979-BDD0-3DCFE11D1A09}" name="Column2794" dataDxfId="13591"/>
    <tableColumn id="2819" xr3:uid="{71355854-C6FD-4A54-8040-992944FB9E8F}" name="Column2795" dataDxfId="13590"/>
    <tableColumn id="2820" xr3:uid="{7A594FDE-B6E9-457F-9AEF-676E5FDD6944}" name="Column2796" dataDxfId="13589"/>
    <tableColumn id="2821" xr3:uid="{43363708-C9BF-4F87-8242-7E843E297021}" name="Column2797" dataDxfId="13588"/>
    <tableColumn id="2822" xr3:uid="{3AE83776-E8F8-49A9-B220-64525020E27E}" name="Column2798" dataDxfId="13587"/>
    <tableColumn id="2823" xr3:uid="{12247139-9DF7-4832-8E92-D6FAD0841C35}" name="Column2799" dataDxfId="13586"/>
    <tableColumn id="2824" xr3:uid="{BCE6279E-39F3-448D-88BF-03E7577EB8EA}" name="Column2800" dataDxfId="13585"/>
    <tableColumn id="2825" xr3:uid="{A0EF1C08-CD15-4367-9DAF-31642788F966}" name="Column2801" dataDxfId="13584"/>
    <tableColumn id="2826" xr3:uid="{E9D0DF62-CD17-4B4E-9442-42A1E2811630}" name="Column2802" dataDxfId="13583"/>
    <tableColumn id="2827" xr3:uid="{E80A8E85-AA26-4DE3-878F-3E003B121A83}" name="Column2803" dataDxfId="13582"/>
    <tableColumn id="2828" xr3:uid="{32C60117-CDEE-4773-9C28-ECF870C57B50}" name="Column2804" dataDxfId="13581"/>
    <tableColumn id="2829" xr3:uid="{E261DD6B-48CC-47AD-A2C2-CA53798C9536}" name="Column2805" dataDxfId="13580"/>
    <tableColumn id="2830" xr3:uid="{DF430472-62B8-43EF-8965-E2977572ED76}" name="Column2806" dataDxfId="13579"/>
    <tableColumn id="2831" xr3:uid="{6835C325-6193-440C-BD2F-9E18BBCA6B63}" name="Column2807" dataDxfId="13578"/>
    <tableColumn id="2832" xr3:uid="{3035C5E6-E98D-4C22-B26A-DE5C523034FA}" name="Column2808" dataDxfId="13577"/>
    <tableColumn id="2833" xr3:uid="{67ED1C73-5C08-4502-BFAB-5DDEE76DF88D}" name="Column2809" dataDxfId="13576"/>
    <tableColumn id="2834" xr3:uid="{23CDFA91-89AE-45FE-B30B-2CEF9999380B}" name="Column2810" dataDxfId="13575"/>
    <tableColumn id="2835" xr3:uid="{DAA691E2-DB5F-41B0-B0AB-204BBED91B6E}" name="Column2811" dataDxfId="13574"/>
    <tableColumn id="2836" xr3:uid="{AB4E37DC-78A8-405B-A8B8-6863FAE5D5EB}" name="Column2812" dataDxfId="13573"/>
    <tableColumn id="2837" xr3:uid="{26851D2B-B0A9-4B8D-9877-3BD681F87B6E}" name="Column2813" dataDxfId="13572"/>
    <tableColumn id="2838" xr3:uid="{6596B42B-EE78-4A15-85BB-94E97B0A1752}" name="Column2814" dataDxfId="13571"/>
    <tableColumn id="2839" xr3:uid="{8EEB848D-4A84-46E1-B711-8E0F546000DE}" name="Column2815" dataDxfId="13570"/>
    <tableColumn id="2840" xr3:uid="{C016CA1B-8DBD-424E-8A97-A1021CE5DCE3}" name="Column2816" dataDxfId="13569"/>
    <tableColumn id="2841" xr3:uid="{7B56CC56-6534-40B8-8876-65B8C4FC5FDE}" name="Column2817" dataDxfId="13568"/>
    <tableColumn id="2842" xr3:uid="{D1B837B9-1B44-4740-872D-73FC2D0872A0}" name="Column2818" dataDxfId="13567"/>
    <tableColumn id="2843" xr3:uid="{886ADF57-8867-4F5A-A881-0209BE3B39F4}" name="Column2819" dataDxfId="13566"/>
    <tableColumn id="2844" xr3:uid="{27B14822-298F-4AD2-A066-3B00A6E8E6D9}" name="Column2820" dataDxfId="13565"/>
    <tableColumn id="2845" xr3:uid="{32361001-7D03-4641-999A-DC2032B235D4}" name="Column2821" dataDxfId="13564"/>
    <tableColumn id="2846" xr3:uid="{D1181B1D-85E9-4ED5-B946-249A53021DC0}" name="Column2822" dataDxfId="13563"/>
    <tableColumn id="2847" xr3:uid="{D6490173-E32A-4E1F-B24D-322F914B63CB}" name="Column2823" dataDxfId="13562"/>
    <tableColumn id="2848" xr3:uid="{EA898D02-8807-4FC6-B08C-809E67EA4802}" name="Column2824" dataDxfId="13561"/>
    <tableColumn id="2849" xr3:uid="{14CE5BC0-0ED0-424F-8A8C-5A09152C7511}" name="Column2825" dataDxfId="13560"/>
    <tableColumn id="2850" xr3:uid="{835B08C5-D81B-46A6-9F93-A0A5D4FE8A8B}" name="Column2826" dataDxfId="13559"/>
    <tableColumn id="2851" xr3:uid="{1A367911-1118-4B1B-BE8A-1E47193A6B7F}" name="Column2827" dataDxfId="13558"/>
    <tableColumn id="2852" xr3:uid="{98AAD5AF-B42F-4EB8-BD18-54C55C7D0DB6}" name="Column2828" dataDxfId="13557"/>
    <tableColumn id="2853" xr3:uid="{9731AC2C-5548-4583-9994-209A343777F5}" name="Column2829" dataDxfId="13556"/>
    <tableColumn id="2854" xr3:uid="{DFB07937-8624-4C75-805C-D97977DD1CA4}" name="Column2830" dataDxfId="13555"/>
    <tableColumn id="2855" xr3:uid="{4CE540EF-0708-4EC6-8F71-F581FFA7153D}" name="Column2831" dataDxfId="13554"/>
    <tableColumn id="2856" xr3:uid="{C69E9474-1363-46D0-933B-D51E896D7BE7}" name="Column2832" dataDxfId="13553"/>
    <tableColumn id="2857" xr3:uid="{1ADECC2A-019E-4596-A7FB-3F73B2019C68}" name="Column2833" dataDxfId="13552"/>
    <tableColumn id="2858" xr3:uid="{C52DC83C-09F0-4F51-A410-836E011624D8}" name="Column2834" dataDxfId="13551"/>
    <tableColumn id="2859" xr3:uid="{DFA0F072-E9DC-43FD-AB7D-5A3F97A83BDB}" name="Column2835" dataDxfId="13550"/>
    <tableColumn id="2860" xr3:uid="{994ADBB0-1499-4FCB-B11E-FEE40A0DCFAA}" name="Column2836" dataDxfId="13549"/>
    <tableColumn id="2861" xr3:uid="{57F5A62A-4B1D-48D7-89CB-78F8E6DDAA78}" name="Column2837" dataDxfId="13548"/>
    <tableColumn id="2862" xr3:uid="{E7D35A9D-E01A-4A96-9C03-B8C44F4C5D3D}" name="Column2838" dataDxfId="13547"/>
    <tableColumn id="2863" xr3:uid="{98053627-69B0-42A1-B171-8CB2B588D1CC}" name="Column2839" dataDxfId="13546"/>
    <tableColumn id="2864" xr3:uid="{DDC5F02B-D217-4E09-92BE-07A240587D5A}" name="Column2840" dataDxfId="13545"/>
    <tableColumn id="2865" xr3:uid="{6A8EF4A3-A549-404E-AD2A-E4FE41B9EABB}" name="Column2841" dataDxfId="13544"/>
    <tableColumn id="2866" xr3:uid="{5C3E8849-069B-4973-9726-C7502023DAF8}" name="Column2842" dataDxfId="13543"/>
    <tableColumn id="2867" xr3:uid="{DAC13328-A438-4167-8460-338C8F4798B6}" name="Column2843" dataDxfId="13542"/>
    <tableColumn id="2868" xr3:uid="{EE5496AE-775D-47EA-BD40-F0D1B164D569}" name="Column2844" dataDxfId="13541"/>
    <tableColumn id="2869" xr3:uid="{9386FD7A-DCA4-4998-91C8-2224BE4F6A9F}" name="Column2845" dataDxfId="13540"/>
    <tableColumn id="2870" xr3:uid="{85DD7F69-5DE9-4022-8AEE-A3F46138FD3F}" name="Column2846" dataDxfId="13539"/>
    <tableColumn id="2871" xr3:uid="{576B598B-6DF9-48C4-AFB4-9C94AE9CD525}" name="Column2847" dataDxfId="13538"/>
    <tableColumn id="2872" xr3:uid="{F0AF70E5-D8F4-4D8B-ABB7-C4A25ADE0D5F}" name="Column2848" dataDxfId="13537"/>
    <tableColumn id="2873" xr3:uid="{0EEBE95D-E7ED-44F7-9EE5-C47DDF749E57}" name="Column2849" dataDxfId="13536"/>
    <tableColumn id="2874" xr3:uid="{CCC01E04-0B09-43FC-B5CF-054301B20446}" name="Column2850" dataDxfId="13535"/>
    <tableColumn id="2875" xr3:uid="{52B404A5-E5E8-4F3B-BFE0-3D2A9F20C23C}" name="Column2851" dataDxfId="13534"/>
    <tableColumn id="2876" xr3:uid="{ECFA82FD-AB4A-47C1-941C-C0E7742D50E8}" name="Column2852" dataDxfId="13533"/>
    <tableColumn id="2877" xr3:uid="{37BAF94D-4DE9-4353-956F-672258C8B74E}" name="Column2853" dataDxfId="13532"/>
    <tableColumn id="2878" xr3:uid="{EE6C9C11-2FBF-4143-847E-1CBCB1D0E16E}" name="Column2854" dataDxfId="13531"/>
    <tableColumn id="2879" xr3:uid="{2C4E19A6-A1BC-4A7C-87F1-C726DF93BDB8}" name="Column2855" dataDxfId="13530"/>
    <tableColumn id="2880" xr3:uid="{48C2C023-317B-4F56-A567-E58402BD0D0C}" name="Column2856" dataDxfId="13529"/>
    <tableColumn id="2881" xr3:uid="{68521244-4D8D-4D8E-B106-F058D5F2C139}" name="Column2857" dataDxfId="13528"/>
    <tableColumn id="2882" xr3:uid="{BB178347-0794-4A8B-A577-93D72CE2D32E}" name="Column2858" dataDxfId="13527"/>
    <tableColumn id="2883" xr3:uid="{F99F81E4-33B9-46FC-A818-481F4D9DD6EC}" name="Column2859" dataDxfId="13526"/>
    <tableColumn id="2884" xr3:uid="{BA1284A8-8C16-4B2A-8C4F-3D15AE5D5B06}" name="Column2860" dataDxfId="13525"/>
    <tableColumn id="2885" xr3:uid="{F6C5CCE0-B944-45C4-AD5B-95A0D0492B55}" name="Column2861" dataDxfId="13524"/>
    <tableColumn id="2886" xr3:uid="{CB991CF4-AB84-45E2-B539-74DCDCF8B0D9}" name="Column2862" dataDxfId="13523"/>
    <tableColumn id="2887" xr3:uid="{5C826131-3C7B-497D-AC16-A1382AC7B639}" name="Column2863" dataDxfId="13522"/>
    <tableColumn id="2888" xr3:uid="{8A3DCE83-8DC5-44D7-801B-74CC2162CE4A}" name="Column2864" dataDxfId="13521"/>
    <tableColumn id="2889" xr3:uid="{AB84523C-533A-466D-9620-11A997164F34}" name="Column2865" dataDxfId="13520"/>
    <tableColumn id="2890" xr3:uid="{69C1DB04-0DCF-489C-95B6-F2AAC68E1481}" name="Column2866" dataDxfId="13519"/>
    <tableColumn id="2891" xr3:uid="{D3F882CF-B9AB-4B55-B9DC-B60939BF737F}" name="Column2867" dataDxfId="13518"/>
    <tableColumn id="2892" xr3:uid="{9D5C88FE-927D-4855-8125-68193C1296B7}" name="Column2868" dataDxfId="13517"/>
    <tableColumn id="2893" xr3:uid="{1B2B23EF-75CC-448E-843F-5DAE73970CAC}" name="Column2869" dataDxfId="13516"/>
    <tableColumn id="2894" xr3:uid="{D7084FAC-ABEF-45BB-9BC5-7C39B3C7E4F2}" name="Column2870" dataDxfId="13515"/>
    <tableColumn id="2895" xr3:uid="{0D4DDCD2-B6EF-46A4-BC92-2F742D414C80}" name="Column2871" dataDxfId="13514"/>
    <tableColumn id="2896" xr3:uid="{F85BE723-A24F-4F2A-BDD0-8E78A1CD7BC9}" name="Column2872" dataDxfId="13513"/>
    <tableColumn id="2897" xr3:uid="{4FF5A77E-7CCA-48BE-8E13-BDC77D7BE8F8}" name="Column2873" dataDxfId="13512"/>
    <tableColumn id="2898" xr3:uid="{A2786E9A-8915-46CF-810D-E5886D014A20}" name="Column2874" dataDxfId="13511"/>
    <tableColumn id="2899" xr3:uid="{7AA8752F-26D0-41B8-830C-C0F6D8DFD014}" name="Column2875" dataDxfId="13510"/>
    <tableColumn id="2900" xr3:uid="{2A15AA85-7898-4585-9FFC-E7BE3FE60165}" name="Column2876" dataDxfId="13509"/>
    <tableColumn id="2901" xr3:uid="{9D93E5E2-2F3B-477F-A6F0-BAED55100C63}" name="Column2877" dataDxfId="13508"/>
    <tableColumn id="2902" xr3:uid="{4D3B32A2-8F10-44C2-A353-92DC5693CF6E}" name="Column2878" dataDxfId="13507"/>
    <tableColumn id="2903" xr3:uid="{3D7FB27F-34CE-4769-BA3C-EE393BB8BB5F}" name="Column2879" dataDxfId="13506"/>
    <tableColumn id="2904" xr3:uid="{CC843960-3017-4D67-A358-9AD116B082DD}" name="Column2880" dataDxfId="13505"/>
    <tableColumn id="2905" xr3:uid="{6DA7EE9F-055E-4263-9059-8E62B2C20A97}" name="Column2881" dataDxfId="13504"/>
    <tableColumn id="2906" xr3:uid="{410B445E-0564-478A-BF8E-93F361F79BB2}" name="Column2882" dataDxfId="13503"/>
    <tableColumn id="2907" xr3:uid="{5058CC96-15FF-4243-9ABD-769AC6946FDC}" name="Column2883" dataDxfId="13502"/>
    <tableColumn id="2908" xr3:uid="{37343394-800B-488E-BB29-7308E8E2A8FF}" name="Column2884" dataDxfId="13501"/>
    <tableColumn id="2909" xr3:uid="{711D0F9B-01DF-4661-BE6C-514AF2761E38}" name="Column2885" dataDxfId="13500"/>
    <tableColumn id="2910" xr3:uid="{F7DCCF61-570A-4B2F-9705-2101E0E24E17}" name="Column2886" dataDxfId="13499"/>
    <tableColumn id="2911" xr3:uid="{AD4B7A22-E323-4D2F-B027-7131823F4D14}" name="Column2887" dataDxfId="13498"/>
    <tableColumn id="2912" xr3:uid="{48CCFC9E-87DA-4EC5-8411-ED04C0A13BA9}" name="Column2888" dataDxfId="13497"/>
    <tableColumn id="2913" xr3:uid="{C21CB76E-A303-4C86-BB9A-FB776A035F1F}" name="Column2889" dataDxfId="13496"/>
    <tableColumn id="2914" xr3:uid="{79224881-5329-4873-BD6D-5323B02ADBB9}" name="Column2890" dataDxfId="13495"/>
    <tableColumn id="2915" xr3:uid="{68D7E88E-5589-4D91-86CB-16918337CE9D}" name="Column2891" dataDxfId="13494"/>
    <tableColumn id="2916" xr3:uid="{BE965F44-B984-4225-8E98-38ABAFA7F77E}" name="Column2892" dataDxfId="13493"/>
    <tableColumn id="2917" xr3:uid="{800AE9C9-0A13-47D1-917C-271CEA90AA9A}" name="Column2893" dataDxfId="13492"/>
    <tableColumn id="2918" xr3:uid="{4B15AC45-DDB3-4BB6-B792-2F189DDFE4F3}" name="Column2894" dataDxfId="13491"/>
    <tableColumn id="2919" xr3:uid="{C8F0990A-B762-4C3B-A88C-7B7EDB507822}" name="Column2895" dataDxfId="13490"/>
    <tableColumn id="2920" xr3:uid="{130BC7F3-8573-421B-905C-CDEAA7C67C99}" name="Column2896" dataDxfId="13489"/>
    <tableColumn id="2921" xr3:uid="{DD68F32C-CC64-48E9-872F-25B29D517B55}" name="Column2897" dataDxfId="13488"/>
    <tableColumn id="2922" xr3:uid="{E283DABF-566D-421F-9DC5-D8ACB1D4580E}" name="Column2898" dataDxfId="13487"/>
    <tableColumn id="2923" xr3:uid="{200DB1E2-99CD-41B4-BC0C-BABCFA140ABE}" name="Column2899" dataDxfId="13486"/>
    <tableColumn id="2924" xr3:uid="{4A45A39E-E370-4BBF-89D5-F3F58223287B}" name="Column2900" dataDxfId="13485"/>
    <tableColumn id="2925" xr3:uid="{2AB29F44-B598-4388-966B-DEE8CFD9AC64}" name="Column2901" dataDxfId="13484"/>
    <tableColumn id="2926" xr3:uid="{A58F3EA0-2E60-418F-9BD5-E2CA2E67A432}" name="Column2902" dataDxfId="13483"/>
    <tableColumn id="2927" xr3:uid="{7F94EFAE-3128-412A-80D6-1B30CDB6CD1D}" name="Column2903" dataDxfId="13482"/>
    <tableColumn id="2928" xr3:uid="{0EF11479-75EE-4135-893D-A56374B39C04}" name="Column2904" dataDxfId="13481"/>
    <tableColumn id="2929" xr3:uid="{4C41F151-6B03-4405-96DA-592BA1B1D690}" name="Column2905" dataDxfId="13480"/>
    <tableColumn id="2930" xr3:uid="{0A1B44C2-C3F5-48A0-8192-0F01CEC87BA5}" name="Column2906" dataDxfId="13479"/>
    <tableColumn id="2931" xr3:uid="{ACDF1C6A-FA97-4D1D-B41A-B830AEAE0988}" name="Column2907" dataDxfId="13478"/>
    <tableColumn id="2932" xr3:uid="{793C4FA5-9AC7-4917-B2B9-3ED71478A8AD}" name="Column2908" dataDxfId="13477"/>
    <tableColumn id="2933" xr3:uid="{3A80FB5E-F27A-4A31-89F5-98EDFAA69723}" name="Column2909" dataDxfId="13476"/>
    <tableColumn id="2934" xr3:uid="{D06B4CED-B45C-4EE2-8A87-3C9190768CC2}" name="Column2910" dataDxfId="13475"/>
    <tableColumn id="2935" xr3:uid="{6E0F7DA4-6B95-4E12-9FB6-267A501E513A}" name="Column2911" dataDxfId="13474"/>
    <tableColumn id="2936" xr3:uid="{A2BCE3EC-01CB-404E-8314-E49309F3C208}" name="Column2912" dataDxfId="13473"/>
    <tableColumn id="2937" xr3:uid="{C21D0533-1E99-407B-A601-668D045458D7}" name="Column2913" dataDxfId="13472"/>
    <tableColumn id="2938" xr3:uid="{E4A26ECB-DF0C-4429-8EE6-D47A8E3F542E}" name="Column2914" dataDxfId="13471"/>
    <tableColumn id="2939" xr3:uid="{24362B2F-AAB0-446D-BC04-34FFA11A7C74}" name="Column2915" dataDxfId="13470"/>
    <tableColumn id="2940" xr3:uid="{C26A2ACA-E859-43C6-8056-615F395FF8A0}" name="Column2916" dataDxfId="13469"/>
    <tableColumn id="2941" xr3:uid="{8274F138-4124-4BB8-B241-3F56E548631A}" name="Column2917" dataDxfId="13468"/>
    <tableColumn id="2942" xr3:uid="{F377F4FA-ADA4-42AB-85B0-688CD45970A5}" name="Column2918" dataDxfId="13467"/>
    <tableColumn id="2943" xr3:uid="{EF29E112-6345-4978-9E7E-213F76BC4FD8}" name="Column2919" dataDxfId="13466"/>
    <tableColumn id="2944" xr3:uid="{EAA2E7CB-078C-4EDE-B184-CDFBF74703EE}" name="Column2920" dataDxfId="13465"/>
    <tableColumn id="2945" xr3:uid="{826C2FC1-3CD8-48DA-BC42-FA9ED6C0CDCD}" name="Column2921" dataDxfId="13464"/>
    <tableColumn id="2946" xr3:uid="{7D2F1D8C-79EB-486D-A3FF-F82127D61C75}" name="Column2922" dataDxfId="13463"/>
    <tableColumn id="2947" xr3:uid="{EBFA5B4D-5205-46ED-8274-558D8EB36605}" name="Column2923" dataDxfId="13462"/>
    <tableColumn id="2948" xr3:uid="{6BF54015-6788-4083-9F62-0B7ADBECA88F}" name="Column2924" dataDxfId="13461"/>
    <tableColumn id="2949" xr3:uid="{D52D117B-EE94-4F74-9DD1-F66822E19D14}" name="Column2925" dataDxfId="13460"/>
    <tableColumn id="2950" xr3:uid="{9DF0EDAF-6548-4271-8889-81F8C0BE0F86}" name="Column2926" dataDxfId="13459"/>
    <tableColumn id="2951" xr3:uid="{BFB9266F-ABBE-4B57-B3C1-64B82D6B190B}" name="Column2927" dataDxfId="13458"/>
    <tableColumn id="2952" xr3:uid="{8AF62B4D-EBDA-4D7C-8EF1-DF89F499E01D}" name="Column2928" dataDxfId="13457"/>
    <tableColumn id="2953" xr3:uid="{9C3D4B93-C1A2-408D-98C8-EAAD530B032E}" name="Column2929" dataDxfId="13456"/>
    <tableColumn id="2954" xr3:uid="{212365B0-BC1E-4984-B8B2-174CC523B6BA}" name="Column2930" dataDxfId="13455"/>
    <tableColumn id="2955" xr3:uid="{9B9B71C2-7176-48ED-B2A7-AB7B0D8919FD}" name="Column2931" dataDxfId="13454"/>
    <tableColumn id="2956" xr3:uid="{2E6D03B3-DFA0-4396-B8C6-837044C59870}" name="Column2932" dataDxfId="13453"/>
    <tableColumn id="2957" xr3:uid="{E1B9B7CC-ADF3-4773-BEC6-1261CF93869A}" name="Column2933" dataDxfId="13452"/>
    <tableColumn id="2958" xr3:uid="{C1C214CC-CBDA-4ED2-9945-78D87228499E}" name="Column2934" dataDxfId="13451"/>
    <tableColumn id="2959" xr3:uid="{C9DACB08-3FE1-4D78-9488-5B466EB4D5D8}" name="Column2935" dataDxfId="13450"/>
    <tableColumn id="2960" xr3:uid="{2D7DDABA-6CCF-470A-A4C2-CD5A12E9EB30}" name="Column2936" dataDxfId="13449"/>
    <tableColumn id="2961" xr3:uid="{3CDD3974-2F2C-47FB-91D6-03443DDC1BD6}" name="Column2937" dataDxfId="13448"/>
    <tableColumn id="2962" xr3:uid="{EB3CCAEF-0185-4BC5-B15F-37E0098AE9A7}" name="Column2938" dataDxfId="13447"/>
    <tableColumn id="2963" xr3:uid="{C9C1007B-79A1-493A-88B3-951F0F1305DF}" name="Column2939" dataDxfId="13446"/>
    <tableColumn id="2964" xr3:uid="{FBF1E9F9-C4D7-4AFA-82AF-A93554E84802}" name="Column2940" dataDxfId="13445"/>
    <tableColumn id="2965" xr3:uid="{8B9A60D1-08A5-4C6E-8B12-5C952380EA1B}" name="Column2941" dataDxfId="13444"/>
    <tableColumn id="2966" xr3:uid="{BB132399-C1F7-43F6-AC8B-826F01F0A158}" name="Column2942" dataDxfId="13443"/>
    <tableColumn id="2967" xr3:uid="{A6039CB4-A432-42C9-B2EE-CDFA6B7470D8}" name="Column2943" dataDxfId="13442"/>
    <tableColumn id="2968" xr3:uid="{1DCD2F15-4824-4452-94FD-BD7DBC7A252B}" name="Column2944" dataDxfId="13441"/>
    <tableColumn id="2969" xr3:uid="{EFD41DEB-B734-43A0-BA22-E41ECE9FE225}" name="Column2945" dataDxfId="13440"/>
    <tableColumn id="2970" xr3:uid="{D4569021-970A-4E1F-8081-B2890AB6C90C}" name="Column2946" dataDxfId="13439"/>
    <tableColumn id="2971" xr3:uid="{64ECBB72-0945-44CF-B67D-00372A1ECD8F}" name="Column2947" dataDxfId="13438"/>
    <tableColumn id="2972" xr3:uid="{ADEEF12A-EEBE-4ED9-9C6D-5203BD526BCA}" name="Column2948" dataDxfId="13437"/>
    <tableColumn id="2973" xr3:uid="{7AF0BC61-D3C3-4AD1-9F76-33F3788D1D7F}" name="Column2949" dataDxfId="13436"/>
    <tableColumn id="2974" xr3:uid="{DA297D1F-EEE6-4D6E-8D34-4C89574A1204}" name="Column2950" dataDxfId="13435"/>
    <tableColumn id="2975" xr3:uid="{1FF61CD6-8E70-494C-9B83-24288E6F694D}" name="Column2951" dataDxfId="13434"/>
    <tableColumn id="2976" xr3:uid="{18F53AF3-8401-4276-87E4-795BC73B60B0}" name="Column2952" dataDxfId="13433"/>
    <tableColumn id="2977" xr3:uid="{53065685-5F16-43CE-A684-037A8315BDA4}" name="Column2953" dataDxfId="13432"/>
    <tableColumn id="2978" xr3:uid="{5D9E972B-9AC8-491A-956B-4082A6816FFD}" name="Column2954" dataDxfId="13431"/>
    <tableColumn id="2979" xr3:uid="{17293731-6A7C-4BFB-8570-DA4EA4C77C80}" name="Column2955" dataDxfId="13430"/>
    <tableColumn id="2980" xr3:uid="{9F68B61B-339B-4470-97B1-87146299D038}" name="Column2956" dataDxfId="13429"/>
    <tableColumn id="2981" xr3:uid="{140112B2-927E-4A25-BD5A-738806A909CE}" name="Column2957" dataDxfId="13428"/>
    <tableColumn id="2982" xr3:uid="{B8A2C034-8D7E-48D2-AF2D-6CFD8CC263C6}" name="Column2958" dataDxfId="13427"/>
    <tableColumn id="2983" xr3:uid="{0F8F4EFB-F57F-4844-BE54-49E3B4E37147}" name="Column2959" dataDxfId="13426"/>
    <tableColumn id="2984" xr3:uid="{386BB920-221C-4628-8757-A6C89009195F}" name="Column2960" dataDxfId="13425"/>
    <tableColumn id="2985" xr3:uid="{3CDCBB65-C9CE-474C-A20F-392ED002A848}" name="Column2961" dataDxfId="13424"/>
    <tableColumn id="2986" xr3:uid="{B357CFA9-5ED4-4776-824E-F56DFF99D9CD}" name="Column2962" dataDxfId="13423"/>
    <tableColumn id="2987" xr3:uid="{A6D7CC6E-E245-49A8-A7E6-8614F52C2E2C}" name="Column2963" dataDxfId="13422"/>
    <tableColumn id="2988" xr3:uid="{E73C6EAF-234F-4324-B87F-B5A4622E63EB}" name="Column2964" dataDxfId="13421"/>
    <tableColumn id="2989" xr3:uid="{4B365567-76D1-45B0-878B-F659AE563AC5}" name="Column2965" dataDxfId="13420"/>
    <tableColumn id="2990" xr3:uid="{F08C5964-D3C5-40D6-B89D-D0C5230B8985}" name="Column2966" dataDxfId="13419"/>
    <tableColumn id="2991" xr3:uid="{6E3FF5C8-4443-4BF1-A4AB-92303B700154}" name="Column2967" dataDxfId="13418"/>
    <tableColumn id="2992" xr3:uid="{4BED8F2A-4551-40E0-BF72-D434E99B37EC}" name="Column2968" dataDxfId="13417"/>
    <tableColumn id="2993" xr3:uid="{A42EB728-1466-489B-8C0A-D6432C5F71E1}" name="Column2969" dataDxfId="13416"/>
    <tableColumn id="2994" xr3:uid="{E5668B62-91F9-47FA-A825-516FCBBF9324}" name="Column2970" dataDxfId="13415"/>
    <tableColumn id="2995" xr3:uid="{FB7CADDB-CCC9-4174-8A4E-06B8ACF3D126}" name="Column2971" dataDxfId="13414"/>
    <tableColumn id="2996" xr3:uid="{59FECE1C-6E66-4448-8349-1B4ED2C50702}" name="Column2972" dataDxfId="13413"/>
    <tableColumn id="2997" xr3:uid="{5B4DBD30-F5B0-48DE-A944-541A2A0F3DA1}" name="Column2973" dataDxfId="13412"/>
    <tableColumn id="2998" xr3:uid="{6385B3B3-110F-4A51-9554-A14B73AE38F1}" name="Column2974" dataDxfId="13411"/>
    <tableColumn id="2999" xr3:uid="{B9B09768-759E-409C-BB1B-18CB8B831969}" name="Column2975" dataDxfId="13410"/>
    <tableColumn id="3000" xr3:uid="{967FDDC5-6198-4935-8372-9FC95301FE00}" name="Column2976" dataDxfId="13409"/>
    <tableColumn id="3001" xr3:uid="{CAF4AB6C-7046-42D6-9427-C90A1057CD4B}" name="Column2977" dataDxfId="13408"/>
    <tableColumn id="3002" xr3:uid="{98754BB3-7486-47C1-A021-7CCAD581A262}" name="Column2978" dataDxfId="13407"/>
    <tableColumn id="3003" xr3:uid="{26BF3C43-FC7E-42E3-8A51-C21F0529AF1A}" name="Column2979" dataDxfId="13406"/>
    <tableColumn id="3004" xr3:uid="{5970C654-95D2-4DF5-ADE1-43FF704269CF}" name="Column2980" dataDxfId="13405"/>
    <tableColumn id="3005" xr3:uid="{A975BE91-CD4C-4AC0-8FB5-A5D7CF88F431}" name="Column2981" dataDxfId="13404"/>
    <tableColumn id="3006" xr3:uid="{B2083670-6C36-4200-992E-6C1CC3B5F330}" name="Column2982" dataDxfId="13403"/>
    <tableColumn id="3007" xr3:uid="{0B1D6400-AB88-441E-B791-55279432D7A8}" name="Column2983" dataDxfId="13402"/>
    <tableColumn id="3008" xr3:uid="{8F272033-9849-4DAC-95FA-4908F3BEC17C}" name="Column2984" dataDxfId="13401"/>
    <tableColumn id="3009" xr3:uid="{47239D8A-DF11-40F3-AFCA-D885DD8A4901}" name="Column2985" dataDxfId="13400"/>
    <tableColumn id="3010" xr3:uid="{FEEAB400-7F0F-4BD3-BCA7-1C6BF5A9FD33}" name="Column2986" dataDxfId="13399"/>
    <tableColumn id="3011" xr3:uid="{75BC72ED-ED7E-4DC5-AD85-47875C0E2254}" name="Column2987" dataDxfId="13398"/>
    <tableColumn id="3012" xr3:uid="{C824EF86-7572-4FD0-84FB-333929582296}" name="Column2988" dataDxfId="13397"/>
    <tableColumn id="3013" xr3:uid="{88E8EC11-3AC9-47BA-939E-DC0A47F04060}" name="Column2989" dataDxfId="13396"/>
    <tableColumn id="3014" xr3:uid="{AE18AD21-BB9C-4B5B-88FD-1886ACA642AD}" name="Column2990" dataDxfId="13395"/>
    <tableColumn id="3015" xr3:uid="{70C50FA7-2C7B-48F6-8C8D-0EA3E2FCE617}" name="Column2991" dataDxfId="13394"/>
    <tableColumn id="3016" xr3:uid="{0B5B39D8-8CE5-425D-AA4F-CAFA00C3BF42}" name="Column2992" dataDxfId="13393"/>
    <tableColumn id="3017" xr3:uid="{8308D2B3-DCC6-4354-A5F0-CA34D07607B7}" name="Column2993" dataDxfId="13392"/>
    <tableColumn id="3018" xr3:uid="{5AF8C647-4085-4262-9775-4063BA0558B4}" name="Column2994" dataDxfId="13391"/>
    <tableColumn id="3019" xr3:uid="{489D6079-8FC5-44C3-A405-9C691449F657}" name="Column2995" dataDxfId="13390"/>
    <tableColumn id="3020" xr3:uid="{B68DC06E-D6B6-46AF-B6CC-072908BB4EEC}" name="Column2996" dataDxfId="13389"/>
    <tableColumn id="3021" xr3:uid="{F8C371EB-A4E2-447E-8F54-1970075F07ED}" name="Column2997" dataDxfId="13388"/>
    <tableColumn id="3022" xr3:uid="{DD9D09C2-804C-49A3-A5DF-79340A4336F1}" name="Column2998" dataDxfId="13387"/>
    <tableColumn id="3023" xr3:uid="{4B2E4F0A-7E8A-4709-80E4-C4126997A418}" name="Column2999" dataDxfId="13386"/>
    <tableColumn id="3024" xr3:uid="{21146CE5-9CE1-4EC6-A32B-CE7BE608994E}" name="Column3000" dataDxfId="13385"/>
    <tableColumn id="3025" xr3:uid="{ACA4EBB1-F58E-449F-BE68-6A755893FB6F}" name="Column3001" dataDxfId="13384"/>
    <tableColumn id="3026" xr3:uid="{28ACF83D-A561-4B2E-8C36-526F0A1928B7}" name="Column3002" dataDxfId="13383"/>
    <tableColumn id="3027" xr3:uid="{7CA765C3-9C0D-4568-B0E4-BA36CAF217F3}" name="Column3003" dataDxfId="13382"/>
    <tableColumn id="3028" xr3:uid="{73DFE904-D96F-46CC-A452-7E5026D6FA64}" name="Column3004" dataDxfId="13381"/>
    <tableColumn id="3029" xr3:uid="{52024858-6CBC-46F6-BEE7-13949F5EAB09}" name="Column3005" dataDxfId="13380"/>
    <tableColumn id="3030" xr3:uid="{CC6F6F09-669B-4579-8218-7E12FCA27197}" name="Column3006" dataDxfId="13379"/>
    <tableColumn id="3031" xr3:uid="{2AA115C0-528E-43D6-9899-F072650616DE}" name="Column3007" dataDxfId="13378"/>
    <tableColumn id="3032" xr3:uid="{AAFF5F3E-2311-4BD7-B4E1-3B1A32015DF6}" name="Column3008" dataDxfId="13377"/>
    <tableColumn id="3033" xr3:uid="{3DC1971C-CC61-4FE9-8A5F-8CD7F2F0FB62}" name="Column3009" dataDxfId="13376"/>
    <tableColumn id="3034" xr3:uid="{18BC725D-1D40-4CD4-87F3-1AF821F6F6A0}" name="Column3010" dataDxfId="13375"/>
    <tableColumn id="3035" xr3:uid="{18408D59-8387-4340-A701-5AB7E643282D}" name="Column3011" dataDxfId="13374"/>
    <tableColumn id="3036" xr3:uid="{99FEA2C8-A209-48F6-9F51-F831E2F90180}" name="Column3012" dataDxfId="13373"/>
    <tableColumn id="3037" xr3:uid="{B2D657ED-2207-4418-8E50-E252FEE90D0F}" name="Column3013" dataDxfId="13372"/>
    <tableColumn id="3038" xr3:uid="{5025E7CA-98C1-4A64-BF32-CE70138387CD}" name="Column3014" dataDxfId="13371"/>
    <tableColumn id="3039" xr3:uid="{21F6C2FD-2F90-48DE-835A-576D65DDA8BE}" name="Column3015" dataDxfId="13370"/>
    <tableColumn id="3040" xr3:uid="{6B255D37-DCBA-453C-8B94-594F716C5E7C}" name="Column3016" dataDxfId="13369"/>
    <tableColumn id="3041" xr3:uid="{D53E760B-9139-4EF7-BF7D-F85AE91DBB77}" name="Column3017" dataDxfId="13368"/>
    <tableColumn id="3042" xr3:uid="{7CCFF23D-8363-41E1-B9BE-A512F8FD2425}" name="Column3018" dataDxfId="13367"/>
    <tableColumn id="3043" xr3:uid="{CAEF1C17-3850-4615-9FEB-91693BB209CE}" name="Column3019" dataDxfId="13366"/>
    <tableColumn id="3044" xr3:uid="{00949F38-600F-4E7B-AEA5-F7BC90E2BA34}" name="Column3020" dataDxfId="13365"/>
    <tableColumn id="3045" xr3:uid="{1188D940-E9CD-4BC3-B7D2-C56134F5B814}" name="Column3021" dataDxfId="13364"/>
    <tableColumn id="3046" xr3:uid="{3F81B18A-3767-4B8F-911D-65BC5C78FF1B}" name="Column3022" dataDxfId="13363"/>
    <tableColumn id="3047" xr3:uid="{1557758F-39CD-46C4-853A-12CAC0841C15}" name="Column3023" dataDxfId="13362"/>
    <tableColumn id="3048" xr3:uid="{94455ED3-8111-4761-92D2-FE06EA913C45}" name="Column3024" dataDxfId="13361"/>
    <tableColumn id="3049" xr3:uid="{A225A821-218D-41CD-959F-8D7CED427745}" name="Column3025" dataDxfId="13360"/>
    <tableColumn id="3050" xr3:uid="{8E23BA4C-D204-43B2-B3C7-CC42EA3C413F}" name="Column3026" dataDxfId="13359"/>
    <tableColumn id="3051" xr3:uid="{17F8FA67-7C40-44D2-BF6D-7585A9D7EDF6}" name="Column3027" dataDxfId="13358"/>
    <tableColumn id="3052" xr3:uid="{FD2E1810-E251-446D-ABE7-49CCDED7769C}" name="Column3028" dataDxfId="13357"/>
    <tableColumn id="3053" xr3:uid="{E555F2D4-84EA-419F-A44D-E915CB982086}" name="Column3029" dataDxfId="13356"/>
    <tableColumn id="3054" xr3:uid="{3C9545AD-6BFF-4D94-9ADE-FC9DF9DF9E98}" name="Column3030" dataDxfId="13355"/>
    <tableColumn id="3055" xr3:uid="{5D5ED483-E954-4015-80A9-DA9735128DB4}" name="Column3031" dataDxfId="13354"/>
    <tableColumn id="3056" xr3:uid="{C967CCE1-DAC4-4F80-976B-D0CE987499EA}" name="Column3032" dataDxfId="13353"/>
    <tableColumn id="3057" xr3:uid="{35AF237F-5179-42E2-8705-0DC3EFA9F28E}" name="Column3033" dataDxfId="13352"/>
    <tableColumn id="3058" xr3:uid="{3CD25155-0FC9-4F1D-96CE-C4091F0794BD}" name="Column3034" dataDxfId="13351"/>
    <tableColumn id="3059" xr3:uid="{B25E2D5D-8D1A-4D9C-A898-B530E1C433E4}" name="Column3035" dataDxfId="13350"/>
    <tableColumn id="3060" xr3:uid="{8B20BAD3-7F04-4F77-A3A6-1EBB7E4CFB2E}" name="Column3036" dataDxfId="13349"/>
    <tableColumn id="3061" xr3:uid="{72B47153-E5AD-425D-804C-421B59724E10}" name="Column3037" dataDxfId="13348"/>
    <tableColumn id="3062" xr3:uid="{D72E66A4-8D6A-495A-9FF6-5A2C517BCCEA}" name="Column3038" dataDxfId="13347"/>
    <tableColumn id="3063" xr3:uid="{FB02D66C-4BEC-4C44-8FD7-EB36F663E236}" name="Column3039" dataDxfId="13346"/>
    <tableColumn id="3064" xr3:uid="{19104A67-4ED4-4386-8375-CAD3EDD4CB31}" name="Column3040" dataDxfId="13345"/>
    <tableColumn id="3065" xr3:uid="{A7F73509-616A-4FA8-9154-8DCF6715D4A2}" name="Column3041" dataDxfId="13344"/>
    <tableColumn id="3066" xr3:uid="{9B8F0679-48FD-43BA-8432-C4EA8848D99D}" name="Column3042" dataDxfId="13343"/>
    <tableColumn id="3067" xr3:uid="{47958599-D201-49FA-B590-45C3E54AD757}" name="Column3043" dataDxfId="13342"/>
    <tableColumn id="3068" xr3:uid="{6E86C93B-7053-413F-8027-0E0254B4C5E0}" name="Column3044" dataDxfId="13341"/>
    <tableColumn id="3069" xr3:uid="{7EBBC76C-7D7F-4836-A74D-FF9F6F459254}" name="Column3045" dataDxfId="13340"/>
    <tableColumn id="3070" xr3:uid="{FD7A0C5E-EB7A-4394-8547-A4E1E1CF26B9}" name="Column3046" dataDxfId="13339"/>
    <tableColumn id="3071" xr3:uid="{6B600770-1A14-4905-BFB6-BD61EF9E76FA}" name="Column3047" dataDxfId="13338"/>
    <tableColumn id="3072" xr3:uid="{346ED75B-143B-47BD-A113-517591E1F310}" name="Column3048" dataDxfId="13337"/>
    <tableColumn id="3073" xr3:uid="{1BC709F8-0C00-4508-A6BF-930F4C5E9490}" name="Column3049" dataDxfId="13336"/>
    <tableColumn id="3074" xr3:uid="{A9014F8A-5293-4390-8665-7BAE2E2566DB}" name="Column3050" dataDxfId="13335"/>
    <tableColumn id="3075" xr3:uid="{6E737955-F226-4CB5-8CC9-9617CA9FEA48}" name="Column3051" dataDxfId="13334"/>
    <tableColumn id="3076" xr3:uid="{A533CB37-B8DC-45DF-99CC-5B00B083E3E6}" name="Column3052" dataDxfId="13333"/>
    <tableColumn id="3077" xr3:uid="{EEA3B383-3FDA-4E75-853C-C67FBF05B78B}" name="Column3053" dataDxfId="13332"/>
    <tableColumn id="3078" xr3:uid="{EF6DE2DE-096D-44F2-8A92-6DDD77ECC611}" name="Column3054" dataDxfId="13331"/>
    <tableColumn id="3079" xr3:uid="{D538876E-ADDD-45C0-AF5C-531E51DD236A}" name="Column3055" dataDxfId="13330"/>
    <tableColumn id="3080" xr3:uid="{A02F28C0-1992-492C-A676-F6EE089CFBE6}" name="Column3056" dataDxfId="13329"/>
    <tableColumn id="3081" xr3:uid="{80AB38AA-4B27-49F3-BCD5-BA0BA19604B0}" name="Column3057" dataDxfId="13328"/>
    <tableColumn id="3082" xr3:uid="{CF2907E0-22D0-4999-B5DE-747C8E975752}" name="Column3058" dataDxfId="13327"/>
    <tableColumn id="3083" xr3:uid="{0D7F9D16-925B-45A8-A41A-8D9EF29D0C6C}" name="Column3059" dataDxfId="13326"/>
    <tableColumn id="3084" xr3:uid="{CF34FDD8-DBBE-452B-A5BD-88FE3129B9B8}" name="Column3060" dataDxfId="13325"/>
    <tableColumn id="3085" xr3:uid="{F6F3EBE9-F53E-4328-8566-0F9781414EA2}" name="Column3061" dataDxfId="13324"/>
    <tableColumn id="3086" xr3:uid="{E2E40DC2-6D89-4886-92E0-C93AF6DB747C}" name="Column3062" dataDxfId="13323"/>
    <tableColumn id="3087" xr3:uid="{96E11B47-AC8E-453C-A58D-F61155EAB80B}" name="Column3063" dataDxfId="13322"/>
    <tableColumn id="3088" xr3:uid="{8BF51432-595A-4C85-B5F0-3FCA9D076160}" name="Column3064" dataDxfId="13321"/>
    <tableColumn id="3089" xr3:uid="{4F551743-D804-4BEA-8C7E-292A88B65F88}" name="Column3065" dataDxfId="13320"/>
    <tableColumn id="3090" xr3:uid="{D777DAD1-B812-472D-8980-A687F216B423}" name="Column3066" dataDxfId="13319"/>
    <tableColumn id="3091" xr3:uid="{0AA24F9A-58A5-4827-9C98-39D69A5F88C2}" name="Column3067" dataDxfId="13318"/>
    <tableColumn id="3092" xr3:uid="{999A3CD5-3067-4A96-B8A9-44D0C29643A2}" name="Column3068" dataDxfId="13317"/>
    <tableColumn id="3093" xr3:uid="{3E3E3177-D044-48BA-B06E-8E25B8534056}" name="Column3069" dataDxfId="13316"/>
    <tableColumn id="3094" xr3:uid="{89F270F3-9A14-498D-86B1-65B9C3C1533B}" name="Column3070" dataDxfId="13315"/>
    <tableColumn id="3095" xr3:uid="{D416952F-EA02-4513-A2C9-FD52EC406B1A}" name="Column3071" dataDxfId="13314"/>
    <tableColumn id="3096" xr3:uid="{884C01DF-DC32-442D-BCED-DE45188BAC54}" name="Column3072" dataDxfId="13313"/>
    <tableColumn id="3097" xr3:uid="{55A2DF34-6EAB-4111-9D51-2881D1281BFF}" name="Column3073" dataDxfId="13312"/>
    <tableColumn id="3098" xr3:uid="{FF2D455B-B75D-4B61-B255-A08695F850D0}" name="Column3074" dataDxfId="13311"/>
    <tableColumn id="3099" xr3:uid="{B922B10B-8952-48B3-92DB-C8EE3B139668}" name="Column3075" dataDxfId="13310"/>
    <tableColumn id="3100" xr3:uid="{81E52C9F-8055-442B-8172-EFB818B670C0}" name="Column3076" dataDxfId="13309"/>
    <tableColumn id="3101" xr3:uid="{F5874F6B-190C-4595-A35D-29E85C75BD7D}" name="Column3077" dataDxfId="13308"/>
    <tableColumn id="3102" xr3:uid="{71250C48-2E5D-4D24-AD87-ECBA21C5629B}" name="Column3078" dataDxfId="13307"/>
    <tableColumn id="3103" xr3:uid="{579A6936-013C-41BD-BCD9-5D0624BCB1C1}" name="Column3079" dataDxfId="13306"/>
    <tableColumn id="3104" xr3:uid="{F5FDD0A6-A26F-49FE-9628-B87579EA091D}" name="Column3080" dataDxfId="13305"/>
    <tableColumn id="3105" xr3:uid="{6C35A302-DD9F-43FE-AE73-B821526CF49B}" name="Column3081" dataDxfId="13304"/>
    <tableColumn id="3106" xr3:uid="{C768D3D7-754B-4757-A4B3-18A9E9D4C623}" name="Column3082" dataDxfId="13303"/>
    <tableColumn id="3107" xr3:uid="{078BDB62-94FF-4B03-A35D-FE20D2A45232}" name="Column3083" dataDxfId="13302"/>
    <tableColumn id="3108" xr3:uid="{7BF4A999-95D3-4DBF-B18B-38AB04F2CCCC}" name="Column3084" dataDxfId="13301"/>
    <tableColumn id="3109" xr3:uid="{12CE53DE-36F1-46C8-B5AC-ACE37252547D}" name="Column3085" dataDxfId="13300"/>
    <tableColumn id="3110" xr3:uid="{52265BA1-363C-4307-B777-7D5E61E25472}" name="Column3086" dataDxfId="13299"/>
    <tableColumn id="3111" xr3:uid="{BBC86781-44CE-4B05-A337-48F1633F3941}" name="Column3087" dataDxfId="13298"/>
    <tableColumn id="3112" xr3:uid="{B540B9C5-E2DE-49E2-86E9-4F45EFE5AB04}" name="Column3088" dataDxfId="13297"/>
    <tableColumn id="3113" xr3:uid="{EE444DB3-F96E-4014-897A-9D379D07B69A}" name="Column3089" dataDxfId="13296"/>
    <tableColumn id="3114" xr3:uid="{7D593621-C90E-4800-92C5-0B5921094839}" name="Column3090" dataDxfId="13295"/>
    <tableColumn id="3115" xr3:uid="{0C126EF0-6ECC-4D8C-A9A9-5CFCD6513CF1}" name="Column3091" dataDxfId="13294"/>
    <tableColumn id="3116" xr3:uid="{36E5B8C9-1D52-4D3C-8903-E5265810F911}" name="Column3092" dataDxfId="13293"/>
    <tableColumn id="3117" xr3:uid="{36FEAA0A-72C6-4F90-B3BE-EDD8F4A4BF2D}" name="Column3093" dataDxfId="13292"/>
    <tableColumn id="3118" xr3:uid="{B6EFC9F8-9016-42E2-BDAC-D77969FFEFB1}" name="Column3094" dataDxfId="13291"/>
    <tableColumn id="3119" xr3:uid="{AFF2A357-5789-4837-9B67-754C7F54198C}" name="Column3095" dataDxfId="13290"/>
    <tableColumn id="3120" xr3:uid="{D4CBFB6D-B0B1-45E7-89F0-9EE6F784C6D5}" name="Column3096" dataDxfId="13289"/>
    <tableColumn id="3121" xr3:uid="{1A7B795E-7973-4F93-B62F-E7DB6E3AB528}" name="Column3097" dataDxfId="13288"/>
    <tableColumn id="3122" xr3:uid="{2AAD78B8-F9C0-4426-8577-63B7017B275D}" name="Column3098" dataDxfId="13287"/>
    <tableColumn id="3123" xr3:uid="{AC8014CF-621A-47EF-BF50-56288F95BEB4}" name="Column3099" dataDxfId="13286"/>
    <tableColumn id="3124" xr3:uid="{8849EE02-C074-42AE-9001-A869C98B6A41}" name="Column3100" dataDxfId="13285"/>
    <tableColumn id="3125" xr3:uid="{5886A140-16DB-4EC0-B6B7-13396E9A2767}" name="Column3101" dataDxfId="13284"/>
    <tableColumn id="3126" xr3:uid="{CDED72BD-A9CA-45BE-851F-BC5227422E73}" name="Column3102" dataDxfId="13283"/>
    <tableColumn id="3127" xr3:uid="{8CD0B576-DBA7-4D90-B4A2-ED0455D5CD5E}" name="Column3103" dataDxfId="13282"/>
    <tableColumn id="3128" xr3:uid="{A29F564F-9D52-44F5-93C8-65F7417F2A52}" name="Column3104" dataDxfId="13281"/>
    <tableColumn id="3129" xr3:uid="{8F87E370-3FB2-4F33-8163-6C63381334E9}" name="Column3105" dataDxfId="13280"/>
    <tableColumn id="3130" xr3:uid="{B3759950-D296-4FCE-AE59-33C02652DD12}" name="Column3106" dataDxfId="13279"/>
    <tableColumn id="3131" xr3:uid="{E2536B76-0DAF-4B70-A883-0ECC52CC4D6C}" name="Column3107" dataDxfId="13278"/>
    <tableColumn id="3132" xr3:uid="{D11B9893-808D-4D0E-9984-6D6B85D84FDC}" name="Column3108" dataDxfId="13277"/>
    <tableColumn id="3133" xr3:uid="{35EC6C67-B23F-4E7B-9604-230A87DD29DE}" name="Column3109" dataDxfId="13276"/>
    <tableColumn id="3134" xr3:uid="{9A43D89E-C79D-40AF-BEF8-C70BA29DE95B}" name="Column3110" dataDxfId="13275"/>
    <tableColumn id="3135" xr3:uid="{1C948B08-C989-4A18-A002-C99A7246FEFF}" name="Column3111" dataDxfId="13274"/>
    <tableColumn id="3136" xr3:uid="{A8E6A573-DD47-4CCF-9D37-199D7D197F42}" name="Column3112" dataDxfId="13273"/>
    <tableColumn id="3137" xr3:uid="{C1ABCCE6-3E47-4A5C-A195-75FA045EC637}" name="Column3113" dataDxfId="13272"/>
    <tableColumn id="3138" xr3:uid="{627F520A-9BC5-46E3-811D-4D6B78B72BA8}" name="Column3114" dataDxfId="13271"/>
    <tableColumn id="3139" xr3:uid="{36D93BCA-2677-49C9-A6F2-1121CA042AB8}" name="Column3115" dataDxfId="13270"/>
    <tableColumn id="3140" xr3:uid="{8C6C3E50-15D6-4378-8DC2-E4C9D7D2E3A3}" name="Column3116" dataDxfId="13269"/>
    <tableColumn id="3141" xr3:uid="{9E6438E5-E6BC-4F8C-A5FC-02FEE69F5511}" name="Column3117" dataDxfId="13268"/>
    <tableColumn id="3142" xr3:uid="{7DD81013-5C5D-49FD-A7B6-72306D62455E}" name="Column3118" dataDxfId="13267"/>
    <tableColumn id="3143" xr3:uid="{F366319C-B3CC-4C4B-A2AB-E98B13B4895D}" name="Column3119" dataDxfId="13266"/>
    <tableColumn id="3144" xr3:uid="{257C4B56-A5C7-4504-956D-4CC691E683E8}" name="Column3120" dataDxfId="13265"/>
    <tableColumn id="3145" xr3:uid="{DF34CFFE-0FB9-4980-BF7E-453205EC07A8}" name="Column3121" dataDxfId="13264"/>
    <tableColumn id="3146" xr3:uid="{B7A63A6A-51F7-4D99-8442-78A621D3F42A}" name="Column3122" dataDxfId="13263"/>
    <tableColumn id="3147" xr3:uid="{24D01B2E-4739-4DB3-B9E5-C821AE454ACD}" name="Column3123" dataDxfId="13262"/>
    <tableColumn id="3148" xr3:uid="{913F9D42-9E5A-4AFA-9077-48E2DAB8BC92}" name="Column3124" dataDxfId="13261"/>
    <tableColumn id="3149" xr3:uid="{5B70470C-1B75-439A-BCC9-338AF1A36BC2}" name="Column3125" dataDxfId="13260"/>
    <tableColumn id="3150" xr3:uid="{533C13F8-1846-4B0F-BCB2-D7FB7486F720}" name="Column3126" dataDxfId="13259"/>
    <tableColumn id="3151" xr3:uid="{F25D14EE-FBAD-4EFE-87BE-6CE69A0A5BD3}" name="Column3127" dataDxfId="13258"/>
    <tableColumn id="3152" xr3:uid="{F2F9427E-EF83-40F7-94C9-27178B981DE0}" name="Column3128" dataDxfId="13257"/>
    <tableColumn id="3153" xr3:uid="{E75DE3F1-288A-4D8B-A8F5-A24874211477}" name="Column3129" dataDxfId="13256"/>
    <tableColumn id="3154" xr3:uid="{58C72962-2EC2-45CE-AE3F-81A77B93D748}" name="Column3130" dataDxfId="13255"/>
    <tableColumn id="3155" xr3:uid="{FDA7C28D-844C-45B8-8112-AAE707A7BABB}" name="Column3131" dataDxfId="13254"/>
    <tableColumn id="3156" xr3:uid="{AB114490-74CA-4A67-B01E-5E2CDBC6D13A}" name="Column3132" dataDxfId="13253"/>
    <tableColumn id="3157" xr3:uid="{94FC7294-282D-433E-A9B6-C109AC5F14BF}" name="Column3133" dataDxfId="13252"/>
    <tableColumn id="3158" xr3:uid="{FF55CC9D-9506-4782-B674-53F311923107}" name="Column3134" dataDxfId="13251"/>
    <tableColumn id="3159" xr3:uid="{A7057E7E-02B0-4C78-846F-D48280257E57}" name="Column3135" dataDxfId="13250"/>
    <tableColumn id="3160" xr3:uid="{96BBDA51-2E6B-4077-ABEC-D8144CF4ABDA}" name="Column3136" dataDxfId="13249"/>
    <tableColumn id="3161" xr3:uid="{B8737602-8482-4046-AEE0-97E6D0A9C667}" name="Column3137" dataDxfId="13248"/>
    <tableColumn id="3162" xr3:uid="{4310F1FA-6292-41C2-87FA-F9F08AAF459A}" name="Column3138" dataDxfId="13247"/>
    <tableColumn id="3163" xr3:uid="{62DD039A-37B2-49C1-9BAA-EE8E1B3B1813}" name="Column3139" dataDxfId="13246"/>
    <tableColumn id="3164" xr3:uid="{203D1D76-60DF-4E8C-998F-D7339B114B49}" name="Column3140" dataDxfId="13245"/>
    <tableColumn id="3165" xr3:uid="{BAD10B98-5EA1-4C00-AC20-FF208B597C5C}" name="Column3141" dataDxfId="13244"/>
    <tableColumn id="3166" xr3:uid="{2EE306E7-1D6B-4FFF-BF60-120C153FC04D}" name="Column3142" dataDxfId="13243"/>
    <tableColumn id="3167" xr3:uid="{6118811D-916B-4796-80AF-6B64FC19CA65}" name="Column3143" dataDxfId="13242"/>
    <tableColumn id="3168" xr3:uid="{36C6C4F3-94BD-45C9-88AC-57611B4A3529}" name="Column3144" dataDxfId="13241"/>
    <tableColumn id="3169" xr3:uid="{10164CFB-75E7-4930-B84C-BB74C8601F56}" name="Column3145" dataDxfId="13240"/>
    <tableColumn id="3170" xr3:uid="{F74ED8A6-05BD-4B77-9A27-5DEA38E94194}" name="Column3146" dataDxfId="13239"/>
    <tableColumn id="3171" xr3:uid="{F9551BCC-A342-4F15-94B0-806DB8AD589D}" name="Column3147" dataDxfId="13238"/>
    <tableColumn id="3172" xr3:uid="{C78929E3-4AEB-4CFB-95BE-29F7BE474336}" name="Column3148" dataDxfId="13237"/>
    <tableColumn id="3173" xr3:uid="{D4AD5FFE-4ECC-491D-9BB8-7ADD6CA96489}" name="Column3149" dataDxfId="13236"/>
    <tableColumn id="3174" xr3:uid="{DAB103F2-FB40-42E8-84C8-6D30BF600997}" name="Column3150" dataDxfId="13235"/>
    <tableColumn id="3175" xr3:uid="{02FE2895-7360-44B3-B46C-EBA0C6989380}" name="Column3151" dataDxfId="13234"/>
    <tableColumn id="3176" xr3:uid="{A0037942-6164-4AA1-82F1-53085F9F43AA}" name="Column3152" dataDxfId="13233"/>
    <tableColumn id="3177" xr3:uid="{A318D8E7-37C6-4723-A9B0-67C523DFA6D5}" name="Column3153" dataDxfId="13232"/>
    <tableColumn id="3178" xr3:uid="{F58FE76A-E451-4252-B082-CE0AF74E9367}" name="Column3154" dataDxfId="13231"/>
    <tableColumn id="3179" xr3:uid="{E3B9E572-D6CF-420A-B10A-D52F413FEAE5}" name="Column3155" dataDxfId="13230"/>
    <tableColumn id="3180" xr3:uid="{36829F0F-C92C-43EA-A7DA-131C94D3F216}" name="Column3156" dataDxfId="13229"/>
    <tableColumn id="3181" xr3:uid="{5814209B-6893-45DF-B7EB-D0BF75F01C5E}" name="Column3157" dataDxfId="13228"/>
    <tableColumn id="3182" xr3:uid="{79672CC5-91DE-4FD0-BCF8-8752887F5037}" name="Column3158" dataDxfId="13227"/>
    <tableColumn id="3183" xr3:uid="{10175A17-254C-4084-964A-AC65F0F5DEFE}" name="Column3159" dataDxfId="13226"/>
    <tableColumn id="3184" xr3:uid="{64825612-2D97-4512-8DA2-07C9C1FA19F4}" name="Column3160" dataDxfId="13225"/>
    <tableColumn id="3185" xr3:uid="{4A92C25B-A6BC-475C-A18F-EED6EB1E53C5}" name="Column3161" dataDxfId="13224"/>
    <tableColumn id="3186" xr3:uid="{049ADC64-E19B-4962-9F02-0B221D7457CF}" name="Column3162" dataDxfId="13223"/>
    <tableColumn id="3187" xr3:uid="{95F3AA29-ADF8-4652-A924-128FCB659774}" name="Column3163" dataDxfId="13222"/>
    <tableColumn id="3188" xr3:uid="{ED1E3C77-E029-4B70-BA08-0F5FBE979065}" name="Column3164" dataDxfId="13221"/>
    <tableColumn id="3189" xr3:uid="{EB6C6A00-E58C-45E3-B58C-12AC9EF1C91A}" name="Column3165" dataDxfId="13220"/>
    <tableColumn id="3190" xr3:uid="{5E975D75-FCF0-44B3-A0D5-5820C77B8EEB}" name="Column3166" dataDxfId="13219"/>
    <tableColumn id="3191" xr3:uid="{AC802F1A-575E-40E2-9E47-B7A8873854CD}" name="Column3167" dataDxfId="13218"/>
    <tableColumn id="3192" xr3:uid="{639BF702-B8C3-49A5-A3EF-33BFDA1F59EF}" name="Column3168" dataDxfId="13217"/>
    <tableColumn id="3193" xr3:uid="{3BD53BEB-DE38-44E6-887A-EBA712C72D59}" name="Column3169" dataDxfId="13216"/>
    <tableColumn id="3194" xr3:uid="{79E67842-BE75-425C-8101-120BED6F0183}" name="Column3170" dataDxfId="13215"/>
    <tableColumn id="3195" xr3:uid="{DF6E2C69-835F-44FD-85AF-3CC1DF5742BD}" name="Column3171" dataDxfId="13214"/>
    <tableColumn id="3196" xr3:uid="{5ABD268C-1D6F-4A0D-81F1-54A39BD9FB67}" name="Column3172" dataDxfId="13213"/>
    <tableColumn id="3197" xr3:uid="{52F2468D-9B2F-4A13-BD60-EF1D94C6F814}" name="Column3173" dataDxfId="13212"/>
    <tableColumn id="3198" xr3:uid="{A65485B3-427C-4498-B9FF-88C1A27891BF}" name="Column3174" dataDxfId="13211"/>
    <tableColumn id="3199" xr3:uid="{5F9C0263-BBD4-4F29-8C49-CB1651CC67D4}" name="Column3175" dataDxfId="13210"/>
    <tableColumn id="3200" xr3:uid="{6D131A2A-4FE5-47FD-8683-71E9222BE49C}" name="Column3176" dataDxfId="13209"/>
    <tableColumn id="3201" xr3:uid="{3DB47D27-A642-4F37-AB5D-40BBE43A57CE}" name="Column3177" dataDxfId="13208"/>
    <tableColumn id="3202" xr3:uid="{3455580D-60EE-4243-9466-BF0E545B7C6C}" name="Column3178" dataDxfId="13207"/>
    <tableColumn id="3203" xr3:uid="{423FF0FA-6C3D-413F-A819-B3F355312D97}" name="Column3179" dataDxfId="13206"/>
    <tableColumn id="3204" xr3:uid="{942F9887-84C1-4662-BE29-6EA621A0F46B}" name="Column3180" dataDxfId="13205"/>
    <tableColumn id="3205" xr3:uid="{6EF66AC5-8A10-4ABC-993F-510B913D5E06}" name="Column3181" dataDxfId="13204"/>
    <tableColumn id="3206" xr3:uid="{CC451AB9-6AA6-4279-8E87-FF6B0860235E}" name="Column3182" dataDxfId="13203"/>
    <tableColumn id="3207" xr3:uid="{67264BD8-BCBA-4BC5-83A5-63741F28362B}" name="Column3183" dataDxfId="13202"/>
    <tableColumn id="3208" xr3:uid="{47F9BEDA-7E8F-4859-B73B-4ACAA8010C1C}" name="Column3184" dataDxfId="13201"/>
    <tableColumn id="3209" xr3:uid="{858AEB3D-8E0F-4792-A7EC-0311E34E6673}" name="Column3185" dataDxfId="13200"/>
    <tableColumn id="3210" xr3:uid="{D9A163F8-6CE0-42FC-93E2-CE08E449F4B6}" name="Column3186" dataDxfId="13199"/>
    <tableColumn id="3211" xr3:uid="{8C9AFAEF-5225-461F-A3FF-9D8C77A9B231}" name="Column3187" dataDxfId="13198"/>
    <tableColumn id="3212" xr3:uid="{D271AC28-141B-42DF-8462-1D6150D87FB0}" name="Column3188" dataDxfId="13197"/>
    <tableColumn id="3213" xr3:uid="{43806549-ABC2-4D88-8F03-41A0B518C98B}" name="Column3189" dataDxfId="13196"/>
    <tableColumn id="3214" xr3:uid="{FF743812-08C8-4814-B6F6-2302106E0DDC}" name="Column3190" dataDxfId="13195"/>
    <tableColumn id="3215" xr3:uid="{29372530-2EF4-4C7F-99C1-B16E51E914D0}" name="Column3191" dataDxfId="13194"/>
    <tableColumn id="3216" xr3:uid="{C77189E7-CED4-4EE6-9663-0FE603E9D219}" name="Column3192" dataDxfId="13193"/>
    <tableColumn id="3217" xr3:uid="{9E59C111-7B34-409A-A81F-775DACF0E03C}" name="Column3193" dataDxfId="13192"/>
    <tableColumn id="3218" xr3:uid="{C16B340E-5B86-43FD-9260-918C38B27AC3}" name="Column3194" dataDxfId="13191"/>
    <tableColumn id="3219" xr3:uid="{EF5A48BA-4D0A-4941-8108-4E479FD07422}" name="Column3195" dataDxfId="13190"/>
    <tableColumn id="3220" xr3:uid="{1F0BBFDE-8335-4460-99CE-B8C56FC70B5B}" name="Column3196" dataDxfId="13189"/>
    <tableColumn id="3221" xr3:uid="{E26372C9-CCB3-4374-A49B-845F9325AD67}" name="Column3197" dataDxfId="13188"/>
    <tableColumn id="3222" xr3:uid="{E888FECA-3AFB-4382-9A4C-CC02D44FE827}" name="Column3198" dataDxfId="13187"/>
    <tableColumn id="3223" xr3:uid="{0E8200FB-2F39-447C-A726-045283DD47C3}" name="Column3199" dataDxfId="13186"/>
    <tableColumn id="3224" xr3:uid="{3289D361-E4F5-4F10-A043-70C7A17CDBCA}" name="Column3200" dataDxfId="13185"/>
    <tableColumn id="3225" xr3:uid="{E6B11CB2-3F21-47F9-AA08-59AC5D587277}" name="Column3201" dataDxfId="13184"/>
    <tableColumn id="3226" xr3:uid="{C904A037-9CAB-455D-BC56-04172A2245E8}" name="Column3202" dataDxfId="13183"/>
    <tableColumn id="3227" xr3:uid="{B69D4264-5FC5-42E4-A4F5-45648E74CC79}" name="Column3203" dataDxfId="13182"/>
    <tableColumn id="3228" xr3:uid="{1AC02C41-39EC-4A07-9457-2370EA87177F}" name="Column3204" dataDxfId="13181"/>
    <tableColumn id="3229" xr3:uid="{C9332F0C-D9E2-4C1E-9BE7-E76797E02D47}" name="Column3205" dataDxfId="13180"/>
    <tableColumn id="3230" xr3:uid="{1F605854-E775-48AB-AAD9-ED481E2DAA60}" name="Column3206" dataDxfId="13179"/>
    <tableColumn id="3231" xr3:uid="{704E0DC0-8E76-4C0F-8526-AF860C6481F8}" name="Column3207" dataDxfId="13178"/>
    <tableColumn id="3232" xr3:uid="{7457179C-2FDF-4692-9E3E-35A133311E7E}" name="Column3208" dataDxfId="13177"/>
    <tableColumn id="3233" xr3:uid="{1027BDCB-9B14-49DC-A8B7-A4FCDABAADBF}" name="Column3209" dataDxfId="13176"/>
    <tableColumn id="3234" xr3:uid="{FEB235DE-AD50-43E2-B53C-322E5DA43634}" name="Column3210" dataDxfId="13175"/>
    <tableColumn id="3235" xr3:uid="{02202C84-48B9-4BD3-B860-2ECE3004CEE8}" name="Column3211" dataDxfId="13174"/>
    <tableColumn id="3236" xr3:uid="{3E253574-6614-479F-8E8B-341DA14FD3F1}" name="Column3212" dataDxfId="13173"/>
    <tableColumn id="3237" xr3:uid="{D48CFE3B-FA49-466B-87FC-A9BFD49EFF6E}" name="Column3213" dataDxfId="13172"/>
    <tableColumn id="3238" xr3:uid="{DC8BE7D6-C823-4E86-8A3A-14724109E532}" name="Column3214" dataDxfId="13171"/>
    <tableColumn id="3239" xr3:uid="{ABCE0A15-2AB3-4F0C-A770-C025540BDB9C}" name="Column3215" dataDxfId="13170"/>
    <tableColumn id="3240" xr3:uid="{9C9D0F96-046D-4500-AE2D-AD0DBF9B7675}" name="Column3216" dataDxfId="13169"/>
    <tableColumn id="3241" xr3:uid="{BC5F28F4-05FA-4A95-B595-D20E32EFB6CD}" name="Column3217" dataDxfId="13168"/>
    <tableColumn id="3242" xr3:uid="{A983C918-2B68-4D6C-89DD-7FD02132A61B}" name="Column3218" dataDxfId="13167"/>
    <tableColumn id="3243" xr3:uid="{0A7080A9-6B20-4FB4-8C56-8CD5A5ABAAB3}" name="Column3219" dataDxfId="13166"/>
    <tableColumn id="3244" xr3:uid="{8C7614D5-A057-4D85-9E4E-9C6AB41208F7}" name="Column3220" dataDxfId="13165"/>
    <tableColumn id="3245" xr3:uid="{040EB50C-54D0-4D0E-A48A-FB023DF953C4}" name="Column3221" dataDxfId="13164"/>
    <tableColumn id="3246" xr3:uid="{C95D4256-1C14-4B42-8E64-41D5898EA6E1}" name="Column3222" dataDxfId="13163"/>
    <tableColumn id="3247" xr3:uid="{996B7E1E-5690-4A86-B7F4-046AF239C487}" name="Column3223" dataDxfId="13162"/>
    <tableColumn id="3248" xr3:uid="{54A6B92C-B49E-4B2E-9AC8-D922F8699C85}" name="Column3224" dataDxfId="13161"/>
    <tableColumn id="3249" xr3:uid="{8FDDBA79-DFE8-4591-B301-4EA6CA074DE5}" name="Column3225" dataDxfId="13160"/>
    <tableColumn id="3250" xr3:uid="{36014DD1-0988-4E14-9C94-E97BDD59CA01}" name="Column3226" dataDxfId="13159"/>
    <tableColumn id="3251" xr3:uid="{0C750120-265A-4BE7-83F0-818E9056EEDE}" name="Column3227" dataDxfId="13158"/>
    <tableColumn id="3252" xr3:uid="{A0E0AB59-AFF7-4BAA-9834-443BC4075469}" name="Column3228" dataDxfId="13157"/>
    <tableColumn id="3253" xr3:uid="{AB36960B-5002-4409-A1BB-A74E1B27467B}" name="Column3229" dataDxfId="13156"/>
    <tableColumn id="3254" xr3:uid="{78F5474E-1A25-4629-9259-845B72066E6D}" name="Column3230" dataDxfId="13155"/>
    <tableColumn id="3255" xr3:uid="{991E6317-1128-4BFA-9197-80EF40E5866E}" name="Column3231" dataDxfId="13154"/>
    <tableColumn id="3256" xr3:uid="{27F74C70-BD6F-48C6-810C-7C88AF83D2BD}" name="Column3232" dataDxfId="13153"/>
    <tableColumn id="3257" xr3:uid="{7C83F31A-37F6-4F59-B9D6-424C55E5D3CA}" name="Column3233" dataDxfId="13152"/>
    <tableColumn id="3258" xr3:uid="{0B109EEA-98FC-453A-8AA4-8343B3E7D24E}" name="Column3234" dataDxfId="13151"/>
    <tableColumn id="3259" xr3:uid="{D325B88A-89FB-40CA-BFDA-AD28BB94819D}" name="Column3235" dataDxfId="13150"/>
    <tableColumn id="3260" xr3:uid="{BE282FB8-F151-42A0-9CB8-AB436A45D104}" name="Column3236" dataDxfId="13149"/>
    <tableColumn id="3261" xr3:uid="{75537EDA-E0CD-4793-9CE6-64BD5998101D}" name="Column3237" dataDxfId="13148"/>
    <tableColumn id="3262" xr3:uid="{5352904A-0464-4364-BBC4-50DBE9E6D693}" name="Column3238" dataDxfId="13147"/>
    <tableColumn id="3263" xr3:uid="{6A6BBC62-8433-4463-A181-D160292051BA}" name="Column3239" dataDxfId="13146"/>
    <tableColumn id="3264" xr3:uid="{4716D999-8216-4B9D-862B-339D8105EABF}" name="Column3240" dataDxfId="13145"/>
    <tableColumn id="3265" xr3:uid="{857341DD-2B2F-4473-9FB9-6AF56F2E0298}" name="Column3241" dataDxfId="13144"/>
    <tableColumn id="3266" xr3:uid="{C97BC073-1694-49B2-9C67-35031FF89E6C}" name="Column3242" dataDxfId="13143"/>
    <tableColumn id="3267" xr3:uid="{835E0789-5F9A-45AE-8B09-42D93323E156}" name="Column3243" dataDxfId="13142"/>
    <tableColumn id="3268" xr3:uid="{FFA625A8-C198-4CC4-8EC1-B598CF6A4796}" name="Column3244" dataDxfId="13141"/>
    <tableColumn id="3269" xr3:uid="{33F35E38-6602-4BC0-97BE-4B0E8C09B3CD}" name="Column3245" dataDxfId="13140"/>
    <tableColumn id="3270" xr3:uid="{E1829795-545A-4DE5-B8B6-6B3C6BDA787B}" name="Column3246" dataDxfId="13139"/>
    <tableColumn id="3271" xr3:uid="{A917C5A8-2423-404D-B3D3-B307EC39696E}" name="Column3247" dataDxfId="13138"/>
    <tableColumn id="3272" xr3:uid="{30766B4E-E16D-4194-BBB4-60260B817FD8}" name="Column3248" dataDxfId="13137"/>
    <tableColumn id="3273" xr3:uid="{97812D95-3909-4C8D-9C9D-47E57F601F9F}" name="Column3249" dataDxfId="13136"/>
    <tableColumn id="3274" xr3:uid="{66FB88D2-FE77-4BBF-A4FE-2F80D90AFFFB}" name="Column3250" dataDxfId="13135"/>
    <tableColumn id="3275" xr3:uid="{BCC47177-F5DA-4180-8DA7-F710ABAE5D74}" name="Column3251" dataDxfId="13134"/>
    <tableColumn id="3276" xr3:uid="{84B908DF-4F51-4440-A129-BD205A50F248}" name="Column3252" dataDxfId="13133"/>
    <tableColumn id="3277" xr3:uid="{E2C53045-AEB0-4FF6-9272-728F151923FE}" name="Column3253" dataDxfId="13132"/>
    <tableColumn id="3278" xr3:uid="{4C6B7F9D-E746-4FEB-96AF-401A21BA8E1B}" name="Column3254" dataDxfId="13131"/>
    <tableColumn id="3279" xr3:uid="{ABD19BB7-29F7-43C8-B920-A70E0F0982C4}" name="Column3255" dataDxfId="13130"/>
    <tableColumn id="3280" xr3:uid="{3B78E848-1518-4AF8-A0BB-BEAE50812337}" name="Column3256" dataDxfId="13129"/>
    <tableColumn id="3281" xr3:uid="{D064DBFC-A154-4287-A63F-07225B5A6D76}" name="Column3257" dataDxfId="13128"/>
    <tableColumn id="3282" xr3:uid="{72622385-A39A-4253-9E26-B558197D5BD7}" name="Column3258" dataDxfId="13127"/>
    <tableColumn id="3283" xr3:uid="{D0536B4C-AE29-488C-8012-2C9B686D21BA}" name="Column3259" dataDxfId="13126"/>
    <tableColumn id="3284" xr3:uid="{8276878E-DC14-4585-A165-7FED58E7282E}" name="Column3260" dataDxfId="13125"/>
    <tableColumn id="3285" xr3:uid="{E296F875-FF86-4C7D-A9BC-7DD9F5B5EE96}" name="Column3261" dataDxfId="13124"/>
    <tableColumn id="3286" xr3:uid="{A8B2670C-366E-40D1-B8F7-9ACF1E802BE2}" name="Column3262" dataDxfId="13123"/>
    <tableColumn id="3287" xr3:uid="{812509CB-855D-4882-940E-55AC729F84DA}" name="Column3263" dataDxfId="13122"/>
    <tableColumn id="3288" xr3:uid="{831E1AAB-7EB4-49DA-AAFE-E5B1ADAFE78E}" name="Column3264" dataDxfId="13121"/>
    <tableColumn id="3289" xr3:uid="{FDD487EC-2C71-4DB6-A0B8-1EFCB062CD38}" name="Column3265" dataDxfId="13120"/>
    <tableColumn id="3290" xr3:uid="{206DF3E4-236A-4809-82F4-DF15F694CCCF}" name="Column3266" dataDxfId="13119"/>
    <tableColumn id="3291" xr3:uid="{8C5D8107-F7D5-494D-B311-8C055E39B8C6}" name="Column3267" dataDxfId="13118"/>
    <tableColumn id="3292" xr3:uid="{3C1BE8DB-D484-4AB1-9139-230962CFA577}" name="Column3268" dataDxfId="13117"/>
    <tableColumn id="3293" xr3:uid="{1DE37A81-0FAE-437A-8BDC-49E3069F2736}" name="Column3269" dataDxfId="13116"/>
    <tableColumn id="3294" xr3:uid="{28C3EE4A-E2BD-4F77-A95A-EE46EE8F563E}" name="Column3270" dataDxfId="13115"/>
    <tableColumn id="3295" xr3:uid="{E798D59C-96A9-4CDE-8FC0-3870DBDE858F}" name="Column3271" dataDxfId="13114"/>
    <tableColumn id="3296" xr3:uid="{49FEA247-7E5B-4104-880B-3DB235455AED}" name="Column3272" dataDxfId="13113"/>
    <tableColumn id="3297" xr3:uid="{D1B1B9F2-B9CF-433D-AA33-EF28A79E21FF}" name="Column3273" dataDxfId="13112"/>
    <tableColumn id="3298" xr3:uid="{8E2DAE95-F71D-4904-81CE-37E83BCC0833}" name="Column3274" dataDxfId="13111"/>
    <tableColumn id="3299" xr3:uid="{8DA4D3D5-D701-42D1-9CF7-EB57A90F93A9}" name="Column3275" dataDxfId="13110"/>
    <tableColumn id="3300" xr3:uid="{BEDFD779-CC84-4159-B6DE-D43447C25520}" name="Column3276" dataDxfId="13109"/>
    <tableColumn id="3301" xr3:uid="{1531CC26-574D-4B55-B2BD-2DE2AD0C18BE}" name="Column3277" dataDxfId="13108"/>
    <tableColumn id="3302" xr3:uid="{4D8809EE-0E58-4760-A363-A945BB09B133}" name="Column3278" dataDxfId="13107"/>
    <tableColumn id="3303" xr3:uid="{2865A524-000F-49C4-9D1F-110E1F32DBFB}" name="Column3279" dataDxfId="13106"/>
    <tableColumn id="3304" xr3:uid="{84537EE7-4496-4425-BBA7-BED3C17B592E}" name="Column3280" dataDxfId="13105"/>
    <tableColumn id="3305" xr3:uid="{1FAA024B-B973-4186-8F85-CA63601F7D4E}" name="Column3281" dataDxfId="13104"/>
    <tableColumn id="3306" xr3:uid="{FF42C9FE-F82F-4C19-86F3-A52BEC5540B3}" name="Column3282" dataDxfId="13103"/>
    <tableColumn id="3307" xr3:uid="{89C98F05-7987-4C5B-AC54-17A8F7EEE82C}" name="Column3283" dataDxfId="13102"/>
    <tableColumn id="3308" xr3:uid="{3394AA62-FA47-4753-94E3-D792246B59F3}" name="Column3284" dataDxfId="13101"/>
    <tableColumn id="3309" xr3:uid="{62084D0E-0C1D-42F8-85F7-355102465511}" name="Column3285" dataDxfId="13100"/>
    <tableColumn id="3310" xr3:uid="{BC3DAA93-F010-449A-B0CB-9DB3A2FD518C}" name="Column3286" dataDxfId="13099"/>
    <tableColumn id="3311" xr3:uid="{28AD2EE6-83BC-410A-876A-852802841076}" name="Column3287" dataDxfId="13098"/>
    <tableColumn id="3312" xr3:uid="{00A46333-BF57-4DF8-9193-74E36D8F4E65}" name="Column3288" dataDxfId="13097"/>
    <tableColumn id="3313" xr3:uid="{722AEA05-E3A2-447E-B231-28B285D4EC47}" name="Column3289" dataDxfId="13096"/>
    <tableColumn id="3314" xr3:uid="{DFF929EE-1884-485E-B959-A7FA92612C6D}" name="Column3290" dataDxfId="13095"/>
    <tableColumn id="3315" xr3:uid="{81ADF5C3-3D15-4857-A41B-C4F903E0EAF8}" name="Column3291" dataDxfId="13094"/>
    <tableColumn id="3316" xr3:uid="{D4A77357-2191-4D7A-8C0D-5E87E2B0D422}" name="Column3292" dataDxfId="13093"/>
    <tableColumn id="3317" xr3:uid="{A33426E1-1A8F-452B-B40C-230557E28A68}" name="Column3293" dataDxfId="13092"/>
    <tableColumn id="3318" xr3:uid="{D3B05B73-1912-4F6F-B7F4-1CF5750FD99D}" name="Column3294" dataDxfId="13091"/>
    <tableColumn id="3319" xr3:uid="{C81B016C-9E7A-4C15-B941-A7C51802823C}" name="Column3295" dataDxfId="13090"/>
    <tableColumn id="3320" xr3:uid="{27FB8DD3-7F23-4EA6-A273-11AC5D1F784A}" name="Column3296" dataDxfId="13089"/>
    <tableColumn id="3321" xr3:uid="{7FFDF959-06ED-4D87-9E20-547424733A60}" name="Column3297" dataDxfId="13088"/>
    <tableColumn id="3322" xr3:uid="{8F754C7D-0A45-4C5C-8A5D-FCEC146E4605}" name="Column3298" dataDxfId="13087"/>
    <tableColumn id="3323" xr3:uid="{1E7BE7C3-A34D-4C8F-AE3B-C7DB29955C04}" name="Column3299" dataDxfId="13086"/>
    <tableColumn id="3324" xr3:uid="{F7D320FA-55C9-4051-A05A-971AD70C5422}" name="Column3300" dataDxfId="13085"/>
    <tableColumn id="3325" xr3:uid="{3D220797-ED8A-4EC8-91FD-9ABF0E2ACB22}" name="Column3301" dataDxfId="13084"/>
    <tableColumn id="3326" xr3:uid="{A7FE0D3B-0D75-4552-B5EE-4A332AA4DB6F}" name="Column3302" dataDxfId="13083"/>
    <tableColumn id="3327" xr3:uid="{6C5DF08C-5B39-45B9-8CA0-B5D417E11CB3}" name="Column3303" dataDxfId="13082"/>
    <tableColumn id="3328" xr3:uid="{8476793A-CFA4-4486-9279-B0D00A962483}" name="Column3304" dataDxfId="13081"/>
    <tableColumn id="3329" xr3:uid="{CD2C230A-07F3-48D3-A1EC-C8AFDC61D4C9}" name="Column3305" dataDxfId="13080"/>
    <tableColumn id="3330" xr3:uid="{AD4135D7-1D96-469E-8E3D-0428E269C134}" name="Column3306" dataDxfId="13079"/>
    <tableColumn id="3331" xr3:uid="{438805D9-A453-44C5-9384-1B2E016095FB}" name="Column3307" dataDxfId="13078"/>
    <tableColumn id="3332" xr3:uid="{3ED85D9C-18F7-470A-AA3D-C54741F15C16}" name="Column3308" dataDxfId="13077"/>
    <tableColumn id="3333" xr3:uid="{B96B03F7-1D51-4F42-8A8B-D66951F35EE6}" name="Column3309" dataDxfId="13076"/>
    <tableColumn id="3334" xr3:uid="{844EBDC9-DB40-4F71-8FD8-83B7668CA5EC}" name="Column3310" dataDxfId="13075"/>
    <tableColumn id="3335" xr3:uid="{FBB98F51-94DD-4FC7-BC4E-AB643FE7B58D}" name="Column3311" dataDxfId="13074"/>
    <tableColumn id="3336" xr3:uid="{C7BFAC06-683D-4C46-84F1-62A85E6D1B60}" name="Column3312" dataDxfId="13073"/>
    <tableColumn id="3337" xr3:uid="{3636F944-B22A-48AD-A32B-85732AA3806F}" name="Column3313" dataDxfId="13072"/>
    <tableColumn id="3338" xr3:uid="{0AE59407-76BD-47F4-9098-318E763BA781}" name="Column3314" dataDxfId="13071"/>
    <tableColumn id="3339" xr3:uid="{1CC5702F-553B-42B2-AC0A-C8D5930B5D93}" name="Column3315" dataDxfId="13070"/>
    <tableColumn id="3340" xr3:uid="{323DE879-2F9C-4AB2-A8F7-E52C6ACA2A9E}" name="Column3316" dataDxfId="13069"/>
    <tableColumn id="3341" xr3:uid="{C0420962-7CAB-4D20-A8FD-1E3EF30AF12C}" name="Column3317" dataDxfId="13068"/>
    <tableColumn id="3342" xr3:uid="{BA9FC32C-7744-4305-B58E-F3E4224EB93E}" name="Column3318" dataDxfId="13067"/>
    <tableColumn id="3343" xr3:uid="{C8426D05-A796-42DE-8F63-1EDFDF97C5A7}" name="Column3319" dataDxfId="13066"/>
    <tableColumn id="3344" xr3:uid="{E693D64A-C91B-4136-9754-EE724B769A37}" name="Column3320" dataDxfId="13065"/>
    <tableColumn id="3345" xr3:uid="{A846CF1B-B326-48BE-B34D-E5475297BA57}" name="Column3321" dataDxfId="13064"/>
    <tableColumn id="3346" xr3:uid="{4D442F8B-0F41-4FE6-96F3-E308EBC57E45}" name="Column3322" dataDxfId="13063"/>
    <tableColumn id="3347" xr3:uid="{1F9E60AB-97AB-49CC-96DF-138305695182}" name="Column3323" dataDxfId="13062"/>
    <tableColumn id="3348" xr3:uid="{8DC0A93E-2DDB-4BC7-8509-CF31220A9D75}" name="Column3324" dataDxfId="13061"/>
    <tableColumn id="3349" xr3:uid="{8F0E5D13-4018-46BE-8E6A-0A210395365A}" name="Column3325" dataDxfId="13060"/>
    <tableColumn id="3350" xr3:uid="{E88C1F51-4ABD-4C30-9E55-4AE78E049A04}" name="Column3326" dataDxfId="13059"/>
    <tableColumn id="3351" xr3:uid="{EC9F65D2-DA7F-4C02-BB52-7E3D7B06519E}" name="Column3327" dataDxfId="13058"/>
    <tableColumn id="3352" xr3:uid="{ABD73F27-116F-4794-9C56-C66E63E2AD12}" name="Column3328" dataDxfId="13057"/>
    <tableColumn id="3353" xr3:uid="{9427E96D-E54A-4605-975A-6A895C8FAC0F}" name="Column3329" dataDxfId="13056"/>
    <tableColumn id="3354" xr3:uid="{97C2631E-69C8-4FDC-8917-3ECBB234F75B}" name="Column3330" dataDxfId="13055"/>
    <tableColumn id="3355" xr3:uid="{B1391662-49FD-49CD-94E3-05100573C970}" name="Column3331" dataDxfId="13054"/>
    <tableColumn id="3356" xr3:uid="{BC2590F5-B744-467B-8A06-8CDD0D1F2A5A}" name="Column3332" dataDxfId="13053"/>
    <tableColumn id="3357" xr3:uid="{540CA305-7D69-4AB7-A365-77B1A2788DB1}" name="Column3333" dataDxfId="13052"/>
    <tableColumn id="3358" xr3:uid="{C84F3D32-CFEE-49CD-9778-908714E86DBF}" name="Column3334" dataDxfId="13051"/>
    <tableColumn id="3359" xr3:uid="{4744DC3A-04B3-47FF-B5DA-FC61029778A9}" name="Column3335" dataDxfId="13050"/>
    <tableColumn id="3360" xr3:uid="{6B03E631-AB0F-46D6-9CC8-C3F442DB17CE}" name="Column3336" dataDxfId="13049"/>
    <tableColumn id="3361" xr3:uid="{E774EEBE-CC9D-44BD-B33C-F405B4E0315E}" name="Column3337" dataDxfId="13048"/>
    <tableColumn id="3362" xr3:uid="{7E65D5D3-849A-46D8-A43A-82E518F81937}" name="Column3338" dataDxfId="13047"/>
    <tableColumn id="3363" xr3:uid="{2BB4921E-1D49-4F3F-AA61-EA4E0182A920}" name="Column3339" dataDxfId="13046"/>
    <tableColumn id="3364" xr3:uid="{FEFEACA0-6CEB-43BF-96FC-DE6166346783}" name="Column3340" dataDxfId="13045"/>
    <tableColumn id="3365" xr3:uid="{E11C29A7-EA7F-48A5-8694-D84EA90455E4}" name="Column3341" dataDxfId="13044"/>
    <tableColumn id="3366" xr3:uid="{A2ACA9A2-4E27-4197-B18D-E7D858A04AD7}" name="Column3342" dataDxfId="13043"/>
    <tableColumn id="3367" xr3:uid="{BABDF333-B928-4388-8BF4-FAD031DA74EE}" name="Column3343" dataDxfId="13042"/>
    <tableColumn id="3368" xr3:uid="{3E7E6514-8D3E-469C-924D-BD622D9800F7}" name="Column3344" dataDxfId="13041"/>
    <tableColumn id="3369" xr3:uid="{36C6D9D7-6F65-4D18-B241-BE247882D210}" name="Column3345" dataDxfId="13040"/>
    <tableColumn id="3370" xr3:uid="{4C11AFD3-C4F0-4272-8EF8-9420FF10A9A9}" name="Column3346" dataDxfId="13039"/>
    <tableColumn id="3371" xr3:uid="{B7276BE5-E4C1-44BC-9325-D05477BA9051}" name="Column3347" dataDxfId="13038"/>
    <tableColumn id="3372" xr3:uid="{FDE2FCA7-2BB0-472D-96AD-07497BA5E537}" name="Column3348" dataDxfId="13037"/>
    <tableColumn id="3373" xr3:uid="{832480FA-B6D0-42E8-8AE0-213725A7B4B0}" name="Column3349" dataDxfId="13036"/>
    <tableColumn id="3374" xr3:uid="{6E9AE707-BFC9-4C1F-A456-E0BB2DEE7B17}" name="Column3350" dataDxfId="13035"/>
    <tableColumn id="3375" xr3:uid="{638C8ED6-9B22-45D6-AB93-57C9A5236920}" name="Column3351" dataDxfId="13034"/>
    <tableColumn id="3376" xr3:uid="{5E293738-EC7E-4DE9-81F4-B9187F019305}" name="Column3352" dataDxfId="13033"/>
    <tableColumn id="3377" xr3:uid="{DAFD7882-C353-453B-9EA3-23EDF47546DC}" name="Column3353" dataDxfId="13032"/>
    <tableColumn id="3378" xr3:uid="{C52C39CB-F60B-4003-8652-504964906F54}" name="Column3354" dataDxfId="13031"/>
    <tableColumn id="3379" xr3:uid="{A00125A9-98F9-48E6-83F7-F95763AE5E13}" name="Column3355" dataDxfId="13030"/>
    <tableColumn id="3380" xr3:uid="{6CD339A8-5F31-4F94-ACF4-623C417455FF}" name="Column3356" dataDxfId="13029"/>
    <tableColumn id="3381" xr3:uid="{8C463E23-2935-4262-B43D-D1D7FC639128}" name="Column3357" dataDxfId="13028"/>
    <tableColumn id="3382" xr3:uid="{C5201B5F-A642-436C-A92D-A3D225A129FE}" name="Column3358" dataDxfId="13027"/>
    <tableColumn id="3383" xr3:uid="{63296148-A1F3-4B02-B1D0-B47845CD7715}" name="Column3359" dataDxfId="13026"/>
    <tableColumn id="3384" xr3:uid="{F8334F45-8495-49B7-9CC6-95E2BDC46151}" name="Column3360" dataDxfId="13025"/>
    <tableColumn id="3385" xr3:uid="{FE798375-EFC4-40D6-95B6-C1351B990727}" name="Column3361" dataDxfId="13024"/>
    <tableColumn id="3386" xr3:uid="{E09E1E86-DC4C-4E23-9406-679240EEB2AC}" name="Column3362" dataDxfId="13023"/>
    <tableColumn id="3387" xr3:uid="{6F784E4F-FF07-4440-9416-1D651D35A79D}" name="Column3363" dataDxfId="13022"/>
    <tableColumn id="3388" xr3:uid="{17F5C9FD-3C53-496E-A93F-C678A94F8648}" name="Column3364" dataDxfId="13021"/>
    <tableColumn id="3389" xr3:uid="{B9D9EDA2-FF8D-4AF1-8DDC-AB02C996FF1B}" name="Column3365" dataDxfId="13020"/>
    <tableColumn id="3390" xr3:uid="{9DE5BDFE-80F7-4F3C-BC25-9F7D6FD7E07B}" name="Column3366" dataDxfId="13019"/>
    <tableColumn id="3391" xr3:uid="{27B4B1F8-8D9F-4E4F-BE65-DF2508407F9C}" name="Column3367" dataDxfId="13018"/>
    <tableColumn id="3392" xr3:uid="{55D9B647-CED2-492F-8E64-0EFD04CB847E}" name="Column3368" dataDxfId="13017"/>
    <tableColumn id="3393" xr3:uid="{6914B783-8485-4913-AD5A-A7F28DCBF97A}" name="Column3369" dataDxfId="13016"/>
    <tableColumn id="3394" xr3:uid="{329DF553-500E-4160-9FF3-ACA6874ABCEE}" name="Column3370" dataDxfId="13015"/>
    <tableColumn id="3395" xr3:uid="{D1D33A67-AD73-4890-BACF-9CB36D67CE49}" name="Column3371" dataDxfId="13014"/>
    <tableColumn id="3396" xr3:uid="{8CC09FDE-C9EA-4A7E-8441-949A26BC32E6}" name="Column3372" dataDxfId="13013"/>
    <tableColumn id="3397" xr3:uid="{855F6D91-D07B-44E1-AA6E-65E7D896488E}" name="Column3373" dataDxfId="13012"/>
    <tableColumn id="3398" xr3:uid="{DBDF4C74-9D20-47E2-B2EE-8F92FA4C2781}" name="Column3374" dataDxfId="13011"/>
    <tableColumn id="3399" xr3:uid="{50B0CF6D-7EBA-4175-B86E-74A3095904B4}" name="Column3375" dataDxfId="13010"/>
    <tableColumn id="3400" xr3:uid="{690B645E-BEF7-48B6-92A1-352407950A6F}" name="Column3376" dataDxfId="13009"/>
    <tableColumn id="3401" xr3:uid="{23BF2FB9-2B29-4105-926F-4435C501697D}" name="Column3377" dataDxfId="13008"/>
    <tableColumn id="3402" xr3:uid="{D7795A68-776A-45A2-8734-AD8997FF1851}" name="Column3378" dataDxfId="13007"/>
    <tableColumn id="3403" xr3:uid="{CA7DA356-E97C-4684-8164-9D3AFE123DC8}" name="Column3379" dataDxfId="13006"/>
    <tableColumn id="3404" xr3:uid="{EF65F276-DF98-444B-ABF6-BDE9B807671E}" name="Column3380" dataDxfId="13005"/>
    <tableColumn id="3405" xr3:uid="{7C6D6FC1-9C7C-48B7-BD8E-FEC5BA1B2092}" name="Column3381" dataDxfId="13004"/>
    <tableColumn id="3406" xr3:uid="{D03AAE8F-8ED4-4245-85CC-3AA2DB5B0A04}" name="Column3382" dataDxfId="13003"/>
    <tableColumn id="3407" xr3:uid="{F0DB8D23-BED0-423A-89AD-BCEE3672F8FC}" name="Column3383" dataDxfId="13002"/>
    <tableColumn id="3408" xr3:uid="{F6F9F88F-11C5-4FAD-BEFB-82FEB7C7A60B}" name="Column3384" dataDxfId="13001"/>
    <tableColumn id="3409" xr3:uid="{9B27700F-726E-45B7-8EF7-FB403E3014F8}" name="Column3385" dataDxfId="13000"/>
    <tableColumn id="3410" xr3:uid="{96569702-25B8-4B77-9C55-C75B0215C973}" name="Column3386" dataDxfId="12999"/>
    <tableColumn id="3411" xr3:uid="{B3492E40-A22F-4131-B1CF-F88A269402B7}" name="Column3387" dataDxfId="12998"/>
    <tableColumn id="3412" xr3:uid="{FD5132D7-2F7A-40E3-A110-C494528E3C31}" name="Column3388" dataDxfId="12997"/>
    <tableColumn id="3413" xr3:uid="{6E898391-DD84-4FCA-97C7-FBD7EF659DEB}" name="Column3389" dataDxfId="12996"/>
    <tableColumn id="3414" xr3:uid="{8B6A222D-BC1D-4C84-B005-8A17470B95A6}" name="Column3390" dataDxfId="12995"/>
    <tableColumn id="3415" xr3:uid="{C7F9A013-1ABD-405A-955C-FD3E1ACF80E6}" name="Column3391" dataDxfId="12994"/>
    <tableColumn id="3416" xr3:uid="{58946299-D7FE-44E1-95B4-CE6E6D888F60}" name="Column3392" dataDxfId="12993"/>
    <tableColumn id="3417" xr3:uid="{4ED0C5D4-C3DE-408F-84BF-87217C885F0A}" name="Column3393" dataDxfId="12992"/>
    <tableColumn id="3418" xr3:uid="{82F1399E-F4A1-432A-8AFF-ACDFED2BB787}" name="Column3394" dataDxfId="12991"/>
    <tableColumn id="3419" xr3:uid="{BADE7467-AB70-4956-993C-823E56A4E6D2}" name="Column3395" dataDxfId="12990"/>
    <tableColumn id="3420" xr3:uid="{3BF81E21-C6CD-4D5A-B6C3-4007603AE4DD}" name="Column3396" dataDxfId="12989"/>
    <tableColumn id="3421" xr3:uid="{6358E434-8F34-46CE-A6D8-B4CE18394CFD}" name="Column3397" dataDxfId="12988"/>
    <tableColumn id="3422" xr3:uid="{2F52DF2B-FECF-4E6D-8575-836E800B9D5E}" name="Column3398" dataDxfId="12987"/>
    <tableColumn id="3423" xr3:uid="{DCD7E522-25CA-4DDF-87E8-C5FA4AA053AE}" name="Column3399" dataDxfId="12986"/>
    <tableColumn id="3424" xr3:uid="{60A9BD4F-9865-4FDE-83C9-46B7C842E645}" name="Column3400" dataDxfId="12985"/>
    <tableColumn id="3425" xr3:uid="{244861A1-3FB5-4837-82C1-A2068678F0A8}" name="Column3401" dataDxfId="12984"/>
    <tableColumn id="3426" xr3:uid="{AD05CE50-283D-4450-8BCE-7C4BD9FB375A}" name="Column3402" dataDxfId="12983"/>
    <tableColumn id="3427" xr3:uid="{562F12AB-9D8A-4A1F-83A2-C4E963C0EB11}" name="Column3403" dataDxfId="12982"/>
    <tableColumn id="3428" xr3:uid="{B01BE8F0-46D5-418E-AD48-7D6A846D322B}" name="Column3404" dataDxfId="12981"/>
    <tableColumn id="3429" xr3:uid="{8A122943-60AD-40FA-951A-A8C7170B18D1}" name="Column3405" dataDxfId="12980"/>
    <tableColumn id="3430" xr3:uid="{1725FBAA-0E9A-42CE-8642-21E9F1C3E613}" name="Column3406" dataDxfId="12979"/>
    <tableColumn id="3431" xr3:uid="{ECCEC9E6-B7F2-4797-8BA8-684D316E7FFB}" name="Column3407" dataDxfId="12978"/>
    <tableColumn id="3432" xr3:uid="{604373AA-9BE5-40CA-A9DA-49E9C37F131D}" name="Column3408" dataDxfId="12977"/>
    <tableColumn id="3433" xr3:uid="{2A35C9C9-1C12-4DEC-A1FB-9FC0972F3F78}" name="Column3409" dataDxfId="12976"/>
    <tableColumn id="3434" xr3:uid="{F2B60852-A657-46F1-A084-EBD0123EC2E6}" name="Column3410" dataDxfId="12975"/>
    <tableColumn id="3435" xr3:uid="{ADFA0831-22B9-407F-8BC9-55DE787C24D2}" name="Column3411" dataDxfId="12974"/>
    <tableColumn id="3436" xr3:uid="{6C108AB4-8AC5-453A-BD23-615F9A226329}" name="Column3412" dataDxfId="12973"/>
    <tableColumn id="3437" xr3:uid="{5291C148-5857-431C-B013-8CAF51A65612}" name="Column3413" dataDxfId="12972"/>
    <tableColumn id="3438" xr3:uid="{B7C2E459-1452-4DAF-85E3-EDA5CE14AC0A}" name="Column3414" dataDxfId="12971"/>
    <tableColumn id="3439" xr3:uid="{260E3C65-6317-4D06-83E0-ED203C494BE3}" name="Column3415" dataDxfId="12970"/>
    <tableColumn id="3440" xr3:uid="{3911E1BE-67FB-45B3-A9B6-7FE3FA9B023C}" name="Column3416" dataDxfId="12969"/>
    <tableColumn id="3441" xr3:uid="{955532DA-8CFB-4AE1-B748-57FB6FCFA546}" name="Column3417" dataDxfId="12968"/>
    <tableColumn id="3442" xr3:uid="{DAD80AC3-FEAC-4C36-A693-8E9A783A39E4}" name="Column3418" dataDxfId="12967"/>
    <tableColumn id="3443" xr3:uid="{37E47A61-7187-43B8-828A-78F43A2D8DE8}" name="Column3419" dataDxfId="12966"/>
    <tableColumn id="3444" xr3:uid="{CE6ACC6B-9B32-49E7-B461-B58EE36E8DE6}" name="Column3420" dataDxfId="12965"/>
    <tableColumn id="3445" xr3:uid="{0FA6B884-0C25-4742-82B3-E7DD4138B3DA}" name="Column3421" dataDxfId="12964"/>
    <tableColumn id="3446" xr3:uid="{77D9AE36-B117-49C8-8B60-21E3036C92E4}" name="Column3422" dataDxfId="12963"/>
    <tableColumn id="3447" xr3:uid="{52519251-964C-4BB6-9ED6-1E4F88D1AB32}" name="Column3423" dataDxfId="12962"/>
    <tableColumn id="3448" xr3:uid="{6B0FB147-0454-465E-8150-3ABD49F4D188}" name="Column3424" dataDxfId="12961"/>
    <tableColumn id="3449" xr3:uid="{22AC015F-875D-4A75-B0BA-A9EFC718B4F1}" name="Column3425" dataDxfId="12960"/>
    <tableColumn id="3450" xr3:uid="{9817317B-15D4-48B8-9E8D-5F697CFF8CF0}" name="Column3426" dataDxfId="12959"/>
    <tableColumn id="3451" xr3:uid="{5EAFB024-1D42-4751-9D79-7D035CCD6DD9}" name="Column3427" dataDxfId="12958"/>
    <tableColumn id="3452" xr3:uid="{93732949-529E-4AB9-AE8B-37EE9E2A8E79}" name="Column3428" dataDxfId="12957"/>
    <tableColumn id="3453" xr3:uid="{9A228377-193D-4BCF-B33B-DA12658FE6DE}" name="Column3429" dataDxfId="12956"/>
    <tableColumn id="3454" xr3:uid="{F048F00F-ECB3-4295-9A5F-7D633386B08A}" name="Column3430" dataDxfId="12955"/>
    <tableColumn id="3455" xr3:uid="{C14FE40E-EBEC-4AEF-85F0-0B255ABDAD82}" name="Column3431" dataDxfId="12954"/>
    <tableColumn id="3456" xr3:uid="{FDA7BAF3-00B5-4FCC-9430-D02A37C8598C}" name="Column3432" dataDxfId="12953"/>
    <tableColumn id="3457" xr3:uid="{CCAA7633-44C9-4C09-AD70-E4137A682565}" name="Column3433" dataDxfId="12952"/>
    <tableColumn id="3458" xr3:uid="{FAF400CC-29FA-4A8F-B628-E40732807A3A}" name="Column3434" dataDxfId="12951"/>
    <tableColumn id="3459" xr3:uid="{8FA382C8-A0CA-4E8C-B7EE-738394D022AD}" name="Column3435" dataDxfId="12950"/>
    <tableColumn id="3460" xr3:uid="{7DA6629A-C126-4D86-BC2D-78A3E15D4B82}" name="Column3436" dataDxfId="12949"/>
    <tableColumn id="3461" xr3:uid="{E2F3510B-629B-43CC-8517-92144AE1550F}" name="Column3437" dataDxfId="12948"/>
    <tableColumn id="3462" xr3:uid="{7FB3A453-CAFB-4F63-B6E2-2E454A35A33F}" name="Column3438" dataDxfId="12947"/>
    <tableColumn id="3463" xr3:uid="{A7D7B2C1-1FEF-4777-B74B-AB45CD0F619D}" name="Column3439" dataDxfId="12946"/>
    <tableColumn id="3464" xr3:uid="{CA376B28-B861-43A3-93FB-4B4BC4DCCA4A}" name="Column3440" dataDxfId="12945"/>
    <tableColumn id="3465" xr3:uid="{06DDB366-28AA-4160-B19C-D24487C00CE2}" name="Column3441" dataDxfId="12944"/>
    <tableColumn id="3466" xr3:uid="{05D8281F-9CD2-4BD6-956D-D5F43AA44A81}" name="Column3442" dataDxfId="12943"/>
    <tableColumn id="3467" xr3:uid="{B415B26E-1644-44D3-8ADF-7EAB2DB1F7D9}" name="Column3443" dataDxfId="12942"/>
    <tableColumn id="3468" xr3:uid="{B231D56A-A270-4214-8CF2-BBA03D432FE3}" name="Column3444" dataDxfId="12941"/>
    <tableColumn id="3469" xr3:uid="{BF39BDB3-CCCA-4F2B-A3FE-FF0057CB987F}" name="Column3445" dataDxfId="12940"/>
    <tableColumn id="3470" xr3:uid="{C4F92A56-5B8C-4C04-980A-B4DC70AD6C62}" name="Column3446" dataDxfId="12939"/>
    <tableColumn id="3471" xr3:uid="{E0EB23E1-525A-4DFB-9D97-9AD8975965B1}" name="Column3447" dataDxfId="12938"/>
    <tableColumn id="3472" xr3:uid="{B1227DDF-4658-449C-9ABA-31739A07DCE8}" name="Column3448" dataDxfId="12937"/>
    <tableColumn id="3473" xr3:uid="{0CCE829D-6097-4F30-84A7-71FD14E4892C}" name="Column3449" dataDxfId="12936"/>
    <tableColumn id="3474" xr3:uid="{B92FE112-2448-41C2-905A-C11CD9AFEB5C}" name="Column3450" dataDxfId="12935"/>
    <tableColumn id="3475" xr3:uid="{15D48608-1047-4299-AE92-204DDBE238F8}" name="Column3451" dataDxfId="12934"/>
    <tableColumn id="3476" xr3:uid="{B4E9719F-86D9-4055-9FB2-79C06C1DF84D}" name="Column3452" dataDxfId="12933"/>
    <tableColumn id="3477" xr3:uid="{315CD976-E3B2-4A9F-983E-52ADDDE183C2}" name="Column3453" dataDxfId="12932"/>
    <tableColumn id="3478" xr3:uid="{A0B43CD8-1199-4543-9200-DE83B4B54826}" name="Column3454" dataDxfId="12931"/>
    <tableColumn id="3479" xr3:uid="{25A9943D-B99E-491B-947E-2C940F319182}" name="Column3455" dataDxfId="12930"/>
    <tableColumn id="3480" xr3:uid="{14D3B08A-9FA5-49B0-B05B-556117E48B63}" name="Column3456" dataDxfId="12929"/>
    <tableColumn id="3481" xr3:uid="{F1E4A5CF-EED3-4D7D-B553-6B55A14A27E4}" name="Column3457" dataDxfId="12928"/>
    <tableColumn id="3482" xr3:uid="{A2131F2E-4781-4D84-87FA-FD73A479EBC3}" name="Column3458" dataDxfId="12927"/>
    <tableColumn id="3483" xr3:uid="{B42525B8-A856-485E-B9BF-C0AC1ABC8B5E}" name="Column3459" dataDxfId="12926"/>
    <tableColumn id="3484" xr3:uid="{ABBBB902-00F8-4A33-BAE4-0452BEA52502}" name="Column3460" dataDxfId="12925"/>
    <tableColumn id="3485" xr3:uid="{474B9495-386D-4902-B034-6039877738E6}" name="Column3461" dataDxfId="12924"/>
    <tableColumn id="3486" xr3:uid="{A6236CDE-8454-4E1B-BCE8-D5C9B4BCD66A}" name="Column3462" dataDxfId="12923"/>
    <tableColumn id="3487" xr3:uid="{AFEE2F55-347D-4239-B23D-675818767F17}" name="Column3463" dataDxfId="12922"/>
    <tableColumn id="3488" xr3:uid="{46446698-1FCA-4363-B630-ABA927712A03}" name="Column3464" dataDxfId="12921"/>
    <tableColumn id="3489" xr3:uid="{1D3D948D-3F05-456B-859C-D74D5812617F}" name="Column3465" dataDxfId="12920"/>
    <tableColumn id="3490" xr3:uid="{93D3D2DB-50D6-44A9-868C-4DF2E897E4F1}" name="Column3466" dataDxfId="12919"/>
    <tableColumn id="3491" xr3:uid="{7E729BF9-84C8-4FD5-83A0-B77A980CE02D}" name="Column3467" dataDxfId="12918"/>
    <tableColumn id="3492" xr3:uid="{CC3887C4-F62C-491F-BF2F-69F2985377B1}" name="Column3468" dataDxfId="12917"/>
    <tableColumn id="3493" xr3:uid="{13467A84-014B-482E-85A4-A699CE307EFF}" name="Column3469" dataDxfId="12916"/>
    <tableColumn id="3494" xr3:uid="{0B434B71-0318-427F-BE6D-DFF427369493}" name="Column3470" dataDxfId="12915"/>
    <tableColumn id="3495" xr3:uid="{7473743B-7DCB-4F64-BF26-02428E462E51}" name="Column3471" dataDxfId="12914"/>
    <tableColumn id="3496" xr3:uid="{E50C2631-C46F-4900-AC8F-22B9F92C771C}" name="Column3472" dataDxfId="12913"/>
    <tableColumn id="3497" xr3:uid="{5C16B5F0-71CC-44B3-B331-52714354DBA3}" name="Column3473" dataDxfId="12912"/>
    <tableColumn id="3498" xr3:uid="{FC17C626-68D5-434F-B444-D1B7115021E4}" name="Column3474" dataDxfId="12911"/>
    <tableColumn id="3499" xr3:uid="{64DA6771-36DA-4C0F-B2FB-E76EAFDC7A8E}" name="Column3475" dataDxfId="12910"/>
    <tableColumn id="3500" xr3:uid="{46F7A57F-BBF3-4B4D-B725-2D3024F7F6B0}" name="Column3476" dataDxfId="12909"/>
    <tableColumn id="3501" xr3:uid="{4975B500-EC7E-4EFC-8086-7BEEBD7D5600}" name="Column3477" dataDxfId="12908"/>
    <tableColumn id="3502" xr3:uid="{275FFC05-BB5F-4AC8-B0E0-300E8EC23C7D}" name="Column3478" dataDxfId="12907"/>
    <tableColumn id="3503" xr3:uid="{9B50FA48-5FF8-4318-9D84-6A3E1BAEB9E2}" name="Column3479" dataDxfId="12906"/>
    <tableColumn id="3504" xr3:uid="{401A2DA7-3C06-4085-8978-D99C02512FD5}" name="Column3480" dataDxfId="12905"/>
    <tableColumn id="3505" xr3:uid="{B1554BAC-95D9-4785-A102-ED85E6AC1CC2}" name="Column3481" dataDxfId="12904"/>
    <tableColumn id="3506" xr3:uid="{8E393BA9-7FA9-4DAF-B204-3F9C834CDD28}" name="Column3482" dataDxfId="12903"/>
    <tableColumn id="3507" xr3:uid="{F31DF7AC-C124-405C-BCF4-0985C5A70ADD}" name="Column3483" dataDxfId="12902"/>
    <tableColumn id="3508" xr3:uid="{7448BF26-A697-41DD-A595-7CEE381EB734}" name="Column3484" dataDxfId="12901"/>
    <tableColumn id="3509" xr3:uid="{F27FB812-4571-44B5-A747-D4E87DBE58F1}" name="Column3485" dataDxfId="12900"/>
    <tableColumn id="3510" xr3:uid="{D15BC817-6F52-4F83-8834-DDD18D3068AA}" name="Column3486" dataDxfId="12899"/>
    <tableColumn id="3511" xr3:uid="{C17E097E-13C5-4626-BD90-A9906BF943A6}" name="Column3487" dataDxfId="12898"/>
    <tableColumn id="3512" xr3:uid="{7C8C64A9-0609-462D-BA59-BE709F13F496}" name="Column3488" dataDxfId="12897"/>
    <tableColumn id="3513" xr3:uid="{79D146D9-4055-42DA-9C89-833D71B5591E}" name="Column3489" dataDxfId="12896"/>
    <tableColumn id="3514" xr3:uid="{199ABD07-917F-4CF7-9840-FCA18802AB8B}" name="Column3490" dataDxfId="12895"/>
    <tableColumn id="3515" xr3:uid="{5A24DC88-1A42-4518-92F1-633284C2EE84}" name="Column3491" dataDxfId="12894"/>
    <tableColumn id="3516" xr3:uid="{E5CE6271-CACF-4A11-AA82-517E235153AD}" name="Column3492" dataDxfId="12893"/>
    <tableColumn id="3517" xr3:uid="{F35E675D-15EA-4A0B-80C7-D9274EC18E7A}" name="Column3493" dataDxfId="12892"/>
    <tableColumn id="3518" xr3:uid="{DC66865E-93BB-45EC-B1B6-4CB887606A2A}" name="Column3494" dataDxfId="12891"/>
    <tableColumn id="3519" xr3:uid="{8B9E5D9F-9CC1-4A88-AF03-FF6220234457}" name="Column3495" dataDxfId="12890"/>
    <tableColumn id="3520" xr3:uid="{28C30701-7489-4F07-9100-6C059BA7F7B2}" name="Column3496" dataDxfId="12889"/>
    <tableColumn id="3521" xr3:uid="{B3C07782-3BFF-43FC-8D19-8A75C087F5DD}" name="Column3497" dataDxfId="12888"/>
    <tableColumn id="3522" xr3:uid="{D0CCDF9E-EE42-4BCF-8EF5-6E28C67535C9}" name="Column3498" dataDxfId="12887"/>
    <tableColumn id="3523" xr3:uid="{4A8A3ABA-A5EE-4371-A6C8-C06C429043F4}" name="Column3499" dataDxfId="12886"/>
    <tableColumn id="3524" xr3:uid="{41AE090F-45B5-42C6-A98C-A4A47C9EB876}" name="Column3500" dataDxfId="12885"/>
    <tableColumn id="3525" xr3:uid="{CF284260-9ED6-424A-AAF8-9AB8FE2EAFCB}" name="Column3501" dataDxfId="12884"/>
    <tableColumn id="3526" xr3:uid="{E9BD6623-3521-4F76-809F-DCC830F5933D}" name="Column3502" dataDxfId="12883"/>
    <tableColumn id="3527" xr3:uid="{35A78B57-FC31-49F5-8362-864EA84BA888}" name="Column3503" dataDxfId="12882"/>
    <tableColumn id="3528" xr3:uid="{0085D2A1-2ED1-4586-96C5-C2AE663435DF}" name="Column3504" dataDxfId="12881"/>
    <tableColumn id="3529" xr3:uid="{933C38CA-E1BA-453A-B1EF-6C1642D40036}" name="Column3505" dataDxfId="12880"/>
    <tableColumn id="3530" xr3:uid="{685F9929-2CDF-4E74-BED4-8DAA4524BFEE}" name="Column3506" dataDxfId="12879"/>
    <tableColumn id="3531" xr3:uid="{317F360D-0D36-476A-AEA9-28B45805F562}" name="Column3507" dataDxfId="12878"/>
    <tableColumn id="3532" xr3:uid="{3015C8A1-B236-4E95-8774-81F4E83883C0}" name="Column3508" dataDxfId="12877"/>
    <tableColumn id="3533" xr3:uid="{9B80FC13-10FB-409F-985C-AB9F25C3A56B}" name="Column3509" dataDxfId="12876"/>
    <tableColumn id="3534" xr3:uid="{43C93599-087C-4690-8CD4-3F68B8CD6917}" name="Column3510" dataDxfId="12875"/>
    <tableColumn id="3535" xr3:uid="{F3E97A29-C642-4412-B39C-3679E5B12430}" name="Column3511" dataDxfId="12874"/>
    <tableColumn id="3536" xr3:uid="{0B891A17-9F16-4E5C-A58E-3E880E308C6D}" name="Column3512" dataDxfId="12873"/>
    <tableColumn id="3537" xr3:uid="{AB0AC1D4-F467-4441-BD7A-240F7AED2B57}" name="Column3513" dataDxfId="12872"/>
    <tableColumn id="3538" xr3:uid="{F0DB3F7B-A02C-41B6-B43E-C782D4ACCB51}" name="Column3514" dataDxfId="12871"/>
    <tableColumn id="3539" xr3:uid="{B7469299-C478-45FC-BAA0-59238E0AC5AC}" name="Column3515" dataDxfId="12870"/>
    <tableColumn id="3540" xr3:uid="{2A2903FC-9B68-4373-80FC-F409A285FD08}" name="Column3516" dataDxfId="12869"/>
    <tableColumn id="3541" xr3:uid="{23E308AE-E1A4-4FE3-967D-74DC37C07445}" name="Column3517" dataDxfId="12868"/>
    <tableColumn id="3542" xr3:uid="{E07226F2-16B2-4FCC-B56A-1412AFB1043C}" name="Column3518" dataDxfId="12867"/>
    <tableColumn id="3543" xr3:uid="{A2C330EC-8365-404E-8565-7DB5A9963710}" name="Column3519" dataDxfId="12866"/>
    <tableColumn id="3544" xr3:uid="{580CB61D-2814-48FA-8A44-040E20995D58}" name="Column3520" dataDxfId="12865"/>
    <tableColumn id="3545" xr3:uid="{84E49E55-9A88-4588-8953-ABB59264D779}" name="Column3521" dataDxfId="12864"/>
    <tableColumn id="3546" xr3:uid="{C0793C9F-03E8-4FF7-BFF7-519C77D21734}" name="Column3522" dataDxfId="12863"/>
    <tableColumn id="3547" xr3:uid="{F83E5487-8A20-4630-A813-4F060985FB52}" name="Column3523" dataDxfId="12862"/>
    <tableColumn id="3548" xr3:uid="{9D0D37E4-E2E7-4B7C-B04F-CCBF3A2B4B1F}" name="Column3524" dataDxfId="12861"/>
    <tableColumn id="3549" xr3:uid="{2D3F580E-2D0A-4077-974A-C7A6A8390358}" name="Column3525" dataDxfId="12860"/>
    <tableColumn id="3550" xr3:uid="{E175FD2D-C16D-44B4-9033-F9FB324EB137}" name="Column3526" dataDxfId="12859"/>
    <tableColumn id="3551" xr3:uid="{0BC87BF5-F451-4444-92D4-BC0362BCAA3E}" name="Column3527" dataDxfId="12858"/>
    <tableColumn id="3552" xr3:uid="{E0B690AF-5C20-4C10-A5D5-1B01FEF319F7}" name="Column3528" dataDxfId="12857"/>
    <tableColumn id="3553" xr3:uid="{FC340EF5-E569-492C-B6CE-411663C5C8FA}" name="Column3529" dataDxfId="12856"/>
    <tableColumn id="3554" xr3:uid="{F8EBCF50-49B6-499C-B4C9-813A33A99CA5}" name="Column3530" dataDxfId="12855"/>
    <tableColumn id="3555" xr3:uid="{7E54A976-9BF6-4156-81BD-4C2CE81D2E6C}" name="Column3531" dataDxfId="12854"/>
    <tableColumn id="3556" xr3:uid="{E8CDD8A7-21B1-43E8-999D-D07532B01F7F}" name="Column3532" dataDxfId="12853"/>
    <tableColumn id="3557" xr3:uid="{EC910062-8A30-4F93-8BEC-6EEE286FA125}" name="Column3533" dataDxfId="12852"/>
    <tableColumn id="3558" xr3:uid="{B97176BB-320C-4261-B579-83E34BBEE098}" name="Column3534" dataDxfId="12851"/>
    <tableColumn id="3559" xr3:uid="{C9758751-D3E4-4DB6-9974-26A29C6B1A2F}" name="Column3535" dataDxfId="12850"/>
    <tableColumn id="3560" xr3:uid="{28F94321-95B5-42E8-BE58-1F1F1B5A6D52}" name="Column3536" dataDxfId="12849"/>
    <tableColumn id="3561" xr3:uid="{B54367D2-D0B6-481B-8D5E-2D3AA5AA66CE}" name="Column3537" dataDxfId="12848"/>
    <tableColumn id="3562" xr3:uid="{97027D96-C67E-4DA1-9C90-DE94302A3133}" name="Column3538" dataDxfId="12847"/>
    <tableColumn id="3563" xr3:uid="{8E599D30-2EB8-4E0E-87CD-2A9C3415C819}" name="Column3539" dataDxfId="12846"/>
    <tableColumn id="3564" xr3:uid="{B12AFD35-8D98-47F7-AFAF-D4965D2DD987}" name="Column3540" dataDxfId="12845"/>
    <tableColumn id="3565" xr3:uid="{98A01ECB-E68D-42E6-84A9-F4281D08D7DB}" name="Column3541" dataDxfId="12844"/>
    <tableColumn id="3566" xr3:uid="{8D954C91-4837-4CC3-9B8F-AB43D4AD053E}" name="Column3542" dataDxfId="12843"/>
    <tableColumn id="3567" xr3:uid="{E71328E0-EEF4-43FD-9866-21FFBB44CA86}" name="Column3543" dataDxfId="12842"/>
    <tableColumn id="3568" xr3:uid="{DEC1D16B-89B0-40A8-A1F6-70859263FDA4}" name="Column3544" dataDxfId="12841"/>
    <tableColumn id="3569" xr3:uid="{A66A61B2-F078-4C1A-A219-43DD603A664A}" name="Column3545" dataDxfId="12840"/>
    <tableColumn id="3570" xr3:uid="{E5F615F6-28E2-4EA2-8E05-DD8FC59F350A}" name="Column3546" dataDxfId="12839"/>
    <tableColumn id="3571" xr3:uid="{6B16352D-45EF-498B-8C64-6F1E039A31BB}" name="Column3547" dataDxfId="12838"/>
    <tableColumn id="3572" xr3:uid="{28C3B35D-43D1-4A38-9CB2-85ABC7F2DD64}" name="Column3548" dataDxfId="12837"/>
    <tableColumn id="3573" xr3:uid="{ABFEE1FA-21EC-4A9D-9383-E81B18170EAF}" name="Column3549" dataDxfId="12836"/>
    <tableColumn id="3574" xr3:uid="{B3594357-F269-4440-B419-816154429953}" name="Column3550" dataDxfId="12835"/>
    <tableColumn id="3575" xr3:uid="{A7DA4C99-1196-4BEE-954E-B173B164467F}" name="Column3551" dataDxfId="12834"/>
    <tableColumn id="3576" xr3:uid="{869AACF2-1105-47E8-9B16-14018D57E393}" name="Column3552" dataDxfId="12833"/>
    <tableColumn id="3577" xr3:uid="{8A86387F-55B2-4715-9535-1D6DAE97B7B0}" name="Column3553" dataDxfId="12832"/>
    <tableColumn id="3578" xr3:uid="{B4363292-2C0A-4491-9D3C-156F8D83462B}" name="Column3554" dataDxfId="12831"/>
    <tableColumn id="3579" xr3:uid="{D806C0F0-930A-4ED0-A88F-FF1596F02C7E}" name="Column3555" dataDxfId="12830"/>
    <tableColumn id="3580" xr3:uid="{C7EA9655-38C7-4DBE-B877-CCFE390E52A7}" name="Column3556" dataDxfId="12829"/>
    <tableColumn id="3581" xr3:uid="{B5075AF8-99BD-4F29-998A-64959EE8894B}" name="Column3557" dataDxfId="12828"/>
    <tableColumn id="3582" xr3:uid="{FCA1C24C-1216-425A-B513-7FE7E197B63C}" name="Column3558" dataDxfId="12827"/>
    <tableColumn id="3583" xr3:uid="{7D979298-0A9B-4F00-8F58-CC5344EB3BCB}" name="Column3559" dataDxfId="12826"/>
    <tableColumn id="3584" xr3:uid="{00EDDF9C-6BDD-49B7-AB14-56BF36EB94A4}" name="Column3560" dataDxfId="12825"/>
    <tableColumn id="3585" xr3:uid="{FEA01CFB-8825-4A54-815D-2780D09A5086}" name="Column3561" dataDxfId="12824"/>
    <tableColumn id="3586" xr3:uid="{9112EFE8-F902-41BF-98CB-D957D3E91E68}" name="Column3562" dataDxfId="12823"/>
    <tableColumn id="3587" xr3:uid="{2DFB44EB-6CCE-4BB9-A801-59AC51C4C69A}" name="Column3563" dataDxfId="12822"/>
    <tableColumn id="3588" xr3:uid="{C543D884-210D-4CA1-AB31-B0EA38EB8485}" name="Column3564" dataDxfId="12821"/>
    <tableColumn id="3589" xr3:uid="{186AC2EC-AA28-417A-AE67-FFF6415E814F}" name="Column3565" dataDxfId="12820"/>
    <tableColumn id="3590" xr3:uid="{810D688A-0046-415A-9B3B-129EFDE5DA46}" name="Column3566" dataDxfId="12819"/>
    <tableColumn id="3591" xr3:uid="{22C4F565-DBCD-4C5F-9C76-CD6A55624C1D}" name="Column3567" dataDxfId="12818"/>
    <tableColumn id="3592" xr3:uid="{674FE6D3-B2E4-4CF8-978E-F6851086E98F}" name="Column3568" dataDxfId="12817"/>
    <tableColumn id="3593" xr3:uid="{BBB0A46D-F355-4978-B3EE-F63757AF6F0D}" name="Column3569" dataDxfId="12816"/>
    <tableColumn id="3594" xr3:uid="{6A7FFA7E-2EDD-494C-8F86-584E80ED94C7}" name="Column3570" dataDxfId="12815"/>
    <tableColumn id="3595" xr3:uid="{3E534E09-4B2F-4A39-ADC3-A99DEE3030C9}" name="Column3571" dataDxfId="12814"/>
    <tableColumn id="3596" xr3:uid="{33FE8601-BA9B-4AF7-9BDC-22CFB01A250A}" name="Column3572" dataDxfId="12813"/>
    <tableColumn id="3597" xr3:uid="{6BE95A64-F9E6-4776-985B-8F1CBA81D6FD}" name="Column3573" dataDxfId="12812"/>
    <tableColumn id="3598" xr3:uid="{37D1068D-86B5-4CDA-AE19-F89A49004BB9}" name="Column3574" dataDxfId="12811"/>
    <tableColumn id="3599" xr3:uid="{B90D7ED3-B896-4099-84FB-BFE753485558}" name="Column3575" dataDxfId="12810"/>
    <tableColumn id="3600" xr3:uid="{69972283-26FE-4984-8879-D43B10261AE9}" name="Column3576" dataDxfId="12809"/>
    <tableColumn id="3601" xr3:uid="{4FF45605-AD99-40D9-A313-3C538BB77184}" name="Column3577" dataDxfId="12808"/>
    <tableColumn id="3602" xr3:uid="{B2479BDD-4D13-431A-B07A-850CCFD2DC80}" name="Column3578" dataDxfId="12807"/>
    <tableColumn id="3603" xr3:uid="{80D5B106-6715-41A1-A9E8-860B2E4F9091}" name="Column3579" dataDxfId="12806"/>
    <tableColumn id="3604" xr3:uid="{C0482914-C2F1-4D42-B04B-B353678030BE}" name="Column3580" dataDxfId="12805"/>
    <tableColumn id="3605" xr3:uid="{245967C0-8E9D-44B3-8419-8A2DD2A690B1}" name="Column3581" dataDxfId="12804"/>
    <tableColumn id="3606" xr3:uid="{2CEA0212-2523-40EB-8088-0D2BA375FA63}" name="Column3582" dataDxfId="12803"/>
    <tableColumn id="3607" xr3:uid="{BF391ED1-1CAE-4AD9-BA29-21AF211DD457}" name="Column3583" dataDxfId="12802"/>
    <tableColumn id="3608" xr3:uid="{5F96DB39-89CE-491E-89A2-FC6DAB0ACECA}" name="Column3584" dataDxfId="12801"/>
    <tableColumn id="3609" xr3:uid="{270D63F2-AAA1-44A3-A8BF-4637402E5DDE}" name="Column3585" dataDxfId="12800"/>
    <tableColumn id="3610" xr3:uid="{F324A79C-909E-4851-B304-7285D394E3EB}" name="Column3586" dataDxfId="12799"/>
    <tableColumn id="3611" xr3:uid="{2B910371-3392-4B42-BDF5-10B11FF5C4C3}" name="Column3587" dataDxfId="12798"/>
    <tableColumn id="3612" xr3:uid="{38233BDB-78A5-4280-AC93-896F78C55DB4}" name="Column3588" dataDxfId="12797"/>
    <tableColumn id="3613" xr3:uid="{525D60FA-6909-4557-9CDE-793C5851CBB0}" name="Column3589" dataDxfId="12796"/>
    <tableColumn id="3614" xr3:uid="{57AE3A7A-07B2-477D-8C2F-6F17C1F37E66}" name="Column3590" dataDxfId="12795"/>
    <tableColumn id="3615" xr3:uid="{DCC57E6F-443F-4317-9808-426A2489009E}" name="Column3591" dataDxfId="12794"/>
    <tableColumn id="3616" xr3:uid="{BD5778A0-4AC7-4C0C-A05D-0F3BAAE0B350}" name="Column3592" dataDxfId="12793"/>
    <tableColumn id="3617" xr3:uid="{2147A629-FF28-4A8C-9EA8-7C750E44EC38}" name="Column3593" dataDxfId="12792"/>
    <tableColumn id="3618" xr3:uid="{F930B651-F973-4E91-9C31-78982520520F}" name="Column3594" dataDxfId="12791"/>
    <tableColumn id="3619" xr3:uid="{9FD93268-AA91-4C19-9F80-BAFC8C99803B}" name="Column3595" dataDxfId="12790"/>
    <tableColumn id="3620" xr3:uid="{2A52E761-DFE2-48F9-97B7-2967073004C5}" name="Column3596" dataDxfId="12789"/>
    <tableColumn id="3621" xr3:uid="{DE5DD23B-FCD4-4621-998D-CB5A7F0E6FB8}" name="Column3597" dataDxfId="12788"/>
    <tableColumn id="3622" xr3:uid="{5221AB0A-E5A0-44CC-9495-51ABF65EA4CA}" name="Column3598" dataDxfId="12787"/>
    <tableColumn id="3623" xr3:uid="{DA65F0D1-BF0B-4AD6-8F0A-2DC1066FA505}" name="Column3599" dataDxfId="12786"/>
    <tableColumn id="3624" xr3:uid="{C152C4B9-FDEE-4354-8320-03DE25953527}" name="Column3600" dataDxfId="12785"/>
    <tableColumn id="3625" xr3:uid="{58BD35FE-782B-44EC-9401-C8C59C64411A}" name="Column3601" dataDxfId="12784"/>
    <tableColumn id="3626" xr3:uid="{44914DA0-6F50-4876-9A28-1B78C6D6553A}" name="Column3602" dataDxfId="12783"/>
    <tableColumn id="3627" xr3:uid="{163DCBA1-369A-453A-AB82-6C805135C100}" name="Column3603" dataDxfId="12782"/>
    <tableColumn id="3628" xr3:uid="{647F7C19-C6ED-40C9-89FC-56A6124C444F}" name="Column3604" dataDxfId="12781"/>
    <tableColumn id="3629" xr3:uid="{252B0388-7531-4099-B462-5DD928130B38}" name="Column3605" dataDxfId="12780"/>
    <tableColumn id="3630" xr3:uid="{8107CFB1-AA8D-4265-AC3E-A28A78F3DF32}" name="Column3606" dataDxfId="12779"/>
    <tableColumn id="3631" xr3:uid="{AAE2BB18-84AB-49DA-B9A4-5857E7B3FD4D}" name="Column3607" dataDxfId="12778"/>
    <tableColumn id="3632" xr3:uid="{B396D516-F679-4242-8B05-ED19B8C582D5}" name="Column3608" dataDxfId="12777"/>
    <tableColumn id="3633" xr3:uid="{A557E271-9644-4384-A8A1-BD7C8E9D3A18}" name="Column3609" dataDxfId="12776"/>
    <tableColumn id="3634" xr3:uid="{873E5204-A38D-4EE3-8846-08C08702191F}" name="Column3610" dataDxfId="12775"/>
    <tableColumn id="3635" xr3:uid="{475617E8-41A7-4254-8F50-19C3A8B5B1BB}" name="Column3611" dataDxfId="12774"/>
    <tableColumn id="3636" xr3:uid="{B7FEF54D-86A1-4D67-B728-7AD551B4532B}" name="Column3612" dataDxfId="12773"/>
    <tableColumn id="3637" xr3:uid="{BC6C7561-C80F-4B20-A46E-BC22174096EA}" name="Column3613" dataDxfId="12772"/>
    <tableColumn id="3638" xr3:uid="{9BC0713A-1D64-4EBA-B09C-28AAF81F244A}" name="Column3614" dataDxfId="12771"/>
    <tableColumn id="3639" xr3:uid="{470CB2A6-6B06-4561-B136-BDA4303E0827}" name="Column3615" dataDxfId="12770"/>
    <tableColumn id="3640" xr3:uid="{FF7F1C21-CA5C-46FC-93BE-E51B44FA5EFA}" name="Column3616" dataDxfId="12769"/>
    <tableColumn id="3641" xr3:uid="{C2333C6C-518B-4648-83F9-FAF1C0ECECE3}" name="Column3617" dataDxfId="12768"/>
    <tableColumn id="3642" xr3:uid="{ED29B8F0-CD5C-4707-87EA-FF545C96EE26}" name="Column3618" dataDxfId="12767"/>
    <tableColumn id="3643" xr3:uid="{3BBC1A0C-F1EE-45C2-87F3-7B408977B742}" name="Column3619" dataDxfId="12766"/>
    <tableColumn id="3644" xr3:uid="{EF6DF63D-CA6D-4AA6-B0F9-8B8D5DC1E9F3}" name="Column3620" dataDxfId="12765"/>
    <tableColumn id="3645" xr3:uid="{EDA8A93E-7D0D-47CA-ADC0-9643CC763375}" name="Column3621" dataDxfId="12764"/>
    <tableColumn id="3646" xr3:uid="{7E78AC78-F4EC-4042-8E15-7CDA37F3433A}" name="Column3622" dataDxfId="12763"/>
    <tableColumn id="3647" xr3:uid="{F1616316-5E6C-4278-ABE1-A73B10D09E40}" name="Column3623" dataDxfId="12762"/>
    <tableColumn id="3648" xr3:uid="{9159D43D-E8AA-495A-B01A-F096BF7D183C}" name="Column3624" dataDxfId="12761"/>
    <tableColumn id="3649" xr3:uid="{2D6B67B9-75B5-41A0-B448-D8268D414BB8}" name="Column3625" dataDxfId="12760"/>
    <tableColumn id="3650" xr3:uid="{63E3E47C-B735-4F7D-9324-2024128A99A3}" name="Column3626" dataDxfId="12759"/>
    <tableColumn id="3651" xr3:uid="{9DBC4B54-93D5-4382-8144-B78F47544BCF}" name="Column3627" dataDxfId="12758"/>
    <tableColumn id="3652" xr3:uid="{33ACD1C3-EA7A-42A1-BB6C-8221D41562B7}" name="Column3628" dataDxfId="12757"/>
    <tableColumn id="3653" xr3:uid="{D0A60EAF-54DC-4B28-9E8E-04E4E25156C5}" name="Column3629" dataDxfId="12756"/>
    <tableColumn id="3654" xr3:uid="{5F94890E-FAE1-4621-851E-D995258E73CE}" name="Column3630" dataDxfId="12755"/>
    <tableColumn id="3655" xr3:uid="{7B3DE9D5-81B0-4D13-AB5A-0B8C29294DF7}" name="Column3631" dataDxfId="12754"/>
    <tableColumn id="3656" xr3:uid="{2317B460-3F81-455E-BA59-C1B02E243639}" name="Column3632" dataDxfId="12753"/>
    <tableColumn id="3657" xr3:uid="{B3FD5847-791E-4620-8EFB-0DD109EFA53C}" name="Column3633" dataDxfId="12752"/>
    <tableColumn id="3658" xr3:uid="{01D45C9B-A44A-48A2-991C-44646CFAE062}" name="Column3634" dataDxfId="12751"/>
    <tableColumn id="3659" xr3:uid="{16CA94EC-245E-4AAE-A70B-0D6F3E87BDD5}" name="Column3635" dataDxfId="12750"/>
    <tableColumn id="3660" xr3:uid="{AF84C650-2580-4F7A-90FD-449B8407C13F}" name="Column3636" dataDxfId="12749"/>
    <tableColumn id="3661" xr3:uid="{B883F9FE-AE4D-40A2-905C-92EA3815D305}" name="Column3637" dataDxfId="12748"/>
    <tableColumn id="3662" xr3:uid="{38D4701D-4D73-402E-9AF7-4D9DDC3D488B}" name="Column3638" dataDxfId="12747"/>
    <tableColumn id="3663" xr3:uid="{8BB8E385-B5B6-4294-8524-CF81F0985E28}" name="Column3639" dataDxfId="12746"/>
    <tableColumn id="3664" xr3:uid="{9317F531-EE4C-4330-BA03-8956C697B4DC}" name="Column3640" dataDxfId="12745"/>
    <tableColumn id="3665" xr3:uid="{2923A84E-5A9F-4979-ACDA-CE1DDF87F505}" name="Column3641" dataDxfId="12744"/>
    <tableColumn id="3666" xr3:uid="{93AE8B32-ED31-4D61-8E10-660D98654556}" name="Column3642" dataDxfId="12743"/>
    <tableColumn id="3667" xr3:uid="{4D2A4CD9-0C86-491F-B30E-81B8B288AE1C}" name="Column3643" dataDxfId="12742"/>
    <tableColumn id="3668" xr3:uid="{271F8390-6D9F-49C9-9B8A-7DAB5A32DCFC}" name="Column3644" dataDxfId="12741"/>
    <tableColumn id="3669" xr3:uid="{5055DEA8-605A-4FD5-AA1A-C71A81CBA002}" name="Column3645" dataDxfId="12740"/>
    <tableColumn id="3670" xr3:uid="{0ED948B2-EA36-4911-85F9-87AA4577BB75}" name="Column3646" dataDxfId="12739"/>
    <tableColumn id="3671" xr3:uid="{14C4B4DD-581F-4E19-BAE7-15BEC1FFD9E8}" name="Column3647" dataDxfId="12738"/>
    <tableColumn id="3672" xr3:uid="{724C39F4-F810-44D1-B1EF-CE529B3DE42F}" name="Column3648" dataDxfId="12737"/>
    <tableColumn id="3673" xr3:uid="{52BB6EE0-2568-467E-ABF3-9947A0BF6B83}" name="Column3649" dataDxfId="12736"/>
    <tableColumn id="3674" xr3:uid="{4B107A7C-1401-4689-8FD4-B580C77A106C}" name="Column3650" dataDxfId="12735"/>
    <tableColumn id="3675" xr3:uid="{90EFEF1E-C561-400D-927D-C28F07479455}" name="Column3651" dataDxfId="12734"/>
    <tableColumn id="3676" xr3:uid="{E4EA1B98-D49A-4CD1-BD61-613329624E1C}" name="Column3652" dataDxfId="12733"/>
    <tableColumn id="3677" xr3:uid="{A011BDB2-28AB-400A-97FD-8F1CA9B81E5F}" name="Column3653" dataDxfId="12732"/>
    <tableColumn id="3678" xr3:uid="{11E14A5C-A42E-4481-8F91-40A2FD720079}" name="Column3654" dataDxfId="12731"/>
    <tableColumn id="3679" xr3:uid="{03C79380-DC8E-4EBE-A9FF-6452BEEBD01E}" name="Column3655" dataDxfId="12730"/>
    <tableColumn id="3680" xr3:uid="{3E17C2E0-0902-46FD-B824-1C306FEA6DDA}" name="Column3656" dataDxfId="12729"/>
    <tableColumn id="3681" xr3:uid="{6CFEED6F-8673-4B8A-8943-CC33D00E7378}" name="Column3657" dataDxfId="12728"/>
    <tableColumn id="3682" xr3:uid="{FE8DD882-C2E8-42B7-8CCA-BB7539024065}" name="Column3658" dataDxfId="12727"/>
    <tableColumn id="3683" xr3:uid="{8B3AD339-FEBC-4737-8DB9-DBA109992EB0}" name="Column3659" dataDxfId="12726"/>
    <tableColumn id="3684" xr3:uid="{F9366C4F-4B49-46D3-A233-7EE06E4EB3E4}" name="Column3660" dataDxfId="12725"/>
    <tableColumn id="3685" xr3:uid="{CFCD20BD-5157-4540-9FCD-0E9F1B42BCDC}" name="Column3661" dataDxfId="12724"/>
    <tableColumn id="3686" xr3:uid="{10DEC974-C768-4F47-A8B7-217B9284DB73}" name="Column3662" dataDxfId="12723"/>
    <tableColumn id="3687" xr3:uid="{BAACA780-85BA-477F-9D09-266D5A109906}" name="Column3663" dataDxfId="12722"/>
    <tableColumn id="3688" xr3:uid="{18DE46EB-C57B-4F40-9F8E-B8EDB3EDD2FD}" name="Column3664" dataDxfId="12721"/>
    <tableColumn id="3689" xr3:uid="{293D3289-9AF9-4A83-B7B9-A4B4DA47B744}" name="Column3665" dataDxfId="12720"/>
    <tableColumn id="3690" xr3:uid="{CE04FBEA-8CB2-4313-ABE3-A176F0258FAA}" name="Column3666" dataDxfId="12719"/>
    <tableColumn id="3691" xr3:uid="{4ECE2542-09D6-4B59-A80A-98E2236C92E0}" name="Column3667" dataDxfId="12718"/>
    <tableColumn id="3692" xr3:uid="{F6405AEB-3226-4253-8506-259E7CEDAD43}" name="Column3668" dataDxfId="12717"/>
    <tableColumn id="3693" xr3:uid="{FC23D842-DBA3-4BF1-A927-08E58743ACEE}" name="Column3669" dataDxfId="12716"/>
    <tableColumn id="3694" xr3:uid="{2B9FFA79-157F-434B-93BA-A4AC43E74E0C}" name="Column3670" dataDxfId="12715"/>
    <tableColumn id="3695" xr3:uid="{5B81ADD5-4410-46D4-AA96-B3A3AC10989F}" name="Column3671" dataDxfId="12714"/>
    <tableColumn id="3696" xr3:uid="{DD41D41B-960F-4795-A6A5-775D233F5B57}" name="Column3672" dataDxfId="12713"/>
    <tableColumn id="3697" xr3:uid="{975AACAF-F194-46F6-8712-B84B8D6E8A92}" name="Column3673" dataDxfId="12712"/>
    <tableColumn id="3698" xr3:uid="{48360E5C-070E-4D2E-8FB5-8D9A7AEEAE9A}" name="Column3674" dataDxfId="12711"/>
    <tableColumn id="3699" xr3:uid="{709C28D4-9598-440C-A7A6-9A6AC654954E}" name="Column3675" dataDxfId="12710"/>
    <tableColumn id="3700" xr3:uid="{93166662-5565-4FE5-98CD-CE12AC9C3F52}" name="Column3676" dataDxfId="12709"/>
    <tableColumn id="3701" xr3:uid="{0BD72587-941F-4CE6-8C9C-C8EEEAE52D29}" name="Column3677" dataDxfId="12708"/>
    <tableColumn id="3702" xr3:uid="{301A5EB5-EBEC-44DB-91DE-BFFB2DC945BA}" name="Column3678" dataDxfId="12707"/>
    <tableColumn id="3703" xr3:uid="{1B6F5D29-5167-4F69-AC34-A622F8B4F727}" name="Column3679" dataDxfId="12706"/>
    <tableColumn id="3704" xr3:uid="{67ECDE42-8EE2-43FC-8AFF-C5A00D9CA4A5}" name="Column3680" dataDxfId="12705"/>
    <tableColumn id="3705" xr3:uid="{62A1BECE-A255-4A0F-8C27-E3DAC0F7FF13}" name="Column3681" dataDxfId="12704"/>
    <tableColumn id="3706" xr3:uid="{38B4B8FB-E423-4FEE-8528-C672A7E7FDA7}" name="Column3682" dataDxfId="12703"/>
    <tableColumn id="3707" xr3:uid="{A1274CF2-F725-4432-90F1-72FBDDAFA46E}" name="Column3683" dataDxfId="12702"/>
    <tableColumn id="3708" xr3:uid="{F4ECBE44-0F6E-4F5F-B1E2-5397DDA7C967}" name="Column3684" dataDxfId="12701"/>
    <tableColumn id="3709" xr3:uid="{77058DB9-C5A9-4B18-944A-A804091F9F7A}" name="Column3685" dataDxfId="12700"/>
    <tableColumn id="3710" xr3:uid="{0BBAEAE7-5D2E-4502-B6DB-BC2876A5207E}" name="Column3686" dataDxfId="12699"/>
    <tableColumn id="3711" xr3:uid="{F6AE6704-CAE4-4071-8440-5581163BF9E5}" name="Column3687" dataDxfId="12698"/>
    <tableColumn id="3712" xr3:uid="{C05BBE76-51C4-448A-9B69-D93FA94408DF}" name="Column3688" dataDxfId="12697"/>
    <tableColumn id="3713" xr3:uid="{0F3F53C7-51BC-4C43-8C2F-683EFF7EC1B3}" name="Column3689" dataDxfId="12696"/>
    <tableColumn id="3714" xr3:uid="{1AF45A08-A8EC-4500-A041-CAEA3771EB21}" name="Column3690" dataDxfId="12695"/>
    <tableColumn id="3715" xr3:uid="{16EC3529-2E48-482B-9842-052599DF1C6A}" name="Column3691" dataDxfId="12694"/>
    <tableColumn id="3716" xr3:uid="{966C1DFF-9572-4ED5-9E01-249211CBA930}" name="Column3692" dataDxfId="12693"/>
    <tableColumn id="3717" xr3:uid="{38567860-4736-4FC8-9901-6059AE7AFD7F}" name="Column3693" dataDxfId="12692"/>
    <tableColumn id="3718" xr3:uid="{7F7BE10D-2EC0-404B-9DA5-DAA6ED32859F}" name="Column3694" dataDxfId="12691"/>
    <tableColumn id="3719" xr3:uid="{37AB368B-4274-4B5F-B940-4B4254B69F6A}" name="Column3695" dataDxfId="12690"/>
    <tableColumn id="3720" xr3:uid="{1054DB55-4879-4C54-B0E5-4F7F64D8C512}" name="Column3696" dataDxfId="12689"/>
    <tableColumn id="3721" xr3:uid="{FA036B36-5B74-48C5-93AB-357DA6381462}" name="Column3697" dataDxfId="12688"/>
    <tableColumn id="3722" xr3:uid="{D302609A-9F60-437F-857D-6A39CF562368}" name="Column3698" dataDxfId="12687"/>
    <tableColumn id="3723" xr3:uid="{01047B4F-0FC6-4E29-B5BB-1DBA0E5D2E11}" name="Column3699" dataDxfId="12686"/>
    <tableColumn id="3724" xr3:uid="{F528B01A-D2D9-4E16-A1C4-3080DF654F60}" name="Column3700" dataDxfId="12685"/>
    <tableColumn id="3725" xr3:uid="{D9DAD167-FAAC-4C23-A37B-C3C8E0296B8C}" name="Column3701" dataDxfId="12684"/>
    <tableColumn id="3726" xr3:uid="{1E8CDDE6-E36A-4E49-925B-431519217EA3}" name="Column3702" dataDxfId="12683"/>
    <tableColumn id="3727" xr3:uid="{80ABBCAA-43CF-4111-A5CF-F17A55DFD7D5}" name="Column3703" dataDxfId="12682"/>
    <tableColumn id="3728" xr3:uid="{9BA60A10-8D02-40B1-9134-2FE3BB1C554E}" name="Column3704" dataDxfId="12681"/>
    <tableColumn id="3729" xr3:uid="{82AFFFD2-A6C6-4AF0-A802-D2B07ECCCB53}" name="Column3705" dataDxfId="12680"/>
    <tableColumn id="3730" xr3:uid="{78283BC0-466A-49D3-BDB0-3CAFFEA41AE0}" name="Column3706" dataDxfId="12679"/>
    <tableColumn id="3731" xr3:uid="{DAFF766D-DEF6-4F37-BF55-ABAA05586B0D}" name="Column3707" dataDxfId="12678"/>
    <tableColumn id="3732" xr3:uid="{FAEEAE90-B92F-4685-845F-39F849F588CE}" name="Column3708" dataDxfId="12677"/>
    <tableColumn id="3733" xr3:uid="{CB28E616-247B-4B08-9F3A-E6DF6911F35C}" name="Column3709" dataDxfId="12676"/>
    <tableColumn id="3734" xr3:uid="{A6CFAC05-E7AC-4D53-B773-C06ACEC81932}" name="Column3710" dataDxfId="12675"/>
    <tableColumn id="3735" xr3:uid="{EA24631D-C62A-4667-9C79-27CA33A890D5}" name="Column3711" dataDxfId="12674"/>
    <tableColumn id="3736" xr3:uid="{07C1DAC4-1230-449A-9471-3D8D3C9D40E1}" name="Column3712" dataDxfId="12673"/>
    <tableColumn id="3737" xr3:uid="{566084BE-1EF5-4043-A2F3-DF85CE5227F5}" name="Column3713" dataDxfId="12672"/>
    <tableColumn id="3738" xr3:uid="{FC9CF109-CD0F-4496-B527-E44E30A98F7E}" name="Column3714" dataDxfId="12671"/>
    <tableColumn id="3739" xr3:uid="{CF7B6229-DBA1-4976-BDC7-1D12B286E1CC}" name="Column3715" dataDxfId="12670"/>
    <tableColumn id="3740" xr3:uid="{259A2DA6-367F-4304-AADD-B1CD021887EE}" name="Column3716" dataDxfId="12669"/>
    <tableColumn id="3741" xr3:uid="{879DC42E-FBBF-479E-B678-E154D3444984}" name="Column3717" dataDxfId="12668"/>
    <tableColumn id="3742" xr3:uid="{839335CD-3237-4740-A579-0285DF7EED73}" name="Column3718" dataDxfId="12667"/>
    <tableColumn id="3743" xr3:uid="{6190FC0B-D854-4495-BA35-B1472EE6B84A}" name="Column3719" dataDxfId="12666"/>
    <tableColumn id="3744" xr3:uid="{B72857C6-FFFA-4D8C-8663-A441792F6D84}" name="Column3720" dataDxfId="12665"/>
    <tableColumn id="3745" xr3:uid="{BDDDA7AC-FDE1-46C3-9C55-8299F289EEEE}" name="Column3721" dataDxfId="12664"/>
    <tableColumn id="3746" xr3:uid="{CB9F884C-7007-424F-93AB-4976606DF465}" name="Column3722" dataDxfId="12663"/>
    <tableColumn id="3747" xr3:uid="{0215EE7E-9836-48C6-B536-FEEBDB6458E8}" name="Column3723" dataDxfId="12662"/>
    <tableColumn id="3748" xr3:uid="{5F8E1C91-2F27-40A8-A1CB-ADB99E2E348E}" name="Column3724" dataDxfId="12661"/>
    <tableColumn id="3749" xr3:uid="{5F4863A0-18C4-4C11-ACC1-1512121F227D}" name="Column3725" dataDxfId="12660"/>
    <tableColumn id="3750" xr3:uid="{E8B11799-A805-4E18-AEDF-BC656DE194FC}" name="Column3726" dataDxfId="12659"/>
    <tableColumn id="3751" xr3:uid="{2CDD1E01-9F80-4223-8D01-908AAF5B0130}" name="Column3727" dataDxfId="12658"/>
    <tableColumn id="3752" xr3:uid="{47D46F1C-35A4-4D91-906E-4097CB0CF344}" name="Column3728" dataDxfId="12657"/>
    <tableColumn id="3753" xr3:uid="{29F369F4-B6A8-4210-8CAA-AD1D08001778}" name="Column3729" dataDxfId="12656"/>
    <tableColumn id="3754" xr3:uid="{D7CF9C7B-7E85-4DF3-9372-0DA0FB553920}" name="Column3730" dataDxfId="12655"/>
    <tableColumn id="3755" xr3:uid="{92E92878-27C6-4696-BEEA-727F9F8E4B7E}" name="Column3731" dataDxfId="12654"/>
    <tableColumn id="3756" xr3:uid="{F887FF45-1A96-4096-8DD6-E7EF73D16864}" name="Column3732" dataDxfId="12653"/>
    <tableColumn id="3757" xr3:uid="{EA271BF4-C861-4735-9EA2-4C2454DE9595}" name="Column3733" dataDxfId="12652"/>
    <tableColumn id="3758" xr3:uid="{7901DB1A-79B7-4B16-8FDA-1654C2516391}" name="Column3734" dataDxfId="12651"/>
    <tableColumn id="3759" xr3:uid="{AAF25933-A876-494D-98B6-2AA3BB7E16F0}" name="Column3735" dataDxfId="12650"/>
    <tableColumn id="3760" xr3:uid="{77BE3524-0C59-43BD-ACA7-47D1965E7A12}" name="Column3736" dataDxfId="12649"/>
    <tableColumn id="3761" xr3:uid="{87501229-98F7-4174-86FC-3C12CA4F5DE2}" name="Column3737" dataDxfId="12648"/>
    <tableColumn id="3762" xr3:uid="{DF8EC9A1-859F-4D25-8CFE-D84BDF372C9B}" name="Column3738" dataDxfId="12647"/>
    <tableColumn id="3763" xr3:uid="{586E4137-3EE4-4660-80D3-935FAD78A749}" name="Column3739" dataDxfId="12646"/>
    <tableColumn id="3764" xr3:uid="{0119CE7D-F173-4BA0-BFD3-C5FE2C72F6CA}" name="Column3740" dataDxfId="12645"/>
    <tableColumn id="3765" xr3:uid="{E1B5DD0C-FA80-44CE-B244-E5460148B617}" name="Column3741" dataDxfId="12644"/>
    <tableColumn id="3766" xr3:uid="{E2D7C21F-71E0-4664-BFF6-D9193C6220B6}" name="Column3742" dataDxfId="12643"/>
    <tableColumn id="3767" xr3:uid="{2CCFF6F5-DB0B-4BE0-9F3F-1202B2839777}" name="Column3743" dataDxfId="12642"/>
    <tableColumn id="3768" xr3:uid="{2357E5BD-103B-4E0A-A7FC-E2A6B85E3711}" name="Column3744" dataDxfId="12641"/>
    <tableColumn id="3769" xr3:uid="{57B3ABF9-0CCE-47F7-AC05-BD7927338AAA}" name="Column3745" dataDxfId="12640"/>
    <tableColumn id="3770" xr3:uid="{68B9C9EF-7351-492C-AF2B-8708A0CB5CF7}" name="Column3746" dataDxfId="12639"/>
    <tableColumn id="3771" xr3:uid="{E63F3416-C1E6-4546-8222-701A937A9734}" name="Column3747" dataDxfId="12638"/>
    <tableColumn id="3772" xr3:uid="{D5E91456-7247-4052-AC08-99091A18F58D}" name="Column3748" dataDxfId="12637"/>
    <tableColumn id="3773" xr3:uid="{BCE6C585-23EA-4321-A55A-050AC62045AA}" name="Column3749" dataDxfId="12636"/>
    <tableColumn id="3774" xr3:uid="{AD260F52-D284-4863-A02A-846CB3E7400C}" name="Column3750" dataDxfId="12635"/>
    <tableColumn id="3775" xr3:uid="{C46E5D59-80ED-404F-A7E6-95324769484C}" name="Column3751" dataDxfId="12634"/>
    <tableColumn id="3776" xr3:uid="{BEDD6E6D-A4E2-4EFD-A3EA-A46A66624C40}" name="Column3752" dataDxfId="12633"/>
    <tableColumn id="3777" xr3:uid="{F500EF73-1505-48B5-AD02-E0343FEC7B22}" name="Column3753" dataDxfId="12632"/>
    <tableColumn id="3778" xr3:uid="{CB4C510A-D1EF-48BF-858E-0B51230B85D1}" name="Column3754" dataDxfId="12631"/>
    <tableColumn id="3779" xr3:uid="{638CC3A5-02CE-4B47-A8E8-4AEC7724355F}" name="Column3755" dataDxfId="12630"/>
    <tableColumn id="3780" xr3:uid="{0809020F-A0B6-4E8C-BF47-B394E20269ED}" name="Column3756" dataDxfId="12629"/>
    <tableColumn id="3781" xr3:uid="{C8C6285A-F3B8-4F7B-897B-A856844648B2}" name="Column3757" dataDxfId="12628"/>
    <tableColumn id="3782" xr3:uid="{903D0C72-4106-409A-B9B0-BDFF2956486C}" name="Column3758" dataDxfId="12627"/>
    <tableColumn id="3783" xr3:uid="{E32340E4-03E0-40C7-A0A6-FE5F589F89BC}" name="Column3759" dataDxfId="12626"/>
    <tableColumn id="3784" xr3:uid="{CE85FC48-C4F7-44AA-B419-2DEFCD5BB5C4}" name="Column3760" dataDxfId="12625"/>
    <tableColumn id="3785" xr3:uid="{6532A929-9BBB-4CBD-9CC3-85953AE53359}" name="Column3761" dataDxfId="12624"/>
    <tableColumn id="3786" xr3:uid="{935519B0-3ED0-4D90-B110-694829D3C815}" name="Column3762" dataDxfId="12623"/>
    <tableColumn id="3787" xr3:uid="{2B7D03EF-DD6F-4D70-87A4-5AAEF5A0701A}" name="Column3763" dataDxfId="12622"/>
    <tableColumn id="3788" xr3:uid="{C5B202A5-2EE0-498C-9F73-9B3B3677E789}" name="Column3764" dataDxfId="12621"/>
    <tableColumn id="3789" xr3:uid="{2AC4D511-D1FE-4327-B357-80336FC7415D}" name="Column3765" dataDxfId="12620"/>
    <tableColumn id="3790" xr3:uid="{CA162745-D62E-4B93-9514-8F846EF06B23}" name="Column3766" dataDxfId="12619"/>
    <tableColumn id="3791" xr3:uid="{35A1AA24-EFEC-4D34-BAF9-5F220057E44C}" name="Column3767" dataDxfId="12618"/>
    <tableColumn id="3792" xr3:uid="{5A89ADE8-CA67-4CE4-BD5D-12AC9AB33326}" name="Column3768" dataDxfId="12617"/>
    <tableColumn id="3793" xr3:uid="{5FB58936-FF1C-4453-85B0-83D88E560B87}" name="Column3769" dataDxfId="12616"/>
    <tableColumn id="3794" xr3:uid="{F1EE0D90-F096-424D-9983-D74DF8812273}" name="Column3770" dataDxfId="12615"/>
    <tableColumn id="3795" xr3:uid="{35C3543F-0216-482F-ACFA-99AFE74AAFB0}" name="Column3771" dataDxfId="12614"/>
    <tableColumn id="3796" xr3:uid="{0B8C932E-8F23-4CF3-A860-898AAB80707D}" name="Column3772" dataDxfId="12613"/>
    <tableColumn id="3797" xr3:uid="{8FFBE0E5-891F-4E44-B55C-392698FF1B54}" name="Column3773" dataDxfId="12612"/>
    <tableColumn id="3798" xr3:uid="{E4A1C096-6631-4161-93E1-324703316581}" name="Column3774" dataDxfId="12611"/>
    <tableColumn id="3799" xr3:uid="{E267BBFE-C0DE-4F0D-89B4-119698993E4B}" name="Column3775" dataDxfId="12610"/>
    <tableColumn id="3800" xr3:uid="{05CD0310-B376-45DB-ADD1-9352E1EC7EDF}" name="Column3776" dataDxfId="12609"/>
    <tableColumn id="3801" xr3:uid="{8D260325-3186-4A10-A38A-4B30340F477E}" name="Column3777" dataDxfId="12608"/>
    <tableColumn id="3802" xr3:uid="{3BA4701E-BE7C-42C7-96C9-0F0325831C37}" name="Column3778" dataDxfId="12607"/>
    <tableColumn id="3803" xr3:uid="{C3CE8C53-87C4-4EED-ACB4-7C1BCD4802D9}" name="Column3779" dataDxfId="12606"/>
    <tableColumn id="3804" xr3:uid="{1B99E73F-EB0C-4548-8509-DEEEA028FDD2}" name="Column3780" dataDxfId="12605"/>
    <tableColumn id="3805" xr3:uid="{727BE628-E122-4918-B9E2-F7E0B1B6AC11}" name="Column3781" dataDxfId="12604"/>
    <tableColumn id="3806" xr3:uid="{C3632584-3262-4F84-8607-462078C3D1C0}" name="Column3782" dataDxfId="12603"/>
    <tableColumn id="3807" xr3:uid="{E4F29D98-B6D8-4B45-9339-58FE49352787}" name="Column3783" dataDxfId="12602"/>
    <tableColumn id="3808" xr3:uid="{D6588158-BD76-4607-9C84-241C0ABED00B}" name="Column3784" dataDxfId="12601"/>
    <tableColumn id="3809" xr3:uid="{30A9112C-337F-4E8B-856F-2494DBA0FA59}" name="Column3785" dataDxfId="12600"/>
    <tableColumn id="3810" xr3:uid="{A0F55297-BAFD-420D-A293-4E576FCDBC41}" name="Column3786" dataDxfId="12599"/>
    <tableColumn id="3811" xr3:uid="{0D303FDE-77CB-4DD5-B454-1A9E9C0FE840}" name="Column3787" dataDxfId="12598"/>
    <tableColumn id="3812" xr3:uid="{81D042B8-2BB5-4098-B054-3567D03C845A}" name="Column3788" dataDxfId="12597"/>
    <tableColumn id="3813" xr3:uid="{C7E282D4-4EA2-4016-942D-3FADEAF8C625}" name="Column3789" dataDxfId="12596"/>
    <tableColumn id="3814" xr3:uid="{EFAF37AF-89F4-4CCB-9680-BE854B0DE211}" name="Column3790" dataDxfId="12595"/>
    <tableColumn id="3815" xr3:uid="{CFE87523-FF67-4458-81DC-E0C4368E0E80}" name="Column3791" dataDxfId="12594"/>
    <tableColumn id="3816" xr3:uid="{6EA00B96-C139-41DF-8743-B32529CD7399}" name="Column3792" dataDxfId="12593"/>
    <tableColumn id="3817" xr3:uid="{9F1EE803-5542-4DF3-92B9-6D79EAB57A11}" name="Column3793" dataDxfId="12592"/>
    <tableColumn id="3818" xr3:uid="{156BEE32-E2A2-48A4-A234-5890AB3BE099}" name="Column3794" dataDxfId="12591"/>
    <tableColumn id="3819" xr3:uid="{B26E07A5-ABA3-4A8F-A01F-4EF8705FABC5}" name="Column3795" dataDxfId="12590"/>
    <tableColumn id="3820" xr3:uid="{2E357842-5DAF-464D-8F69-DB292E0D495D}" name="Column3796" dataDxfId="12589"/>
    <tableColumn id="3821" xr3:uid="{47A8A77F-E420-4312-840F-61DE39BA9621}" name="Column3797" dataDxfId="12588"/>
    <tableColumn id="3822" xr3:uid="{34F06816-96CB-4632-83CE-DBA3627F7AEF}" name="Column3798" dataDxfId="12587"/>
    <tableColumn id="3823" xr3:uid="{EA66CA48-5B33-469B-A58E-DD8A142C22F3}" name="Column3799" dataDxfId="12586"/>
    <tableColumn id="3824" xr3:uid="{FAEEC7F7-AC16-4734-9DB5-EB29D07E0808}" name="Column3800" dataDxfId="12585"/>
    <tableColumn id="3825" xr3:uid="{2B5EB482-80D8-4BC4-BC48-93D4CCE9907F}" name="Column3801" dataDxfId="12584"/>
    <tableColumn id="3826" xr3:uid="{D4EDD3AA-7231-44D5-962A-46F3D2E5F7E8}" name="Column3802" dataDxfId="12583"/>
    <tableColumn id="3827" xr3:uid="{BB60F903-BA0A-4D61-96D6-FFD8FE24F2A8}" name="Column3803" dataDxfId="12582"/>
    <tableColumn id="3828" xr3:uid="{8B31ECE2-7694-4228-A2FA-74DBE1193BF1}" name="Column3804" dataDxfId="12581"/>
    <tableColumn id="3829" xr3:uid="{5746323A-BA05-4D4A-9B20-30FF47DACC81}" name="Column3805" dataDxfId="12580"/>
    <tableColumn id="3830" xr3:uid="{748A8EF6-2E9A-4B9E-BE64-B59E504BABB5}" name="Column3806" dataDxfId="12579"/>
    <tableColumn id="3831" xr3:uid="{8E900BD1-67BC-46D2-9833-025E62445E27}" name="Column3807" dataDxfId="12578"/>
    <tableColumn id="3832" xr3:uid="{509B7D96-A1CB-4377-BDE9-8A16E36F20D4}" name="Column3808" dataDxfId="12577"/>
    <tableColumn id="3833" xr3:uid="{EEF2F7EB-7788-496F-9DFC-3E5E23B661E8}" name="Column3809" dataDxfId="12576"/>
    <tableColumn id="3834" xr3:uid="{0A7AF489-8CEA-461C-9138-2B531CE4B48F}" name="Column3810" dataDxfId="12575"/>
    <tableColumn id="3835" xr3:uid="{9DACD8A4-16C2-4576-AF8C-B1118DC8B220}" name="Column3811" dataDxfId="12574"/>
    <tableColumn id="3836" xr3:uid="{5915864D-B4BF-463B-BCBC-DBB0A0F39533}" name="Column3812" dataDxfId="12573"/>
    <tableColumn id="3837" xr3:uid="{71517BB4-7B1D-4567-B2F9-9C9DE1744FA8}" name="Column3813" dataDxfId="12572"/>
    <tableColumn id="3838" xr3:uid="{11CBAF00-321F-4DB8-AD64-67448F02CA92}" name="Column3814" dataDxfId="12571"/>
    <tableColumn id="3839" xr3:uid="{2E1D7E39-AA53-45CE-972E-0BE0E141A0B5}" name="Column3815" dataDxfId="12570"/>
    <tableColumn id="3840" xr3:uid="{5396058E-528D-4C5E-86BD-B1994D50B6EE}" name="Column3816" dataDxfId="12569"/>
    <tableColumn id="3841" xr3:uid="{EE5E458A-EAEF-447C-AD7F-342295AAD2EF}" name="Column3817" dataDxfId="12568"/>
    <tableColumn id="3842" xr3:uid="{E7608234-1209-41D2-9889-1EC245A7D016}" name="Column3818" dataDxfId="12567"/>
    <tableColumn id="3843" xr3:uid="{A5C40683-14E7-4716-AE98-77722570C342}" name="Column3819" dataDxfId="12566"/>
    <tableColumn id="3844" xr3:uid="{2D592785-9F15-420F-93AF-A09F5515C650}" name="Column3820" dataDxfId="12565"/>
    <tableColumn id="3845" xr3:uid="{91C173EF-AD73-439C-AE9F-3A094BAC79A1}" name="Column3821" dataDxfId="12564"/>
    <tableColumn id="3846" xr3:uid="{C5BAB1CC-54F0-4A03-B2B8-DDE3E0864A16}" name="Column3822" dataDxfId="12563"/>
    <tableColumn id="3847" xr3:uid="{06C99C5C-F2BA-4CD9-A6D0-2452EB92C7DF}" name="Column3823" dataDxfId="12562"/>
    <tableColumn id="3848" xr3:uid="{7696B5B1-3A5C-42AF-8D65-E2E52AFBBE7D}" name="Column3824" dataDxfId="12561"/>
    <tableColumn id="3849" xr3:uid="{BD729FDE-2B99-4BCC-B89E-C460C6A71D62}" name="Column3825" dataDxfId="12560"/>
    <tableColumn id="3850" xr3:uid="{0BF12C27-2BB8-4893-9BEE-B9F177391A02}" name="Column3826" dataDxfId="12559"/>
    <tableColumn id="3851" xr3:uid="{72E52660-E660-4E4B-A16F-648B03CA3CA2}" name="Column3827" dataDxfId="12558"/>
    <tableColumn id="3852" xr3:uid="{736770ED-AB21-4E34-8F71-209AE10F571B}" name="Column3828" dataDxfId="12557"/>
    <tableColumn id="3853" xr3:uid="{0D408CDF-A4B9-45CA-8FF1-2E0D59EAAF94}" name="Column3829" dataDxfId="12556"/>
    <tableColumn id="3854" xr3:uid="{DE260FF2-D082-4EEF-BFED-9B71F448335E}" name="Column3830" dataDxfId="12555"/>
    <tableColumn id="3855" xr3:uid="{D0C0A228-0A70-4E6E-A16E-BF6691122E44}" name="Column3831" dataDxfId="12554"/>
    <tableColumn id="3856" xr3:uid="{2ED7F394-7FF7-43BA-B777-61B05E87FE73}" name="Column3832" dataDxfId="12553"/>
    <tableColumn id="3857" xr3:uid="{6BD9135F-55BD-49FF-99EF-1FCFC589B515}" name="Column3833" dataDxfId="12552"/>
    <tableColumn id="3858" xr3:uid="{D2398743-84FC-4C6D-8C53-FCE50D19DA01}" name="Column3834" dataDxfId="12551"/>
    <tableColumn id="3859" xr3:uid="{2A1C8EF8-4CEC-4FC7-B1D9-5B8F0E2D984F}" name="Column3835" dataDxfId="12550"/>
    <tableColumn id="3860" xr3:uid="{30122ED0-FAA8-46BB-A176-DCB63CDC7B01}" name="Column3836" dataDxfId="12549"/>
    <tableColumn id="3861" xr3:uid="{31AAEE5A-D713-4E08-8D4A-07396CB40977}" name="Column3837" dataDxfId="12548"/>
    <tableColumn id="3862" xr3:uid="{27B8357A-7E39-4A99-8845-E4C62E3F1A1E}" name="Column3838" dataDxfId="12547"/>
    <tableColumn id="3863" xr3:uid="{3A822294-B5B9-48D9-9028-2E9233149F63}" name="Column3839" dataDxfId="12546"/>
    <tableColumn id="3864" xr3:uid="{D1031ADB-B0D4-453D-9DDB-9CC94D4137CB}" name="Column3840" dataDxfId="12545"/>
    <tableColumn id="3865" xr3:uid="{DDD13BFB-53FE-43DD-8D58-3824390B252B}" name="Column3841" dataDxfId="12544"/>
    <tableColumn id="3866" xr3:uid="{AB1EF82D-009A-492F-9562-542C76DC6D30}" name="Column3842" dataDxfId="12543"/>
    <tableColumn id="3867" xr3:uid="{424A6F63-6A64-4BD8-9DAC-8EE17A62DCF4}" name="Column3843" dataDxfId="12542"/>
    <tableColumn id="3868" xr3:uid="{7A6D8EF2-19BA-4112-88EB-E682301E4D5F}" name="Column3844" dataDxfId="12541"/>
    <tableColumn id="3869" xr3:uid="{46EF1000-EFBF-4610-B7E9-89E7BEA38639}" name="Column3845" dataDxfId="12540"/>
    <tableColumn id="3870" xr3:uid="{7C0DE417-B364-443A-909A-947AFD15F821}" name="Column3846" dataDxfId="12539"/>
    <tableColumn id="3871" xr3:uid="{0F787F92-ACD4-47E3-A225-A8400958FF04}" name="Column3847" dataDxfId="12538"/>
    <tableColumn id="3872" xr3:uid="{9964C8AB-4EC2-4C83-8DB4-1A660FEFB3C2}" name="Column3848" dataDxfId="12537"/>
    <tableColumn id="3873" xr3:uid="{2FAEA7D9-FB6F-4D98-8990-519A8A0DF53B}" name="Column3849" dataDxfId="12536"/>
    <tableColumn id="3874" xr3:uid="{BE9CD9C3-3E53-4F3A-958D-14B22611B1EE}" name="Column3850" dataDxfId="12535"/>
    <tableColumn id="3875" xr3:uid="{7E029637-24D5-4BA7-BC36-7C4F258BF34B}" name="Column3851" dataDxfId="12534"/>
    <tableColumn id="3876" xr3:uid="{46CEF8A1-6BCB-431A-80EC-256488103C64}" name="Column3852" dataDxfId="12533"/>
    <tableColumn id="3877" xr3:uid="{3409DD2C-47D5-4CB6-80A2-FF5A6E8C7EC4}" name="Column3853" dataDxfId="12532"/>
    <tableColumn id="3878" xr3:uid="{4559C93C-C832-48E1-BC21-46F6F53D125E}" name="Column3854" dataDxfId="12531"/>
    <tableColumn id="3879" xr3:uid="{92FCB7FA-6280-4AB5-89E0-D20D80495C29}" name="Column3855" dataDxfId="12530"/>
    <tableColumn id="3880" xr3:uid="{CADC931B-1F11-46F9-A44B-4E23AC69AF13}" name="Column3856" dataDxfId="12529"/>
    <tableColumn id="3881" xr3:uid="{34810067-328F-42A6-B5A4-E07D46386F40}" name="Column3857" dataDxfId="12528"/>
    <tableColumn id="3882" xr3:uid="{9A7DEE0F-CBE8-4CA3-95E3-DAABA5F528A6}" name="Column3858" dataDxfId="12527"/>
    <tableColumn id="3883" xr3:uid="{46073FF3-6A54-437B-8DD1-E4F9BDC7A672}" name="Column3859" dataDxfId="12526"/>
    <tableColumn id="3884" xr3:uid="{56C97F80-D53D-4C50-92D5-38ABD67F794E}" name="Column3860" dataDxfId="12525"/>
    <tableColumn id="3885" xr3:uid="{5E6E8683-E0E4-42DB-B7A6-78E5583ADF60}" name="Column3861" dataDxfId="12524"/>
    <tableColumn id="3886" xr3:uid="{959B3227-081E-47AD-8BA3-000548754979}" name="Column3862" dataDxfId="12523"/>
    <tableColumn id="3887" xr3:uid="{E2F56D1A-A40D-4322-9EAC-928AB9123B02}" name="Column3863" dataDxfId="12522"/>
    <tableColumn id="3888" xr3:uid="{B1E8971B-5F0F-4BE7-ACF1-C23AAEC9CA7D}" name="Column3864" dataDxfId="12521"/>
    <tableColumn id="3889" xr3:uid="{67A780A5-3C30-45FE-B936-95722E5B654E}" name="Column3865" dataDxfId="12520"/>
    <tableColumn id="3890" xr3:uid="{1ECE27EA-3CE3-4BAF-9FC3-CFBF2CD4B95A}" name="Column3866" dataDxfId="12519"/>
    <tableColumn id="3891" xr3:uid="{77BEBB74-B03E-41ED-AAD6-B96CEB3BE743}" name="Column3867" dataDxfId="12518"/>
    <tableColumn id="3892" xr3:uid="{5503970F-27F2-41E0-8A2F-52B5F43CFD6E}" name="Column3868" dataDxfId="12517"/>
    <tableColumn id="3893" xr3:uid="{B8F47E78-64C7-4E72-A05F-8D6BB8BBA1AD}" name="Column3869" dataDxfId="12516"/>
    <tableColumn id="3894" xr3:uid="{0E7A0581-E235-4A14-BDD3-C6760C1A5842}" name="Column3870" dataDxfId="12515"/>
    <tableColumn id="3895" xr3:uid="{58357B12-A39E-4364-A9C4-E91C81C69473}" name="Column3871" dataDxfId="12514"/>
    <tableColumn id="3896" xr3:uid="{D79D17F7-9DCE-412F-BEB0-93181AB414D4}" name="Column3872" dataDxfId="12513"/>
    <tableColumn id="3897" xr3:uid="{57D4A94B-BE13-44A8-B1A9-47E2EB734E13}" name="Column3873" dataDxfId="12512"/>
    <tableColumn id="3898" xr3:uid="{939BFE2F-E210-4B7A-AA51-A5784CAEFCD5}" name="Column3874" dataDxfId="12511"/>
    <tableColumn id="3899" xr3:uid="{EF91D343-6873-4F6B-B19C-66B05D4E382A}" name="Column3875" dataDxfId="12510"/>
    <tableColumn id="3900" xr3:uid="{53423BC1-AFFC-4802-8A84-B4B7D011EEEC}" name="Column3876" dataDxfId="12509"/>
    <tableColumn id="3901" xr3:uid="{4E66017D-6F90-45E0-A127-418BD1B2E339}" name="Column3877" dataDxfId="12508"/>
    <tableColumn id="3902" xr3:uid="{D63452C5-1B46-4F68-9E6F-86E3BEDAD7AA}" name="Column3878" dataDxfId="12507"/>
    <tableColumn id="3903" xr3:uid="{A9BB5A40-ED42-4CB0-ABE3-855E32F46376}" name="Column3879" dataDxfId="12506"/>
    <tableColumn id="3904" xr3:uid="{C1423B7E-DBE0-4DC0-87F3-194E3372ED20}" name="Column3880" dataDxfId="12505"/>
    <tableColumn id="3905" xr3:uid="{E98235F0-06D6-421F-ADE0-95EC26A1BDB2}" name="Column3881" dataDxfId="12504"/>
    <tableColumn id="3906" xr3:uid="{B1373C6C-311D-4D30-A255-3E3480EE5663}" name="Column3882" dataDxfId="12503"/>
    <tableColumn id="3907" xr3:uid="{9AE3DD50-8BD0-470B-9C74-35B17D96F3FE}" name="Column3883" dataDxfId="12502"/>
    <tableColumn id="3908" xr3:uid="{865D12AC-BBE7-4E95-A603-6127FAF4A99D}" name="Column3884" dataDxfId="12501"/>
    <tableColumn id="3909" xr3:uid="{DDDF078E-DD39-4AF7-9E96-E5F41B2B09E3}" name="Column3885" dataDxfId="12500"/>
    <tableColumn id="3910" xr3:uid="{207B93FF-3524-450E-9ED2-576A3EC83378}" name="Column3886" dataDxfId="12499"/>
    <tableColumn id="3911" xr3:uid="{092598C1-0673-43C0-9AC1-B1D3F408A291}" name="Column3887" dataDxfId="12498"/>
    <tableColumn id="3912" xr3:uid="{F637662F-D85E-465D-9BB6-7D8E041C1F1C}" name="Column3888" dataDxfId="12497"/>
    <tableColumn id="3913" xr3:uid="{E6A78856-0D17-4193-9856-ADB5EF6651FA}" name="Column3889" dataDxfId="12496"/>
    <tableColumn id="3914" xr3:uid="{853ECACC-8D44-4EB0-AE17-5C85DFB16C94}" name="Column3890" dataDxfId="12495"/>
    <tableColumn id="3915" xr3:uid="{B513AF44-C04E-43DC-BEC1-218BE9A7DE1A}" name="Column3891" dataDxfId="12494"/>
    <tableColumn id="3916" xr3:uid="{7541E9AD-84DB-4B75-AA12-D2263F387DBD}" name="Column3892" dataDxfId="12493"/>
    <tableColumn id="3917" xr3:uid="{8811CFFD-C2C1-4E6D-986C-30F9691E35D3}" name="Column3893" dataDxfId="12492"/>
    <tableColumn id="3918" xr3:uid="{9711E397-2CC2-419D-B3D8-73DBC2A29B81}" name="Column3894" dataDxfId="12491"/>
    <tableColumn id="3919" xr3:uid="{21378106-962B-48EA-BFFF-2C1DD537187C}" name="Column3895" dataDxfId="12490"/>
    <tableColumn id="3920" xr3:uid="{91F9EB31-EDD9-4E75-9763-AA81F99AB309}" name="Column3896" dataDxfId="12489"/>
    <tableColumn id="3921" xr3:uid="{0F66A9F8-3708-43A2-89BA-585F553AC118}" name="Column3897" dataDxfId="12488"/>
    <tableColumn id="3922" xr3:uid="{F33725BC-3DC4-453B-8E36-F3EAABB66660}" name="Column3898" dataDxfId="12487"/>
    <tableColumn id="3923" xr3:uid="{83F8709F-5A1F-4CA0-8BA8-A0FC976B4314}" name="Column3899" dataDxfId="12486"/>
    <tableColumn id="3924" xr3:uid="{B1896BFE-A466-48E6-85A7-44AE62B6CA50}" name="Column3900" dataDxfId="12485"/>
    <tableColumn id="3925" xr3:uid="{378D8916-572F-4F43-9E55-24900A5174E0}" name="Column3901" dataDxfId="12484"/>
    <tableColumn id="3926" xr3:uid="{53B50928-08C9-4BCD-821E-532094526B2B}" name="Column3902" dataDxfId="12483"/>
    <tableColumn id="3927" xr3:uid="{97DE2C28-5939-4F7C-9642-64338AEA3F80}" name="Column3903" dataDxfId="12482"/>
    <tableColumn id="3928" xr3:uid="{72459A8F-D87D-411F-A66C-385DBE8CF1C9}" name="Column3904" dataDxfId="12481"/>
    <tableColumn id="3929" xr3:uid="{84845849-83C4-4630-9E95-31ADA8D71DBF}" name="Column3905" dataDxfId="12480"/>
    <tableColumn id="3930" xr3:uid="{F16D41A1-CE3E-4092-BD65-38AD517C3145}" name="Column3906" dataDxfId="12479"/>
    <tableColumn id="3931" xr3:uid="{3511387A-BBF6-4AD0-85D4-6F2A848FCFFE}" name="Column3907" dataDxfId="12478"/>
    <tableColumn id="3932" xr3:uid="{2D22F453-E19D-4E40-8DF8-3DE4BE85C860}" name="Column3908" dataDxfId="12477"/>
    <tableColumn id="3933" xr3:uid="{12DE5036-B765-4104-A71C-317F7D6E08C2}" name="Column3909" dataDxfId="12476"/>
    <tableColumn id="3934" xr3:uid="{9E4881DE-035C-4C40-8FBD-1AE3176B86D9}" name="Column3910" dataDxfId="12475"/>
    <tableColumn id="3935" xr3:uid="{08B3F8D5-0489-4651-9459-B9060EFAB0C3}" name="Column3911" dataDxfId="12474"/>
    <tableColumn id="3936" xr3:uid="{68DAF6A5-BF2C-4732-A160-8AD553C15F3A}" name="Column3912" dataDxfId="12473"/>
    <tableColumn id="3937" xr3:uid="{424F7AD1-7D6E-44C0-AF4F-9DE826EF6964}" name="Column3913" dataDxfId="12472"/>
    <tableColumn id="3938" xr3:uid="{6D1C75D5-A568-4ADC-8A14-7C370DF21DAC}" name="Column3914" dataDxfId="12471"/>
    <tableColumn id="3939" xr3:uid="{8D7A5E44-8CB7-48D7-BA6A-752B53FD4939}" name="Column3915" dataDxfId="12470"/>
    <tableColumn id="3940" xr3:uid="{76CFBA8E-F5C5-40AE-869E-1ECBFF9F097B}" name="Column3916" dataDxfId="12469"/>
    <tableColumn id="3941" xr3:uid="{0DC6CF95-5E4E-4D7E-9616-E6533250C5FA}" name="Column3917" dataDxfId="12468"/>
    <tableColumn id="3942" xr3:uid="{0EF74754-A0C7-474C-A8F3-490F42A00AE6}" name="Column3918" dataDxfId="12467"/>
    <tableColumn id="3943" xr3:uid="{E5E1B25F-BE39-4B93-B957-2DD189717A71}" name="Column3919" dataDxfId="12466"/>
    <tableColumn id="3944" xr3:uid="{B63922D2-8B9C-4255-BEC5-96C1DBE0D6BE}" name="Column3920" dataDxfId="12465"/>
    <tableColumn id="3945" xr3:uid="{CEB22811-B959-4818-9DD6-D952FBEDFB94}" name="Column3921" dataDxfId="12464"/>
    <tableColumn id="3946" xr3:uid="{EF339774-98BA-48DF-AC3A-14AB84C4EF2E}" name="Column3922" dataDxfId="12463"/>
    <tableColumn id="3947" xr3:uid="{4355B514-9FBD-4B85-A645-9E3557D03E77}" name="Column3923" dataDxfId="12462"/>
    <tableColumn id="3948" xr3:uid="{1A8F23F3-9E8A-420C-9B1F-0DCD7B48FDCE}" name="Column3924" dataDxfId="12461"/>
    <tableColumn id="3949" xr3:uid="{E3A88EA2-55B2-43DC-AE42-6694B94BB653}" name="Column3925" dataDxfId="12460"/>
    <tableColumn id="3950" xr3:uid="{A1CCB616-21EB-4877-AEE4-6705A372BC6A}" name="Column3926" dataDxfId="12459"/>
    <tableColumn id="3951" xr3:uid="{C1C19B93-3958-479D-A429-EE27FB0964D5}" name="Column3927" dataDxfId="12458"/>
    <tableColumn id="3952" xr3:uid="{4314F426-412F-4CCA-8492-153329702DA2}" name="Column3928" dataDxfId="12457"/>
    <tableColumn id="3953" xr3:uid="{C7A4CB4D-F795-4D2E-8D99-619F99D6EDAB}" name="Column3929" dataDxfId="12456"/>
    <tableColumn id="3954" xr3:uid="{7B642B8F-854D-4A13-BAE8-7310AAD4B4F6}" name="Column3930" dataDxfId="12455"/>
    <tableColumn id="3955" xr3:uid="{2C98BF8B-6A7A-4B01-9642-7E5CCA324BBF}" name="Column3931" dataDxfId="12454"/>
    <tableColumn id="3956" xr3:uid="{09B3DC43-6AFE-45AA-ACDB-BBC12B7F39C6}" name="Column3932" dataDxfId="12453"/>
    <tableColumn id="3957" xr3:uid="{F5B3F3AE-C468-4767-BCEF-B7A30F0CAB5C}" name="Column3933" dataDxfId="12452"/>
    <tableColumn id="3958" xr3:uid="{08FC3456-9F34-4FAE-8C87-2E51FEE79CC5}" name="Column3934" dataDxfId="12451"/>
    <tableColumn id="3959" xr3:uid="{F75B09A5-D12C-4141-86C2-EB7C22B2A57D}" name="Column3935" dataDxfId="12450"/>
    <tableColumn id="3960" xr3:uid="{5D4630B2-A2FA-4376-AED6-6856981DA4E2}" name="Column3936" dataDxfId="12449"/>
    <tableColumn id="3961" xr3:uid="{018AAF58-50C1-47E3-A130-7CACF70BCB42}" name="Column3937" dataDxfId="12448"/>
    <tableColumn id="3962" xr3:uid="{0BDCAC72-D329-419D-B416-3C728B99E812}" name="Column3938" dataDxfId="12447"/>
    <tableColumn id="3963" xr3:uid="{5C575C82-1A17-4C48-88C6-D415D0DE8CD3}" name="Column3939" dataDxfId="12446"/>
    <tableColumn id="3964" xr3:uid="{B416A389-F1CF-4A83-8E99-48F2340A75C5}" name="Column3940" dataDxfId="12445"/>
    <tableColumn id="3965" xr3:uid="{E02E3758-84D4-405E-8846-B21E1D002797}" name="Column3941" dataDxfId="12444"/>
    <tableColumn id="3966" xr3:uid="{C1B45CD2-0217-4567-A179-4F77982ACA29}" name="Column3942" dataDxfId="12443"/>
    <tableColumn id="3967" xr3:uid="{AFBDFB5B-828A-4BAD-8F6E-0B05FE4AA838}" name="Column3943" dataDxfId="12442"/>
    <tableColumn id="3968" xr3:uid="{11D5825E-C7CD-4FB6-A760-59F32BC4E301}" name="Column3944" dataDxfId="12441"/>
    <tableColumn id="3969" xr3:uid="{FA67EA4B-DD10-43F3-A365-9BB13EC447D7}" name="Column3945" dataDxfId="12440"/>
    <tableColumn id="3970" xr3:uid="{31D4D7DF-D0DC-47AF-998B-B1EAE214018D}" name="Column3946" dataDxfId="12439"/>
    <tableColumn id="3971" xr3:uid="{C9E8AB68-FAC3-4035-9AA5-E0D443D2541B}" name="Column3947" dataDxfId="12438"/>
    <tableColumn id="3972" xr3:uid="{FF9014F8-4E41-479A-8A7B-8C4337B56DD8}" name="Column3948" dataDxfId="12437"/>
    <tableColumn id="3973" xr3:uid="{702C643A-C641-4E4F-B7DD-05EC9B166A74}" name="Column3949" dataDxfId="12436"/>
    <tableColumn id="3974" xr3:uid="{0C7E5E0E-8EDB-47A1-90AE-81C103665530}" name="Column3950" dataDxfId="12435"/>
    <tableColumn id="3975" xr3:uid="{45569C92-05C1-41A4-B522-4F06715D3BD2}" name="Column3951" dataDxfId="12434"/>
    <tableColumn id="3976" xr3:uid="{C1CFBA70-DA5F-4A04-AC7F-E0EEA6A597F7}" name="Column3952" dataDxfId="12433"/>
    <tableColumn id="3977" xr3:uid="{31D86CC1-F0A7-4964-946C-348F6082B348}" name="Column3953" dataDxfId="12432"/>
    <tableColumn id="3978" xr3:uid="{64FD57D1-E2D3-4385-8C42-AE812055EE38}" name="Column3954" dataDxfId="12431"/>
    <tableColumn id="3979" xr3:uid="{8C1B2884-4FA5-4AD3-B4B4-6D8147483EF8}" name="Column3955" dataDxfId="12430"/>
    <tableColumn id="3980" xr3:uid="{DB06C6E4-FC5C-49BF-857D-5D8F23A7365C}" name="Column3956" dataDxfId="12429"/>
    <tableColumn id="3981" xr3:uid="{C92E185E-1635-4B3A-B5B2-AF34F319DC11}" name="Column3957" dataDxfId="12428"/>
    <tableColumn id="3982" xr3:uid="{CB767060-53D5-4685-B883-FBACD9101E67}" name="Column3958" dataDxfId="12427"/>
    <tableColumn id="3983" xr3:uid="{55E0CAF9-AF94-4728-8425-F816CC066520}" name="Column3959" dataDxfId="12426"/>
    <tableColumn id="3984" xr3:uid="{3D4F023E-EC0E-4D61-AA1B-201ABB1DF3DB}" name="Column3960" dataDxfId="12425"/>
    <tableColumn id="3985" xr3:uid="{287E8E0C-6059-4005-94CE-1CD6D0382621}" name="Column3961" dataDxfId="12424"/>
    <tableColumn id="3986" xr3:uid="{5AFB0D4C-00AD-4456-A5D5-5C79C8E5E431}" name="Column3962" dataDxfId="12423"/>
    <tableColumn id="3987" xr3:uid="{B3C9BD20-01C7-4EA0-95E5-5E3D409357BE}" name="Column3963" dataDxfId="12422"/>
    <tableColumn id="3988" xr3:uid="{A7941364-874D-445D-9924-0FE167A98BDC}" name="Column3964" dataDxfId="12421"/>
    <tableColumn id="3989" xr3:uid="{E0C63D20-6941-477D-9F9C-E92C78102C52}" name="Column3965" dataDxfId="12420"/>
    <tableColumn id="3990" xr3:uid="{AF294ECA-E75D-4BE7-AC99-E3B1B3E83776}" name="Column3966" dataDxfId="12419"/>
    <tableColumn id="3991" xr3:uid="{CA06B172-C115-47D5-B09E-7DCC4F78E559}" name="Column3967" dataDxfId="12418"/>
    <tableColumn id="3992" xr3:uid="{DB505BB5-0AAF-43B0-A6CC-CF09BB17DA43}" name="Column3968" dataDxfId="12417"/>
    <tableColumn id="3993" xr3:uid="{9586EB1E-5CD3-40D9-83C3-021A037BED1F}" name="Column3969" dataDxfId="12416"/>
    <tableColumn id="3994" xr3:uid="{3908FBAC-F411-4DAC-9114-00CC7D5CA6C8}" name="Column3970" dataDxfId="12415"/>
    <tableColumn id="3995" xr3:uid="{C52209EA-C8E1-41F9-AA85-84A4649B5A1D}" name="Column3971" dataDxfId="12414"/>
    <tableColumn id="3996" xr3:uid="{395B2A2A-694F-4956-AB81-83D8B0A00883}" name="Column3972" dataDxfId="12413"/>
    <tableColumn id="3997" xr3:uid="{B9EB64F9-6DBE-4938-8B28-7029E7857672}" name="Column3973" dataDxfId="12412"/>
    <tableColumn id="3998" xr3:uid="{705CC650-A0A6-40E4-ACE6-F9A1F9C8DF9B}" name="Column3974" dataDxfId="12411"/>
    <tableColumn id="3999" xr3:uid="{64A4AB58-1D42-4370-969B-4D6BE67AA85A}" name="Column3975" dataDxfId="12410"/>
    <tableColumn id="4000" xr3:uid="{058A1A68-2303-444E-B9D5-95389CE98750}" name="Column3976" dataDxfId="12409"/>
    <tableColumn id="4001" xr3:uid="{A9A9936C-11FD-4E9C-82A7-047AAC71A82C}" name="Column3977" dataDxfId="12408"/>
    <tableColumn id="4002" xr3:uid="{A04B2B7F-1D06-4787-93AC-C9A0462DD0EF}" name="Column3978" dataDxfId="12407"/>
    <tableColumn id="4003" xr3:uid="{959F7C90-0A30-4757-A914-1E4BE5176832}" name="Column3979" dataDxfId="12406"/>
    <tableColumn id="4004" xr3:uid="{D0ED4212-9DE9-4DB9-AAC8-5CECF310E265}" name="Column3980" dataDxfId="12405"/>
    <tableColumn id="4005" xr3:uid="{7BF3BB27-BECE-449F-8941-9E3B1E830D8B}" name="Column3981" dataDxfId="12404"/>
    <tableColumn id="4006" xr3:uid="{E3EC559C-BE04-4FB5-B0F7-8C1F1A6C353E}" name="Column3982" dataDxfId="12403"/>
    <tableColumn id="4007" xr3:uid="{A7B14C97-A4D2-4C1C-A510-2B375ED464E4}" name="Column3983" dataDxfId="12402"/>
    <tableColumn id="4008" xr3:uid="{113D5BBC-52A3-4132-B3D5-725F04C673A9}" name="Column3984" dataDxfId="12401"/>
    <tableColumn id="4009" xr3:uid="{B2B091E0-F147-48FB-AE11-F0E40BBAFFE6}" name="Column3985" dataDxfId="12400"/>
    <tableColumn id="4010" xr3:uid="{C8D0C7CC-38E2-4642-B6A5-A8D6D2F9AAEB}" name="Column3986" dataDxfId="12399"/>
    <tableColumn id="4011" xr3:uid="{B3CEF287-B9A2-46B2-B712-B03A9FD69E3F}" name="Column3987" dataDxfId="12398"/>
    <tableColumn id="4012" xr3:uid="{0B74A056-1FF6-4665-AE83-73C729A7C9AA}" name="Column3988" dataDxfId="12397"/>
    <tableColumn id="4013" xr3:uid="{A9579776-DBD2-4CE0-A649-9F432047669F}" name="Column3989" dataDxfId="12396"/>
    <tableColumn id="4014" xr3:uid="{CBE98654-36D3-4F17-AF0A-BD35D0886518}" name="Column3990" dataDxfId="12395"/>
    <tableColumn id="4015" xr3:uid="{A4DFBECC-457D-452C-8910-B6A30D85FF02}" name="Column3991" dataDxfId="12394"/>
    <tableColumn id="4016" xr3:uid="{326E9587-7872-4F50-8A83-CBB9B6CF29E9}" name="Column3992" dataDxfId="12393"/>
    <tableColumn id="4017" xr3:uid="{422AD1E6-3CFE-4016-806E-4AEBC6C60ED1}" name="Column3993" dataDxfId="12392"/>
    <tableColumn id="4018" xr3:uid="{9C9D3393-E67D-4FC4-88E6-CFADDAD08168}" name="Column3994" dataDxfId="12391"/>
    <tableColumn id="4019" xr3:uid="{993522E5-0DD4-4337-AAB4-078614456700}" name="Column3995" dataDxfId="12390"/>
    <tableColumn id="4020" xr3:uid="{DBC1C785-3571-453A-AC2F-2CCAA459B433}" name="Column3996" dataDxfId="12389"/>
    <tableColumn id="4021" xr3:uid="{E1FF0BB6-8E2F-4AB9-9C22-2A19870B6868}" name="Column3997" dataDxfId="12388"/>
    <tableColumn id="4022" xr3:uid="{D0AF50B8-2749-44EC-8741-F5BB3E3F7C3D}" name="Column3998" dataDxfId="12387"/>
    <tableColumn id="4023" xr3:uid="{B279D9F7-02CA-4B53-9FB5-3144C86D54A7}" name="Column3999" dataDxfId="12386"/>
    <tableColumn id="4024" xr3:uid="{514C402A-2696-42C4-9E8A-A215C364E74A}" name="Column4000" dataDxfId="12385"/>
    <tableColumn id="4025" xr3:uid="{1CE60A47-D1A4-4EE6-A0D1-8EE972ECC8D1}" name="Column4001" dataDxfId="12384"/>
    <tableColumn id="4026" xr3:uid="{0B36EE2C-D73F-49CA-B22B-8CB99A93F644}" name="Column4002" dataDxfId="12383"/>
    <tableColumn id="4027" xr3:uid="{3311588E-2E46-4F94-A9AA-17623E1DF751}" name="Column4003" dataDxfId="12382"/>
    <tableColumn id="4028" xr3:uid="{5E42C3C6-997E-4AAD-BEB0-15E970500F84}" name="Column4004" dataDxfId="12381"/>
    <tableColumn id="4029" xr3:uid="{1E4F7533-80E9-4886-9B9F-C1DB8781EAC1}" name="Column4005" dataDxfId="12380"/>
    <tableColumn id="4030" xr3:uid="{1267F9BF-25DA-409F-8D97-693407514AA4}" name="Column4006" dataDxfId="12379"/>
    <tableColumn id="4031" xr3:uid="{71BC73BB-BDBD-4DF5-808E-88DA6B52896E}" name="Column4007" dataDxfId="12378"/>
    <tableColumn id="4032" xr3:uid="{2992E1CD-1CD2-4A2E-81D5-964CD095A5EA}" name="Column4008" dataDxfId="12377"/>
    <tableColumn id="4033" xr3:uid="{4F67EBEB-4AAD-45AC-AEC9-B35F987F0A5C}" name="Column4009" dataDxfId="12376"/>
    <tableColumn id="4034" xr3:uid="{D56AD758-CEF8-44C0-9879-69F65F17588A}" name="Column4010" dataDxfId="12375"/>
    <tableColumn id="4035" xr3:uid="{23368C8A-F5EE-40FB-8663-3D17F1F33411}" name="Column4011" dataDxfId="12374"/>
    <tableColumn id="4036" xr3:uid="{CE558120-3856-460E-A317-9E0319850C2C}" name="Column4012" dataDxfId="12373"/>
    <tableColumn id="4037" xr3:uid="{30B4E0F3-0EBF-4502-A896-5F3B7D1DB51B}" name="Column4013" dataDxfId="12372"/>
    <tableColumn id="4038" xr3:uid="{61954016-D250-4272-BA94-860F727E6315}" name="Column4014" dataDxfId="12371"/>
    <tableColumn id="4039" xr3:uid="{78AB229F-6014-4391-8C0F-70415DD35DCA}" name="Column4015" dataDxfId="12370"/>
    <tableColumn id="4040" xr3:uid="{C13AA5BE-553A-45D2-945C-F93B046F3958}" name="Column4016" dataDxfId="12369"/>
    <tableColumn id="4041" xr3:uid="{D4D8F661-0A6B-45AE-BB78-32EB3C9C4682}" name="Column4017" dataDxfId="12368"/>
    <tableColumn id="4042" xr3:uid="{383D7C6D-BD95-4D33-B514-D01C3D4E2F6B}" name="Column4018" dataDxfId="12367"/>
    <tableColumn id="4043" xr3:uid="{D59B3234-D7F9-4A8B-9DBE-3E1D59E1E3AB}" name="Column4019" dataDxfId="12366"/>
    <tableColumn id="4044" xr3:uid="{0B8B57E6-ACFE-482C-80DC-0898CF138888}" name="Column4020" dataDxfId="12365"/>
    <tableColumn id="4045" xr3:uid="{DCFF524E-F3EB-4987-8220-D674410E184A}" name="Column4021" dataDxfId="12364"/>
    <tableColumn id="4046" xr3:uid="{A59A2062-E34A-4DBB-BED0-F04E1A2A7FE9}" name="Column4022" dataDxfId="12363"/>
    <tableColumn id="4047" xr3:uid="{A2DE68B7-325D-40B1-A38C-F7ECE701FA83}" name="Column4023" dataDxfId="12362"/>
    <tableColumn id="4048" xr3:uid="{39B3E361-6E54-4707-9168-E130CF33A7E8}" name="Column4024" dataDxfId="12361"/>
    <tableColumn id="4049" xr3:uid="{DC7F9095-EB53-4418-B3CC-0B98A628A5A7}" name="Column4025" dataDxfId="12360"/>
    <tableColumn id="4050" xr3:uid="{6623C676-7063-477A-B3B8-0D8BF8102408}" name="Column4026" dataDxfId="12359"/>
    <tableColumn id="4051" xr3:uid="{9C99203F-90F3-4CA8-834E-CB6A60A21C0F}" name="Column4027" dataDxfId="12358"/>
    <tableColumn id="4052" xr3:uid="{D51A0969-C8DE-4555-9D72-01C6645CD531}" name="Column4028" dataDxfId="12357"/>
    <tableColumn id="4053" xr3:uid="{3C967D4D-C748-45B8-9FF9-A2AEF7891368}" name="Column4029" dataDxfId="12356"/>
    <tableColumn id="4054" xr3:uid="{855232AF-B6E6-4FA6-B3DD-2B79D349AD4C}" name="Column4030" dataDxfId="12355"/>
    <tableColumn id="4055" xr3:uid="{F6AA2A6F-06DE-4345-9124-C5377C39CC83}" name="Column4031" dataDxfId="12354"/>
    <tableColumn id="4056" xr3:uid="{AF0D6873-7774-4142-BCB9-CF3E3739614F}" name="Column4032" dataDxfId="12353"/>
    <tableColumn id="4057" xr3:uid="{D298AE92-F043-4FE3-8DEB-005E9A288606}" name="Column4033" dataDxfId="12352"/>
    <tableColumn id="4058" xr3:uid="{01B2F2D9-D882-41EE-BDE0-B101E19C3D90}" name="Column4034" dataDxfId="12351"/>
    <tableColumn id="4059" xr3:uid="{21AC7D1B-83E0-415C-AB10-C7E32AA77E5F}" name="Column4035" dataDxfId="12350"/>
    <tableColumn id="4060" xr3:uid="{E98294FD-D776-489D-9F44-14A5BFD73B8F}" name="Column4036" dataDxfId="12349"/>
    <tableColumn id="4061" xr3:uid="{6A5D7F65-D5D2-4BBD-90B2-5ED7110FB528}" name="Column4037" dataDxfId="12348"/>
    <tableColumn id="4062" xr3:uid="{F110924C-9669-4FDD-920C-711C150823B3}" name="Column4038" dataDxfId="12347"/>
    <tableColumn id="4063" xr3:uid="{84F3D12F-9D01-4B97-88AF-BF74BF661CDA}" name="Column4039" dataDxfId="12346"/>
    <tableColumn id="4064" xr3:uid="{9B8E6019-D2F1-4E7E-A820-4238E63603D1}" name="Column4040" dataDxfId="12345"/>
    <tableColumn id="4065" xr3:uid="{760EE982-3186-4D08-89F7-9FC01BE3A11E}" name="Column4041" dataDxfId="12344"/>
    <tableColumn id="4066" xr3:uid="{54AAA187-5DAE-42EA-9655-1984143B61CE}" name="Column4042" dataDxfId="12343"/>
    <tableColumn id="4067" xr3:uid="{48DAF2ED-1324-4981-9542-E750E22FE565}" name="Column4043" dataDxfId="12342"/>
    <tableColumn id="4068" xr3:uid="{CC1CDEE8-B4BB-4019-9039-DF44D6C2C04A}" name="Column4044" dataDxfId="12341"/>
    <tableColumn id="4069" xr3:uid="{D992E3DE-4A2D-47F3-91EC-94FF3390BCDF}" name="Column4045" dataDxfId="12340"/>
    <tableColumn id="4070" xr3:uid="{4D65BC7B-2223-4BE4-8EF9-12135C49F190}" name="Column4046" dataDxfId="12339"/>
    <tableColumn id="4071" xr3:uid="{AD49A3F2-0495-472E-A8E0-2ECA9C74623D}" name="Column4047" dataDxfId="12338"/>
    <tableColumn id="4072" xr3:uid="{246C351A-27D0-4F2E-90A3-0FFD8CF0E697}" name="Column4048" dataDxfId="12337"/>
    <tableColumn id="4073" xr3:uid="{BC4C6924-4A91-4589-8D41-BAD22D5DCB5D}" name="Column4049" dataDxfId="12336"/>
    <tableColumn id="4074" xr3:uid="{1EAD875D-42DC-4AEE-A0CF-793FA27974B1}" name="Column4050" dataDxfId="12335"/>
    <tableColumn id="4075" xr3:uid="{F0617748-6B41-4D98-A702-DB0BCF66C6FA}" name="Column4051" dataDxfId="12334"/>
    <tableColumn id="4076" xr3:uid="{239C4710-F2A9-4D0E-B719-16362B24B1DF}" name="Column4052" dataDxfId="12333"/>
    <tableColumn id="4077" xr3:uid="{843C7D54-43B5-4D14-AE9F-48113A85DF8A}" name="Column4053" dataDxfId="12332"/>
    <tableColumn id="4078" xr3:uid="{42AE7043-7BFA-4ACD-AD16-027FA6EC9EFC}" name="Column4054" dataDxfId="12331"/>
    <tableColumn id="4079" xr3:uid="{4532971B-77DC-4191-B9ED-DD986C805EC0}" name="Column4055" dataDxfId="12330"/>
    <tableColumn id="4080" xr3:uid="{B7BA9FE3-BF29-4F87-8BE4-E7AFBC5968CE}" name="Column4056" dataDxfId="12329"/>
    <tableColumn id="4081" xr3:uid="{68F3470F-94BF-4FF5-AE32-C350EB25B90B}" name="Column4057" dataDxfId="12328"/>
    <tableColumn id="4082" xr3:uid="{E55A5F24-01F2-4ED8-B648-11F578663097}" name="Column4058" dataDxfId="12327"/>
    <tableColumn id="4083" xr3:uid="{161FD881-5E84-4F8F-8169-BDD206BE2A26}" name="Column4059" dataDxfId="12326"/>
    <tableColumn id="4084" xr3:uid="{D473F114-6539-4554-8A3D-72A541F448DB}" name="Column4060" dataDxfId="12325"/>
    <tableColumn id="4085" xr3:uid="{DB4CF6FD-420C-4DA3-AD98-7590D4248153}" name="Column4061" dataDxfId="12324"/>
    <tableColumn id="4086" xr3:uid="{282ACD77-F793-4516-AA13-064380BAD0C0}" name="Column4062" dataDxfId="12323"/>
    <tableColumn id="4087" xr3:uid="{9840CED6-2B05-4B54-ACCD-31DC065923F0}" name="Column4063" dataDxfId="12322"/>
    <tableColumn id="4088" xr3:uid="{E3D60DAE-BC14-4B92-9FDA-C0D9FA0DB80A}" name="Column4064" dataDxfId="12321"/>
    <tableColumn id="4089" xr3:uid="{5C2BCD20-1FBF-4945-BAB4-29BBBF947484}" name="Column4065" dataDxfId="12320"/>
    <tableColumn id="4090" xr3:uid="{72012721-FAF1-40FF-A9E0-98670189C9A8}" name="Column4066" dataDxfId="12319"/>
    <tableColumn id="4091" xr3:uid="{717EF353-B80D-49EC-B1C5-D13F91F2B63D}" name="Column4067" dataDxfId="12318"/>
    <tableColumn id="4092" xr3:uid="{FB59E364-F30B-4364-933C-B3CAA2B1E188}" name="Column4068" dataDxfId="12317"/>
    <tableColumn id="4093" xr3:uid="{3512C275-917A-4303-9A0D-1FC0EED31655}" name="Column4069" dataDxfId="12316"/>
    <tableColumn id="4094" xr3:uid="{5C252B84-9983-4A81-A952-4E478549A2CF}" name="Column4070" dataDxfId="12315"/>
    <tableColumn id="4095" xr3:uid="{CE86F138-6E70-4312-BFA7-C2983C0CCF85}" name="Column4071" dataDxfId="12314"/>
    <tableColumn id="4096" xr3:uid="{B182ADC9-13F7-4C76-85D4-DCD087AFAD89}" name="Column4072" dataDxfId="12313"/>
    <tableColumn id="4097" xr3:uid="{EB9C2D37-7765-402F-B1FE-538398ED9721}" name="Column4073" dataDxfId="12312"/>
    <tableColumn id="4098" xr3:uid="{DBEFB1D8-8368-44C0-B441-08DF6BEE4282}" name="Column4074" dataDxfId="12311"/>
    <tableColumn id="4099" xr3:uid="{936AE2BB-C422-42C4-89AF-D3402E911D2C}" name="Column4075" dataDxfId="12310"/>
    <tableColumn id="4100" xr3:uid="{6401B65C-3E47-468E-82B6-32F5B99C303F}" name="Column4076" dataDxfId="12309"/>
    <tableColumn id="4101" xr3:uid="{FF2946C1-7A66-4D5D-9A18-3FE9B71141E6}" name="Column4077" dataDxfId="12308"/>
    <tableColumn id="4102" xr3:uid="{018CBF16-37BC-41AD-89B7-598CF3CD6415}" name="Column4078" dataDxfId="12307"/>
    <tableColumn id="4103" xr3:uid="{1939EF12-1C14-435C-9EFA-66C5384ED39D}" name="Column4079" dataDxfId="12306"/>
    <tableColumn id="4104" xr3:uid="{97E1D52C-F7FE-4A15-B4B6-DA8A096E3FFA}" name="Column4080" dataDxfId="12305"/>
    <tableColumn id="4105" xr3:uid="{E622755C-68FB-4B70-9059-601CC9611F61}" name="Column4081" dataDxfId="12304"/>
    <tableColumn id="4106" xr3:uid="{7E087F96-A966-433D-A0A6-48D74F9A6232}" name="Column4082" dataDxfId="12303"/>
    <tableColumn id="4107" xr3:uid="{5662D1DB-DD2E-472C-BD98-77AA20603FCD}" name="Column4083" dataDxfId="12302"/>
    <tableColumn id="4108" xr3:uid="{3A83122F-176A-4EB3-8B20-7C8E3FF23918}" name="Column4084" dataDxfId="12301"/>
    <tableColumn id="4109" xr3:uid="{7D4C46D9-FB19-4578-97CC-41B063FED75B}" name="Column4085" dataDxfId="12300"/>
    <tableColumn id="4110" xr3:uid="{8BCECA55-73E2-4C1C-94FB-EE7B5E9ED717}" name="Column4086" dataDxfId="12299"/>
    <tableColumn id="4111" xr3:uid="{8756ACF6-4D8E-441E-AECC-EA5315D70E4E}" name="Column4087" dataDxfId="12298"/>
    <tableColumn id="4112" xr3:uid="{F610DC5A-6D63-433F-A8F1-3AC0B0E15A11}" name="Column4088" dataDxfId="12297"/>
    <tableColumn id="4113" xr3:uid="{07004D4B-AA5E-4317-884F-A25B10FC8037}" name="Column4089" dataDxfId="12296"/>
    <tableColumn id="4114" xr3:uid="{A52AAF8F-0F7C-480B-A41D-CF68BA5DCFB4}" name="Column4090" dataDxfId="12295"/>
    <tableColumn id="4115" xr3:uid="{73F06534-336B-4DD2-A122-09BA27354A63}" name="Column4091" dataDxfId="12294"/>
    <tableColumn id="4116" xr3:uid="{688C7E6A-B65B-4C56-A6CC-D73AC59F0C58}" name="Column4092" dataDxfId="12293"/>
    <tableColumn id="4117" xr3:uid="{FE3FBE90-4BDA-4E17-AFD8-27EFD096FAAD}" name="Column4093" dataDxfId="12292"/>
    <tableColumn id="4118" xr3:uid="{9A2371D3-3216-4C1D-93C2-D2F069344C1A}" name="Column4094" dataDxfId="12291"/>
    <tableColumn id="4119" xr3:uid="{298AAE58-7AA3-46CA-8537-BCE2BF790C0D}" name="Column4095" dataDxfId="12290"/>
    <tableColumn id="4120" xr3:uid="{06CDC591-11B5-404A-A56E-EA1C3FBDE3DA}" name="Column4096" dataDxfId="12289"/>
    <tableColumn id="4121" xr3:uid="{EE32D641-FA1E-44DF-8B06-465914D3F03E}" name="Column4097" dataDxfId="12288"/>
    <tableColumn id="4122" xr3:uid="{DFB70919-CFC6-4B0A-99D3-EE6DEEE5A270}" name="Column4098" dataDxfId="12287"/>
    <tableColumn id="4123" xr3:uid="{DAFC7133-0D9C-4EE0-9E7E-998D4B34855C}" name="Column4099" dataDxfId="12286"/>
    <tableColumn id="4124" xr3:uid="{1AFE7A76-7AF7-4910-847B-9044AD108B15}" name="Column4100" dataDxfId="12285"/>
    <tableColumn id="4125" xr3:uid="{36555E34-3CBC-4C22-BFB0-260F9B0E40F9}" name="Column4101" dataDxfId="12284"/>
    <tableColumn id="4126" xr3:uid="{F64F139F-16B7-4766-9A3D-5B4FC9B7CD38}" name="Column4102" dataDxfId="12283"/>
    <tableColumn id="4127" xr3:uid="{03544B5F-CB99-4B7B-B6D4-30D222A8A5BD}" name="Column4103" dataDxfId="12282"/>
    <tableColumn id="4128" xr3:uid="{25B95FDE-5FF6-4689-85A7-99D6178A6A17}" name="Column4104" dataDxfId="12281"/>
    <tableColumn id="4129" xr3:uid="{8F8F8451-886A-46A4-AC34-C7DA9E97022A}" name="Column4105" dataDxfId="12280"/>
    <tableColumn id="4130" xr3:uid="{C04160C6-37F9-4316-8A9D-98F4352B040C}" name="Column4106" dataDxfId="12279"/>
    <tableColumn id="4131" xr3:uid="{54255B91-DBD7-43EE-94B6-61970FBF779D}" name="Column4107" dataDxfId="12278"/>
    <tableColumn id="4132" xr3:uid="{3DDCAEF1-BD04-4484-A869-76265F43BDE9}" name="Column4108" dataDxfId="12277"/>
    <tableColumn id="4133" xr3:uid="{DA886D1D-23EA-47B9-8240-CDD0CAEB5054}" name="Column4109" dataDxfId="12276"/>
    <tableColumn id="4134" xr3:uid="{1CB4F884-3858-4666-98D2-F4118BEB19B0}" name="Column4110" dataDxfId="12275"/>
    <tableColumn id="4135" xr3:uid="{2511E754-7BB9-42DF-A818-C5B270BB06AC}" name="Column4111" dataDxfId="12274"/>
    <tableColumn id="4136" xr3:uid="{ACFF6EDA-2F76-4D1C-A75E-1E60F362B4B3}" name="Column4112" dataDxfId="12273"/>
    <tableColumn id="4137" xr3:uid="{1F57558D-E776-42EF-B954-DE743FFF4923}" name="Column4113" dataDxfId="12272"/>
    <tableColumn id="4138" xr3:uid="{D8BCA3C3-3287-4D22-BA10-615970B93F30}" name="Column4114" dataDxfId="12271"/>
    <tableColumn id="4139" xr3:uid="{C64E7ACF-881A-4D93-8617-807B2AAD4322}" name="Column4115" dataDxfId="12270"/>
    <tableColumn id="4140" xr3:uid="{7F2DA279-A80D-433B-AA88-4E1520FA0440}" name="Column4116" dataDxfId="12269"/>
    <tableColumn id="4141" xr3:uid="{C42E6FF8-54A3-4D93-9A9D-7C3603363D49}" name="Column4117" dataDxfId="12268"/>
    <tableColumn id="4142" xr3:uid="{B6A48BE1-DE19-4F5D-9B26-FC49AC699A10}" name="Column4118" dataDxfId="12267"/>
    <tableColumn id="4143" xr3:uid="{3B9F588A-2C2B-461C-ADD4-071A298D6B53}" name="Column4119" dataDxfId="12266"/>
    <tableColumn id="4144" xr3:uid="{FCD207CE-6709-414B-A21E-25B143D46191}" name="Column4120" dataDxfId="12265"/>
    <tableColumn id="4145" xr3:uid="{50145D48-81F1-4E48-90C5-1829403B70DF}" name="Column4121" dataDxfId="12264"/>
    <tableColumn id="4146" xr3:uid="{09ECEFE0-6C59-4447-9E48-072DCC7D9542}" name="Column4122" dataDxfId="12263"/>
    <tableColumn id="4147" xr3:uid="{9F7FB6CA-95F5-4537-B1A9-B25B46EA9698}" name="Column4123" dataDxfId="12262"/>
    <tableColumn id="4148" xr3:uid="{B7B6E55A-E96A-4D6A-AF45-15EC69725743}" name="Column4124" dataDxfId="12261"/>
    <tableColumn id="4149" xr3:uid="{40FDE4B6-A578-4827-83C1-79A36E688186}" name="Column4125" dataDxfId="12260"/>
    <tableColumn id="4150" xr3:uid="{7D6AD956-4F35-4922-A548-33D9278439AC}" name="Column4126" dataDxfId="12259"/>
    <tableColumn id="4151" xr3:uid="{F84084E7-9FA6-4AC5-86C5-FBBD7176BABD}" name="Column4127" dataDxfId="12258"/>
    <tableColumn id="4152" xr3:uid="{7C96A3A1-5B6D-4FFF-AF6E-D5D1B82E9B10}" name="Column4128" dataDxfId="12257"/>
    <tableColumn id="4153" xr3:uid="{756615A2-2EF4-40D6-BF86-FF5AD45AB7A6}" name="Column4129" dataDxfId="12256"/>
    <tableColumn id="4154" xr3:uid="{D618E27E-777A-474F-9A2C-0017F940CC2F}" name="Column4130" dataDxfId="12255"/>
    <tableColumn id="4155" xr3:uid="{62DF9004-D6C4-4CA1-899A-9DF3B1ACCAD1}" name="Column4131" dataDxfId="12254"/>
    <tableColumn id="4156" xr3:uid="{5C008224-0888-4C9A-9FF1-929775D52D6E}" name="Column4132" dataDxfId="12253"/>
    <tableColumn id="4157" xr3:uid="{31E73274-1A9F-4379-BE46-1CEBB49AABCB}" name="Column4133" dataDxfId="12252"/>
    <tableColumn id="4158" xr3:uid="{736DD539-3F8D-4F84-8106-117C3722C02F}" name="Column4134" dataDxfId="12251"/>
    <tableColumn id="4159" xr3:uid="{FFAA4D61-C493-4493-B421-C3115C71F1A3}" name="Column4135" dataDxfId="12250"/>
    <tableColumn id="4160" xr3:uid="{86044B7D-B657-4667-94A6-8D30DB70077F}" name="Column4136" dataDxfId="12249"/>
    <tableColumn id="4161" xr3:uid="{EDFCAFC7-9767-4760-B78F-D9D8CFC2C03C}" name="Column4137" dataDxfId="12248"/>
    <tableColumn id="4162" xr3:uid="{1C14DDD1-279C-4195-AE27-B108DB2F227D}" name="Column4138" dataDxfId="12247"/>
    <tableColumn id="4163" xr3:uid="{82D3B4B1-7D80-41D3-BBED-1BB4F3ADAABA}" name="Column4139" dataDxfId="12246"/>
    <tableColumn id="4164" xr3:uid="{24300AE9-EAF3-4C0C-B643-319FE626CF36}" name="Column4140" dataDxfId="12245"/>
    <tableColumn id="4165" xr3:uid="{2DA48FE3-3E72-4166-86D7-2BCB45EA6E97}" name="Column4141" dataDxfId="12244"/>
    <tableColumn id="4166" xr3:uid="{FBEEB2C9-631E-4D26-8D0E-E29D53F56C82}" name="Column4142" dataDxfId="12243"/>
    <tableColumn id="4167" xr3:uid="{92E89C26-7BEF-45FD-B931-FEDCCE4C3DD2}" name="Column4143" dataDxfId="12242"/>
    <tableColumn id="4168" xr3:uid="{72A1CB18-A012-4A99-B4B7-83C359261300}" name="Column4144" dataDxfId="12241"/>
    <tableColumn id="4169" xr3:uid="{F17ABC64-797B-40BE-A471-F901FE52F1D9}" name="Column4145" dataDxfId="12240"/>
    <tableColumn id="4170" xr3:uid="{4FB53D2F-29A9-4DB9-9B8D-C930FF875D47}" name="Column4146" dataDxfId="12239"/>
    <tableColumn id="4171" xr3:uid="{FA226887-1DDD-41B7-81E4-8FD57305FF2E}" name="Column4147" dataDxfId="12238"/>
    <tableColumn id="4172" xr3:uid="{2C486C44-AEA8-4D39-A9B7-91BE879BAB56}" name="Column4148" dataDxfId="12237"/>
    <tableColumn id="4173" xr3:uid="{E001BCD3-1718-448E-A7A8-FDF2641A93C8}" name="Column4149" dataDxfId="12236"/>
    <tableColumn id="4174" xr3:uid="{899869AC-FC8E-4CEB-B291-931284B2BA56}" name="Column4150" dataDxfId="12235"/>
    <tableColumn id="4175" xr3:uid="{ED602535-76AD-417B-B460-FF393E3BD38C}" name="Column4151" dataDxfId="12234"/>
    <tableColumn id="4176" xr3:uid="{4963282D-43FB-4876-953D-E12BBC261F5F}" name="Column4152" dataDxfId="12233"/>
    <tableColumn id="4177" xr3:uid="{F9C6C7CF-CDF2-4A60-8E89-00D74FC8F1F5}" name="Column4153" dataDxfId="12232"/>
    <tableColumn id="4178" xr3:uid="{B9649854-9C2F-4607-BFFE-B6FD5CA29D18}" name="Column4154" dataDxfId="12231"/>
    <tableColumn id="4179" xr3:uid="{D693D6AC-1467-4A47-A798-30266995B698}" name="Column4155" dataDxfId="12230"/>
    <tableColumn id="4180" xr3:uid="{08CB1806-E261-4AE1-8ABC-E9249FF17426}" name="Column4156" dataDxfId="12229"/>
    <tableColumn id="4181" xr3:uid="{2451310E-9D91-40F1-B7C0-0BB8F2FE3440}" name="Column4157" dataDxfId="12228"/>
    <tableColumn id="4182" xr3:uid="{8F68F0FB-9B23-442C-B4EC-D236DAA3E9E6}" name="Column4158" dataDxfId="12227"/>
    <tableColumn id="4183" xr3:uid="{1957F6D9-4B35-4DC7-A7A7-BDB52B1C5DDF}" name="Column4159" dataDxfId="12226"/>
    <tableColumn id="4184" xr3:uid="{BC26550F-55F8-463F-89A0-AF8D024E21C8}" name="Column4160" dataDxfId="12225"/>
    <tableColumn id="4185" xr3:uid="{9ED042F8-67DD-45BE-852D-ABCBCB629173}" name="Column4161" dataDxfId="12224"/>
    <tableColumn id="4186" xr3:uid="{7B73BE19-C181-42DE-9538-642E4376AC6C}" name="Column4162" dataDxfId="12223"/>
    <tableColumn id="4187" xr3:uid="{11A629C1-2F20-44F1-9B6E-ABF512BF42B3}" name="Column4163" dataDxfId="12222"/>
    <tableColumn id="4188" xr3:uid="{FBCCF3EB-698F-4346-8EF2-9CAF745340C2}" name="Column4164" dataDxfId="12221"/>
    <tableColumn id="4189" xr3:uid="{5CE0A96F-65FF-4DE2-8191-56743ABF36ED}" name="Column4165" dataDxfId="12220"/>
    <tableColumn id="4190" xr3:uid="{6D12C6B8-5EAA-4339-82EE-695A3834C4D5}" name="Column4166" dataDxfId="12219"/>
    <tableColumn id="4191" xr3:uid="{104298A4-CF26-43CC-AEF9-81DBCD25A5F1}" name="Column4167" dataDxfId="12218"/>
    <tableColumn id="4192" xr3:uid="{FDE5194E-0637-432C-93FE-E9AF98AAA427}" name="Column4168" dataDxfId="12217"/>
    <tableColumn id="4193" xr3:uid="{FF44FB4D-42BF-40FE-9BD9-913B4F104FA2}" name="Column4169" dataDxfId="12216"/>
    <tableColumn id="4194" xr3:uid="{131CB47F-315E-4D88-883A-96DB3C91C3C7}" name="Column4170" dataDxfId="12215"/>
    <tableColumn id="4195" xr3:uid="{722DBCD6-487C-4EDF-A696-46204A0CFB43}" name="Column4171" dataDxfId="12214"/>
    <tableColumn id="4196" xr3:uid="{4A6C3343-A14E-4C8C-BAA7-EDC8E9044D44}" name="Column4172" dataDxfId="12213"/>
    <tableColumn id="4197" xr3:uid="{EF82F2DA-1854-4714-9768-EE12855EC1EE}" name="Column4173" dataDxfId="12212"/>
    <tableColumn id="4198" xr3:uid="{6A4785B0-3C2E-4894-98A6-F926D8EAE63D}" name="Column4174" dataDxfId="12211"/>
    <tableColumn id="4199" xr3:uid="{0274C4F1-E6CA-481F-A23D-BE00918F364B}" name="Column4175" dataDxfId="12210"/>
    <tableColumn id="4200" xr3:uid="{66D6F0D5-71D6-44DF-A63B-7C35232235B2}" name="Column4176" dataDxfId="12209"/>
    <tableColumn id="4201" xr3:uid="{AF97B4BB-2C0A-49C7-956E-6FCAD8351F42}" name="Column4177" dataDxfId="12208"/>
    <tableColumn id="4202" xr3:uid="{192CE059-8B42-4FDD-AEE7-3457CDB4E91D}" name="Column4178" dataDxfId="12207"/>
    <tableColumn id="4203" xr3:uid="{1D1E36D1-95B4-496E-B186-194BEB25C1E7}" name="Column4179" dataDxfId="12206"/>
    <tableColumn id="4204" xr3:uid="{5ACE68BC-B52F-40B9-A11A-F8ABC9CB2610}" name="Column4180" dataDxfId="12205"/>
    <tableColumn id="4205" xr3:uid="{92561543-FD7B-43CA-9CE4-CF3E171DFCAF}" name="Column4181" dataDxfId="12204"/>
    <tableColumn id="4206" xr3:uid="{1D192A30-7266-44E2-8F6C-7C1F7D8E2AE5}" name="Column4182" dataDxfId="12203"/>
    <tableColumn id="4207" xr3:uid="{C62CB3DC-E81B-4649-AD4E-E19E1177B419}" name="Column4183" dataDxfId="12202"/>
    <tableColumn id="4208" xr3:uid="{3C4BB6B5-FB5D-498B-AA81-C0FD984864A4}" name="Column4184" dataDxfId="12201"/>
    <tableColumn id="4209" xr3:uid="{8034D376-276A-4EC0-845C-D32FD6C954EC}" name="Column4185" dataDxfId="12200"/>
    <tableColumn id="4210" xr3:uid="{923F50B7-D242-48B1-BC67-21FEAC3D94C7}" name="Column4186" dataDxfId="12199"/>
    <tableColumn id="4211" xr3:uid="{CDBA6679-DC62-411D-9A96-35BF0B1FF8CB}" name="Column4187" dataDxfId="12198"/>
    <tableColumn id="4212" xr3:uid="{F070DBEC-B045-4FC5-8FF5-C12CBDD75AD1}" name="Column4188" dataDxfId="12197"/>
    <tableColumn id="4213" xr3:uid="{AA3CF97B-8C65-4F8A-92D4-F1A3295AA33B}" name="Column4189" dataDxfId="12196"/>
    <tableColumn id="4214" xr3:uid="{A4252BF3-AD5F-41AA-9226-29F7AA35B739}" name="Column4190" dataDxfId="12195"/>
    <tableColumn id="4215" xr3:uid="{776E98AA-6730-4C9C-95D7-D7D8D9450DB5}" name="Column4191" dataDxfId="12194"/>
    <tableColumn id="4216" xr3:uid="{6D0D5992-5BFB-4308-A78E-CD440AD53D33}" name="Column4192" dataDxfId="12193"/>
    <tableColumn id="4217" xr3:uid="{02447A50-300F-43C3-ADD2-CAEDB9098ADD}" name="Column4193" dataDxfId="12192"/>
    <tableColumn id="4218" xr3:uid="{0A3E0A7A-EFF3-4325-986E-79F97D17F97E}" name="Column4194" dataDxfId="12191"/>
    <tableColumn id="4219" xr3:uid="{4DA35B48-55BD-45E2-9DD1-5EBDFD6AAE32}" name="Column4195" dataDxfId="12190"/>
    <tableColumn id="4220" xr3:uid="{263447B8-2ACA-4B12-B5D1-3AEE282CEF05}" name="Column4196" dataDxfId="12189"/>
    <tableColumn id="4221" xr3:uid="{E8819275-5556-43BF-A245-13CCA0BB1262}" name="Column4197" dataDxfId="12188"/>
    <tableColumn id="4222" xr3:uid="{22320939-8579-422E-841E-5A6495590005}" name="Column4198" dataDxfId="12187"/>
    <tableColumn id="4223" xr3:uid="{62842FE9-5B4E-406F-9E2C-8160F199D95E}" name="Column4199" dataDxfId="12186"/>
    <tableColumn id="4224" xr3:uid="{4A0B26F6-6B48-4374-9939-E59B2534A6B7}" name="Column4200" dataDxfId="12185"/>
    <tableColumn id="4225" xr3:uid="{A28575AD-9442-454F-94D8-B669983DFAB8}" name="Column4201" dataDxfId="12184"/>
    <tableColumn id="4226" xr3:uid="{62E8D7A9-EE4D-4623-99A1-000782D5EDA1}" name="Column4202" dataDxfId="12183"/>
    <tableColumn id="4227" xr3:uid="{847BA49B-9FEC-435B-AFA9-202667C651D7}" name="Column4203" dataDxfId="12182"/>
    <tableColumn id="4228" xr3:uid="{DCF7D622-F3A2-42B5-A1B1-7F94C9BA489E}" name="Column4204" dataDxfId="12181"/>
    <tableColumn id="4229" xr3:uid="{0AF09F53-C968-4954-80C3-23355648DC58}" name="Column4205" dataDxfId="12180"/>
    <tableColumn id="4230" xr3:uid="{2C472785-F802-453C-BDB3-975CC1A0FE22}" name="Column4206" dataDxfId="12179"/>
    <tableColumn id="4231" xr3:uid="{420A0208-F920-4FA3-A017-A9DD31AC6D15}" name="Column4207" dataDxfId="12178"/>
    <tableColumn id="4232" xr3:uid="{2770F468-8F6F-4994-85E6-B83441B709F1}" name="Column4208" dataDxfId="12177"/>
    <tableColumn id="4233" xr3:uid="{AB695F97-9E16-40EA-AA9D-27ECBCBDDADC}" name="Column4209" dataDxfId="12176"/>
    <tableColumn id="4234" xr3:uid="{CD8C0DC4-E3EA-4A41-8E25-740ADF950D3B}" name="Column4210" dataDxfId="12175"/>
    <tableColumn id="4235" xr3:uid="{505BD6F2-F009-4D0F-96FD-E8206C68374D}" name="Column4211" dataDxfId="12174"/>
    <tableColumn id="4236" xr3:uid="{D8D3907A-2FD5-4F93-8E1A-13D29F786456}" name="Column4212" dataDxfId="12173"/>
    <tableColumn id="4237" xr3:uid="{81C47E5D-D4FF-4BF6-BFD4-E63CA2B5EBC0}" name="Column4213" dataDxfId="12172"/>
    <tableColumn id="4238" xr3:uid="{D4D6D7B4-8CCD-4932-B6A7-8AB8BF38423A}" name="Column4214" dataDxfId="12171"/>
    <tableColumn id="4239" xr3:uid="{C3AAFF1F-0930-489E-A643-730158DBFD14}" name="Column4215" dataDxfId="12170"/>
    <tableColumn id="4240" xr3:uid="{DC7FA1C7-24D5-45F6-BE00-8B86A5CD58BA}" name="Column4216" dataDxfId="12169"/>
    <tableColumn id="4241" xr3:uid="{66883CA2-F902-4969-8760-079087AA7B63}" name="Column4217" dataDxfId="12168"/>
    <tableColumn id="4242" xr3:uid="{8107D062-C851-4CC6-9EE7-78D0A7AC92D1}" name="Column4218" dataDxfId="12167"/>
    <tableColumn id="4243" xr3:uid="{205B0B03-4B15-42E3-AA4A-135BC291C21A}" name="Column4219" dataDxfId="12166"/>
    <tableColumn id="4244" xr3:uid="{AAC2AA9A-432B-4438-BB0D-D0C4A98694CB}" name="Column4220" dataDxfId="12165"/>
    <tableColumn id="4245" xr3:uid="{F8D46EC2-086D-4DDC-959E-A96F96F300B1}" name="Column4221" dataDxfId="12164"/>
    <tableColumn id="4246" xr3:uid="{7864FF87-CD9B-4697-BDE8-2918B8166A6A}" name="Column4222" dataDxfId="12163"/>
    <tableColumn id="4247" xr3:uid="{26117DD1-B177-401A-9F36-ABE92460019B}" name="Column4223" dataDxfId="12162"/>
    <tableColumn id="4248" xr3:uid="{20570EA8-B9E1-4773-A505-EE7F46A3B3F8}" name="Column4224" dataDxfId="12161"/>
    <tableColumn id="4249" xr3:uid="{258E3344-35AA-4E59-8B9E-980CA2B65341}" name="Column4225" dataDxfId="12160"/>
    <tableColumn id="4250" xr3:uid="{3014F617-AD10-44CA-881B-AFE93CA65FBB}" name="Column4226" dataDxfId="12159"/>
    <tableColumn id="4251" xr3:uid="{154A92AC-32F9-4BC7-B11D-4E0DC968D828}" name="Column4227" dataDxfId="12158"/>
    <tableColumn id="4252" xr3:uid="{877C84C1-A219-49ED-B544-5E9F4FB335F1}" name="Column4228" dataDxfId="12157"/>
    <tableColumn id="4253" xr3:uid="{C2DD03B1-21F4-4C7F-A840-127D5BFB218D}" name="Column4229" dataDxfId="12156"/>
    <tableColumn id="4254" xr3:uid="{BC1A959A-BB63-425B-8739-0A5A71485FD3}" name="Column4230" dataDxfId="12155"/>
    <tableColumn id="4255" xr3:uid="{D3D3C2F2-F185-4112-91F5-E6C9511C7D4A}" name="Column4231" dataDxfId="12154"/>
    <tableColumn id="4256" xr3:uid="{F6D83F48-95BB-45F1-9584-F89B377ABF33}" name="Column4232" dataDxfId="12153"/>
    <tableColumn id="4257" xr3:uid="{4DCACD12-50BE-4C53-9EDF-9BAD34A91D6A}" name="Column4233" dataDxfId="12152"/>
    <tableColumn id="4258" xr3:uid="{6D96CCE0-4E8D-4876-B182-F0F8E0F916CA}" name="Column4234" dataDxfId="12151"/>
    <tableColumn id="4259" xr3:uid="{ED69C91B-6978-4B5E-921E-51BFCC6C0050}" name="Column4235" dataDxfId="12150"/>
    <tableColumn id="4260" xr3:uid="{B6846532-02C5-4C8A-BF38-5AA5ED465385}" name="Column4236" dataDxfId="12149"/>
    <tableColumn id="4261" xr3:uid="{048012CC-865A-4DFC-A681-D324BA17D64F}" name="Column4237" dataDxfId="12148"/>
    <tableColumn id="4262" xr3:uid="{F33FE796-6259-4883-B69D-83E1C0B600B3}" name="Column4238" dataDxfId="12147"/>
    <tableColumn id="4263" xr3:uid="{84D7E095-5748-4B92-A0C2-693F89A8DFEE}" name="Column4239" dataDxfId="12146"/>
    <tableColumn id="4264" xr3:uid="{38243D12-CBB3-48DF-8562-1789453B9EC2}" name="Column4240" dataDxfId="12145"/>
    <tableColumn id="4265" xr3:uid="{5B1C53F0-2A5C-43DE-88B2-844FF70B2CB2}" name="Column4241" dataDxfId="12144"/>
    <tableColumn id="4266" xr3:uid="{31393622-312E-4386-823B-1841BBB56225}" name="Column4242" dataDxfId="12143"/>
    <tableColumn id="4267" xr3:uid="{F3337BEF-3F13-49AE-A299-213538E8BDA5}" name="Column4243" dataDxfId="12142"/>
    <tableColumn id="4268" xr3:uid="{1F0A41B7-BD28-4629-A8AE-B50D902C4E75}" name="Column4244" dataDxfId="12141"/>
    <tableColumn id="4269" xr3:uid="{78F03945-705D-4104-B46A-10AE54E5DA0E}" name="Column4245" dataDxfId="12140"/>
    <tableColumn id="4270" xr3:uid="{F51C8A9C-2F74-4200-882A-8DC7BA19791F}" name="Column4246" dataDxfId="12139"/>
    <tableColumn id="4271" xr3:uid="{65C8EF9D-88E7-4597-B9F5-D1151B5BEEE6}" name="Column4247" dataDxfId="12138"/>
    <tableColumn id="4272" xr3:uid="{F1EA41D4-03EB-44F4-97AE-426C5FE5C97D}" name="Column4248" dataDxfId="12137"/>
    <tableColumn id="4273" xr3:uid="{AB0D493B-2445-43DB-A95C-E764ED3D45D4}" name="Column4249" dataDxfId="12136"/>
    <tableColumn id="4274" xr3:uid="{2F384B26-D305-4CE0-855A-7C9FD4D2BC57}" name="Column4250" dataDxfId="12135"/>
    <tableColumn id="4275" xr3:uid="{8EF8DF25-9F75-4FC9-8F2F-39C4EF87EFB6}" name="Column4251" dataDxfId="12134"/>
    <tableColumn id="4276" xr3:uid="{5012B02A-07D8-4BB4-B60C-339EE46EE3B9}" name="Column4252" dataDxfId="12133"/>
    <tableColumn id="4277" xr3:uid="{C539ED7B-4439-4F6B-AAB9-61D1A3CA0F8C}" name="Column4253" dataDxfId="12132"/>
    <tableColumn id="4278" xr3:uid="{9F84FFF0-91FA-4565-9908-3868969716B0}" name="Column4254" dataDxfId="12131"/>
    <tableColumn id="4279" xr3:uid="{CD363AD5-FA95-4796-91F4-8264D584F571}" name="Column4255" dataDxfId="12130"/>
    <tableColumn id="4280" xr3:uid="{FA7941A2-C56A-49FB-BFD6-EEABED066C26}" name="Column4256" dataDxfId="12129"/>
    <tableColumn id="4281" xr3:uid="{EDE82DB4-A09C-4FB7-A63B-8B58D5F8A8F6}" name="Column4257" dataDxfId="12128"/>
    <tableColumn id="4282" xr3:uid="{AE201D28-98B6-467E-8772-BFD60DE0AA0D}" name="Column4258" dataDxfId="12127"/>
    <tableColumn id="4283" xr3:uid="{699A9CA4-F113-4D04-B273-B2F7B435E621}" name="Column4259" dataDxfId="12126"/>
    <tableColumn id="4284" xr3:uid="{66B07395-0762-4C0E-B453-B0E2E8258AF3}" name="Column4260" dataDxfId="12125"/>
    <tableColumn id="4285" xr3:uid="{8F96F774-4984-4694-A8ED-E9B748985FD7}" name="Column4261" dataDxfId="12124"/>
    <tableColumn id="4286" xr3:uid="{007BE1C5-A2CD-4853-B20F-9A6FBADA8B3C}" name="Column4262" dataDxfId="12123"/>
    <tableColumn id="4287" xr3:uid="{1DAAA3F2-B32B-4F68-A28B-047649CB9803}" name="Column4263" dataDxfId="12122"/>
    <tableColumn id="4288" xr3:uid="{B4098AFE-CCAD-414C-ACE3-825B280EC454}" name="Column4264" dataDxfId="12121"/>
    <tableColumn id="4289" xr3:uid="{D9E3C847-43CF-49EA-9C1A-F0B6F297C8AD}" name="Column4265" dataDxfId="12120"/>
    <tableColumn id="4290" xr3:uid="{3C25E9A2-B871-4086-BB6C-03A2E0DDDB72}" name="Column4266" dataDxfId="12119"/>
    <tableColumn id="4291" xr3:uid="{FBB44753-32A8-4561-A540-3E64F2771048}" name="Column4267" dataDxfId="12118"/>
    <tableColumn id="4292" xr3:uid="{9431FB3F-7D8B-4AFA-8C97-7AFB1644FB78}" name="Column4268" dataDxfId="12117"/>
    <tableColumn id="4293" xr3:uid="{B130050D-3E17-4C17-BDC6-14D426C44493}" name="Column4269" dataDxfId="12116"/>
    <tableColumn id="4294" xr3:uid="{64472B2E-DAEC-4E1C-BAB8-ADB4CA28500F}" name="Column4270" dataDxfId="12115"/>
    <tableColumn id="4295" xr3:uid="{B18AD8EF-69AC-4E36-8EDD-22A93E6E765B}" name="Column4271" dataDxfId="12114"/>
    <tableColumn id="4296" xr3:uid="{F2598E1F-9C93-4148-B292-0829A825CA53}" name="Column4272" dataDxfId="12113"/>
    <tableColumn id="4297" xr3:uid="{D8204F15-105C-4CF9-A343-E5B1BF898443}" name="Column4273" dataDxfId="12112"/>
    <tableColumn id="4298" xr3:uid="{6A6EE892-D345-4D5C-B57A-29148195B7D5}" name="Column4274" dataDxfId="12111"/>
    <tableColumn id="4299" xr3:uid="{61C60CC8-92F4-415B-B877-83B29047DF91}" name="Column4275" dataDxfId="12110"/>
    <tableColumn id="4300" xr3:uid="{7F36BF80-F549-47AB-9268-32C43E0DDFDD}" name="Column4276" dataDxfId="12109"/>
    <tableColumn id="4301" xr3:uid="{8F3B4618-4FB7-4610-AE8B-4AD8B5A39ADA}" name="Column4277" dataDxfId="12108"/>
    <tableColumn id="4302" xr3:uid="{D9349490-DCD9-438E-8ACF-97DF31441A52}" name="Column4278" dataDxfId="12107"/>
    <tableColumn id="4303" xr3:uid="{6354B9C6-902E-4E65-AECB-C7354BD1FB63}" name="Column4279" dataDxfId="12106"/>
    <tableColumn id="4304" xr3:uid="{D98C6048-E014-408A-A9F4-10F118B98A4E}" name="Column4280" dataDxfId="12105"/>
    <tableColumn id="4305" xr3:uid="{12981A48-C540-4A64-BF25-E4E7218BE699}" name="Column4281" dataDxfId="12104"/>
    <tableColumn id="4306" xr3:uid="{799FA321-E460-43CD-AA97-B84606D40EB3}" name="Column4282" dataDxfId="12103"/>
    <tableColumn id="4307" xr3:uid="{37CF5BDA-278F-4D97-A4B0-0026E04C98DE}" name="Column4283" dataDxfId="12102"/>
    <tableColumn id="4308" xr3:uid="{9C1D03D2-D5CB-496D-8382-5A7FAAABED13}" name="Column4284" dataDxfId="12101"/>
    <tableColumn id="4309" xr3:uid="{6D9F73FA-1095-4E77-94E1-62DFEB9351CB}" name="Column4285" dataDxfId="12100"/>
    <tableColumn id="4310" xr3:uid="{FB00B98F-F39D-4527-AD21-508F24E98456}" name="Column4286" dataDxfId="12099"/>
    <tableColumn id="4311" xr3:uid="{C9E23279-7483-45FD-A054-9592656397DA}" name="Column4287" dataDxfId="12098"/>
    <tableColumn id="4312" xr3:uid="{53D9A348-9004-4D11-8F27-01468A7B9D32}" name="Column4288" dataDxfId="12097"/>
    <tableColumn id="4313" xr3:uid="{5242C2BF-9E57-4FCB-8431-341D78679E07}" name="Column4289" dataDxfId="12096"/>
    <tableColumn id="4314" xr3:uid="{006666D4-8894-490C-B2A5-5D044B5F4B2C}" name="Column4290" dataDxfId="12095"/>
    <tableColumn id="4315" xr3:uid="{3999E529-A215-4823-9149-B8B7F8B84CB0}" name="Column4291" dataDxfId="12094"/>
    <tableColumn id="4316" xr3:uid="{51260B33-2AC7-443F-96AC-5E21E191D81D}" name="Column4292" dataDxfId="12093"/>
    <tableColumn id="4317" xr3:uid="{EECA2563-8C0F-4358-B67A-56557DED22C8}" name="Column4293" dataDxfId="12092"/>
    <tableColumn id="4318" xr3:uid="{EEA3CA39-5966-432E-ADB2-53EC46A016EF}" name="Column4294" dataDxfId="12091"/>
    <tableColumn id="4319" xr3:uid="{4A633F0D-1BA2-4657-B3E7-14D4496FEC41}" name="Column4295" dataDxfId="12090"/>
    <tableColumn id="4320" xr3:uid="{26E5EAE9-9E50-4A4B-828B-0774AD37E0AA}" name="Column4296" dataDxfId="12089"/>
    <tableColumn id="4321" xr3:uid="{9CDBDE39-ABEE-4518-A3D0-A27C23E64780}" name="Column4297" dataDxfId="12088"/>
    <tableColumn id="4322" xr3:uid="{DF2473FE-3FCC-4426-98D5-335805DFD582}" name="Column4298" dataDxfId="12087"/>
    <tableColumn id="4323" xr3:uid="{0F2440BD-5E3D-49B2-9DE9-0307A5078CDD}" name="Column4299" dataDxfId="12086"/>
    <tableColumn id="4324" xr3:uid="{A0B8C80C-2462-4E22-A545-DAFC97D13434}" name="Column4300" dataDxfId="12085"/>
    <tableColumn id="4325" xr3:uid="{9B74D996-610A-4FAD-9E51-BBE654D3451E}" name="Column4301" dataDxfId="12084"/>
    <tableColumn id="4326" xr3:uid="{DFE05CD6-220F-41D5-8D1C-AEFC864C73AC}" name="Column4302" dataDxfId="12083"/>
    <tableColumn id="4327" xr3:uid="{B928804B-BC7A-4B96-8538-251D41871D4C}" name="Column4303" dataDxfId="12082"/>
    <tableColumn id="4328" xr3:uid="{9C6A88EC-76EF-462A-9E80-29A7BF2B1D4E}" name="Column4304" dataDxfId="12081"/>
    <tableColumn id="4329" xr3:uid="{0CEFAA67-C554-4522-A509-5EAF85387312}" name="Column4305" dataDxfId="12080"/>
    <tableColumn id="4330" xr3:uid="{A555E1EB-A0C3-4D77-BE6D-D35B977F2C20}" name="Column4306" dataDxfId="12079"/>
    <tableColumn id="4331" xr3:uid="{84E2F8C3-AA07-4F9B-9DAA-E80BCBF2C366}" name="Column4307" dataDxfId="12078"/>
    <tableColumn id="4332" xr3:uid="{904FF5D9-8D9A-43B5-8569-CB31C609CC54}" name="Column4308" dataDxfId="12077"/>
    <tableColumn id="4333" xr3:uid="{48B7EA45-4982-4628-A4B9-FC1838E1BE4A}" name="Column4309" dataDxfId="12076"/>
    <tableColumn id="4334" xr3:uid="{85CBE830-A762-4D87-A725-72C2B921880B}" name="Column4310" dataDxfId="12075"/>
    <tableColumn id="4335" xr3:uid="{03E81682-6E98-4694-9CD9-BD7C0B43C19B}" name="Column4311" dataDxfId="12074"/>
    <tableColumn id="4336" xr3:uid="{A7ACFDA6-956A-488A-B94F-86C1AD9EF8E8}" name="Column4312" dataDxfId="12073"/>
    <tableColumn id="4337" xr3:uid="{93AA7025-521D-468E-8808-FCB077417D19}" name="Column4313" dataDxfId="12072"/>
    <tableColumn id="4338" xr3:uid="{AF5C2452-0F72-4113-B898-AA2DF437F095}" name="Column4314" dataDxfId="12071"/>
    <tableColumn id="4339" xr3:uid="{4C11DAFF-F780-42E8-A049-2126C3A880C6}" name="Column4315" dataDxfId="12070"/>
    <tableColumn id="4340" xr3:uid="{9BEDB745-0C34-4680-93A5-995E66D01CEC}" name="Column4316" dataDxfId="12069"/>
    <tableColumn id="4341" xr3:uid="{8E15EA4D-26E7-4DE4-A02C-C0133E289E5D}" name="Column4317" dataDxfId="12068"/>
    <tableColumn id="4342" xr3:uid="{F878D1AC-2B64-4CDA-90E3-B7EF9B9F3B01}" name="Column4318" dataDxfId="12067"/>
    <tableColumn id="4343" xr3:uid="{6886E38B-6949-40EB-9CBE-FD2F1422F3CC}" name="Column4319" dataDxfId="12066"/>
    <tableColumn id="4344" xr3:uid="{D90E01FB-DD8B-4554-99E5-E3FB364B95DF}" name="Column4320" dataDxfId="12065"/>
    <tableColumn id="4345" xr3:uid="{21F16EF4-50B7-48A8-B355-E6D687CDCBAB}" name="Column4321" dataDxfId="12064"/>
    <tableColumn id="4346" xr3:uid="{452A2BF3-C2D6-4487-BE85-33E3C4483563}" name="Column4322" dataDxfId="12063"/>
    <tableColumn id="4347" xr3:uid="{925916C4-4750-4A9C-9B47-94235C81D662}" name="Column4323" dataDxfId="12062"/>
    <tableColumn id="4348" xr3:uid="{29409374-C815-41E1-8BF1-A3E897F137A0}" name="Column4324" dataDxfId="12061"/>
    <tableColumn id="4349" xr3:uid="{7DEBDA77-8646-4E27-BF8E-0797348ECCB4}" name="Column4325" dataDxfId="12060"/>
    <tableColumn id="4350" xr3:uid="{055D6798-E19F-40A4-9DE3-41898B764645}" name="Column4326" dataDxfId="12059"/>
    <tableColumn id="4351" xr3:uid="{A0929741-9B29-4F01-90CD-015A71B7755A}" name="Column4327" dataDxfId="12058"/>
    <tableColumn id="4352" xr3:uid="{E95170A1-97D4-49AA-880B-A68EEC85409A}" name="Column4328" dataDxfId="12057"/>
    <tableColumn id="4353" xr3:uid="{599CCF67-1F51-4470-A5F2-C3AE1FDC7D18}" name="Column4329" dataDxfId="12056"/>
    <tableColumn id="4354" xr3:uid="{1D61A4DB-8FFE-461A-AC31-857D380545A5}" name="Column4330" dataDxfId="12055"/>
    <tableColumn id="4355" xr3:uid="{A11D5BCA-5F76-4022-BD55-E33862D6EAFA}" name="Column4331" dataDxfId="12054"/>
    <tableColumn id="4356" xr3:uid="{78648E1A-52DF-4C73-B93A-A80E9D2C7412}" name="Column4332" dataDxfId="12053"/>
    <tableColumn id="4357" xr3:uid="{EBB32E63-8323-4FBE-A266-C4AE00B21DA2}" name="Column4333" dataDxfId="12052"/>
    <tableColumn id="4358" xr3:uid="{71A95C8C-E591-4C3F-AB75-4B1D01BE5D53}" name="Column4334" dataDxfId="12051"/>
    <tableColumn id="4359" xr3:uid="{C5CF6680-A42A-4946-BBFB-1DB16D6AB0F6}" name="Column4335" dataDxfId="12050"/>
    <tableColumn id="4360" xr3:uid="{122EEF0C-6615-4775-818B-CB5CC8D3B8DE}" name="Column4336" dataDxfId="12049"/>
    <tableColumn id="4361" xr3:uid="{CD1C0C5D-40E7-451E-B7E4-C24F328A24BC}" name="Column4337" dataDxfId="12048"/>
    <tableColumn id="4362" xr3:uid="{A1FF9245-4783-4874-8A9B-97EE16C02E5C}" name="Column4338" dataDxfId="12047"/>
    <tableColumn id="4363" xr3:uid="{846F85A9-5288-41EC-BFBA-60C5BFE2BCFF}" name="Column4339" dataDxfId="12046"/>
    <tableColumn id="4364" xr3:uid="{1AFD79DF-0FD7-44D7-AC09-B4F5A667D641}" name="Column4340" dataDxfId="12045"/>
    <tableColumn id="4365" xr3:uid="{696E73C7-8926-41EC-9460-6AAB4C34889E}" name="Column4341" dataDxfId="12044"/>
    <tableColumn id="4366" xr3:uid="{0D467BEC-5811-4E40-973F-AB34389592CD}" name="Column4342" dataDxfId="12043"/>
    <tableColumn id="4367" xr3:uid="{00819FC0-C8E8-4F66-A0F8-7129666C887F}" name="Column4343" dataDxfId="12042"/>
    <tableColumn id="4368" xr3:uid="{5F9FEE81-86D4-4EC4-91F7-2B202DDD328C}" name="Column4344" dataDxfId="12041"/>
    <tableColumn id="4369" xr3:uid="{C6871EB0-5604-4080-B7F2-2465132A931B}" name="Column4345" dataDxfId="12040"/>
    <tableColumn id="4370" xr3:uid="{2397AFF9-B271-48EA-B1C4-56687FDD2D0E}" name="Column4346" dataDxfId="12039"/>
    <tableColumn id="4371" xr3:uid="{7628A484-51E4-4DAF-AA75-6859FA01D73B}" name="Column4347" dataDxfId="12038"/>
    <tableColumn id="4372" xr3:uid="{79A86590-8F30-40C0-AF29-CCF522904456}" name="Column4348" dataDxfId="12037"/>
    <tableColumn id="4373" xr3:uid="{D763465A-7232-4E41-BA54-D65E029041C3}" name="Column4349" dataDxfId="12036"/>
    <tableColumn id="4374" xr3:uid="{BF2A465D-1521-47FC-9375-CC80504B4775}" name="Column4350" dataDxfId="12035"/>
    <tableColumn id="4375" xr3:uid="{EC17E5EC-4EA1-4805-A072-FCDA02E258AF}" name="Column4351" dataDxfId="12034"/>
    <tableColumn id="4376" xr3:uid="{DB434F3F-8A0C-41BF-AC42-910BF5732146}" name="Column4352" dataDxfId="12033"/>
    <tableColumn id="4377" xr3:uid="{EEC8EE04-CF51-4C47-94C2-500CCD28B2B9}" name="Column4353" dataDxfId="12032"/>
    <tableColumn id="4378" xr3:uid="{237547AE-C22A-444F-B29F-3E07AEF9A4BC}" name="Column4354" dataDxfId="12031"/>
    <tableColumn id="4379" xr3:uid="{DA4C1D1A-161E-488D-9702-F5B3143C8421}" name="Column4355" dataDxfId="12030"/>
    <tableColumn id="4380" xr3:uid="{074D2D9F-6175-4D34-86B2-A32034587365}" name="Column4356" dataDxfId="12029"/>
    <tableColumn id="4381" xr3:uid="{2B0BC43A-42A7-4E58-B974-01235AF14583}" name="Column4357" dataDxfId="12028"/>
    <tableColumn id="4382" xr3:uid="{03C6DA23-A9A2-4048-A8AF-E2054F281E40}" name="Column4358" dataDxfId="12027"/>
    <tableColumn id="4383" xr3:uid="{8B5D83AA-DD77-40A0-8D6E-DB636B5F0DB4}" name="Column4359" dataDxfId="12026"/>
    <tableColumn id="4384" xr3:uid="{08E7E82E-B989-4A3E-81B7-847949C43AFB}" name="Column4360" dataDxfId="12025"/>
    <tableColumn id="4385" xr3:uid="{233DE413-E3CE-45F5-84D4-14BFEB803861}" name="Column4361" dataDxfId="12024"/>
    <tableColumn id="4386" xr3:uid="{ECC0665E-9B0E-414C-8F3C-41985C46FB3E}" name="Column4362" dataDxfId="12023"/>
    <tableColumn id="4387" xr3:uid="{40A029A9-FB3A-45B4-8210-46D632900ABB}" name="Column4363" dataDxfId="12022"/>
    <tableColumn id="4388" xr3:uid="{6576D39E-C231-4E84-A5BE-A817A970A51C}" name="Column4364" dataDxfId="12021"/>
    <tableColumn id="4389" xr3:uid="{65E0A04E-650A-42EB-9473-BC73C8A5331E}" name="Column4365" dataDxfId="12020"/>
    <tableColumn id="4390" xr3:uid="{6F7E4E2B-3087-48B5-B0DB-530F5F658F48}" name="Column4366" dataDxfId="12019"/>
    <tableColumn id="4391" xr3:uid="{48E35336-73D4-4B09-82FA-8E34A871902C}" name="Column4367" dataDxfId="12018"/>
    <tableColumn id="4392" xr3:uid="{2173D677-197E-4751-A266-4AF2C404D521}" name="Column4368" dataDxfId="12017"/>
    <tableColumn id="4393" xr3:uid="{3E7D6D25-7616-49E8-B7E5-63AA98D0247B}" name="Column4369" dataDxfId="12016"/>
    <tableColumn id="4394" xr3:uid="{CA25DC04-268E-42E3-98B2-B759AA8D42BF}" name="Column4370" dataDxfId="12015"/>
    <tableColumn id="4395" xr3:uid="{D0BF1DE1-C175-4777-825C-47D664346969}" name="Column4371" dataDxfId="12014"/>
    <tableColumn id="4396" xr3:uid="{9569DE7A-0493-4185-A9BC-662848585F17}" name="Column4372" dataDxfId="12013"/>
    <tableColumn id="4397" xr3:uid="{4CF99B6D-EDB7-4D5D-9478-E7BA40ED71F2}" name="Column4373" dataDxfId="12012"/>
    <tableColumn id="4398" xr3:uid="{BE553FC8-032E-4670-B2E4-9AEC6B1F0E26}" name="Column4374" dataDxfId="12011"/>
    <tableColumn id="4399" xr3:uid="{196D8D91-CE00-415A-9888-78F3A3B280BA}" name="Column4375" dataDxfId="12010"/>
    <tableColumn id="4400" xr3:uid="{ADBCD48C-1926-459C-94B7-67381363CCB6}" name="Column4376" dataDxfId="12009"/>
    <tableColumn id="4401" xr3:uid="{31AFC136-88A1-4D6C-A0E2-E42D28776E20}" name="Column4377" dataDxfId="12008"/>
    <tableColumn id="4402" xr3:uid="{72F12E20-8E45-478F-B4AC-B8C185CBE515}" name="Column4378" dataDxfId="12007"/>
    <tableColumn id="4403" xr3:uid="{70A9752E-71EC-4034-A2E9-60CAD17BF5C9}" name="Column4379" dataDxfId="12006"/>
    <tableColumn id="4404" xr3:uid="{E3406C88-DA40-496A-AAF5-F251A1B5F5A9}" name="Column4380" dataDxfId="12005"/>
    <tableColumn id="4405" xr3:uid="{5201A8E3-43CF-4F9A-A33D-F9771B70DFB3}" name="Column4381" dataDxfId="12004"/>
    <tableColumn id="4406" xr3:uid="{3BB07226-5D6E-40AF-99B9-BE08B629EDB8}" name="Column4382" dataDxfId="12003"/>
    <tableColumn id="4407" xr3:uid="{735E6B11-6500-4200-8974-0A47A0DD5BC5}" name="Column4383" dataDxfId="12002"/>
    <tableColumn id="4408" xr3:uid="{D592DD03-686F-4C4B-BA22-C82B669E2A55}" name="Column4384" dataDxfId="12001"/>
    <tableColumn id="4409" xr3:uid="{36B54038-AEA1-4E8F-B9E6-A61AA7154AD1}" name="Column4385" dataDxfId="12000"/>
    <tableColumn id="4410" xr3:uid="{6806B99F-E0F8-463C-8895-2A7490A80EC6}" name="Column4386" dataDxfId="11999"/>
    <tableColumn id="4411" xr3:uid="{FEAA60CF-1305-48C7-BE58-13B40EA72BAB}" name="Column4387" dataDxfId="11998"/>
    <tableColumn id="4412" xr3:uid="{6606122A-B1DB-4E7A-8D04-EF4CDC50A1B2}" name="Column4388" dataDxfId="11997"/>
    <tableColumn id="4413" xr3:uid="{71BAB222-97B1-4C1B-BDA0-4DF1A1AE2300}" name="Column4389" dataDxfId="11996"/>
    <tableColumn id="4414" xr3:uid="{F15457A7-8B16-4041-87AC-7B21162C8192}" name="Column4390" dataDxfId="11995"/>
    <tableColumn id="4415" xr3:uid="{DF272EFA-CAC0-46D4-903B-16A8409A7F57}" name="Column4391" dataDxfId="11994"/>
    <tableColumn id="4416" xr3:uid="{DA0021B1-41A8-489D-A70E-2F3432DE9FE9}" name="Column4392" dataDxfId="11993"/>
    <tableColumn id="4417" xr3:uid="{8209CFB7-5E0D-40BC-A6A9-B000475C9C5E}" name="Column4393" dataDxfId="11992"/>
    <tableColumn id="4418" xr3:uid="{5D36D136-78F1-4244-846A-4EBE1FAF8F69}" name="Column4394" dataDxfId="11991"/>
    <tableColumn id="4419" xr3:uid="{B6728829-76E3-4B8F-8837-F96D96E3664F}" name="Column4395" dataDxfId="11990"/>
    <tableColumn id="4420" xr3:uid="{31E76444-6B40-48DF-BDFC-FC644DFEFD4B}" name="Column4396" dataDxfId="11989"/>
    <tableColumn id="4421" xr3:uid="{75C7F6E7-BBBC-480B-A463-35CF75BD9B0D}" name="Column4397" dataDxfId="11988"/>
    <tableColumn id="4422" xr3:uid="{C8DCD251-DCC3-4427-84BA-1AFED0D01D36}" name="Column4398" dataDxfId="11987"/>
    <tableColumn id="4423" xr3:uid="{4C304E1E-91B2-4F43-AF04-9B3F24840CE0}" name="Column4399" dataDxfId="11986"/>
    <tableColumn id="4424" xr3:uid="{082728CA-9A73-414E-B123-2D78169C7F8D}" name="Column4400" dataDxfId="11985"/>
    <tableColumn id="4425" xr3:uid="{A391C4DF-9718-4076-A717-9CB2A1FC4614}" name="Column4401" dataDxfId="11984"/>
    <tableColumn id="4426" xr3:uid="{91C5AFEE-E2F3-4F12-AAC6-721E8BAEB084}" name="Column4402" dataDxfId="11983"/>
    <tableColumn id="4427" xr3:uid="{DC708FCA-B8CC-4287-9666-A8C04CC8DAF4}" name="Column4403" dataDxfId="11982"/>
    <tableColumn id="4428" xr3:uid="{2C9B9D96-6DFB-4E63-8188-056CBB247490}" name="Column4404" dataDxfId="11981"/>
    <tableColumn id="4429" xr3:uid="{A811B665-2D53-4580-9C48-A6F6291F95D2}" name="Column4405" dataDxfId="11980"/>
    <tableColumn id="4430" xr3:uid="{47186852-95CA-446D-BAD4-F7B8F04F5972}" name="Column4406" dataDxfId="11979"/>
    <tableColumn id="4431" xr3:uid="{BC47D90A-15DB-413A-B8B4-4A17BE60F442}" name="Column4407" dataDxfId="11978"/>
    <tableColumn id="4432" xr3:uid="{DE08236C-C1CF-47E7-A595-8AD29FB85234}" name="Column4408" dataDxfId="11977"/>
    <tableColumn id="4433" xr3:uid="{B9283A10-4EDA-42F0-B51B-FDD9F4AA2596}" name="Column4409" dataDxfId="11976"/>
    <tableColumn id="4434" xr3:uid="{0C1A1E84-3918-4B4A-A5DB-1D85D6795A0B}" name="Column4410" dataDxfId="11975"/>
    <tableColumn id="4435" xr3:uid="{AE21F4C8-0601-457A-80D6-599FFD096393}" name="Column4411" dataDxfId="11974"/>
    <tableColumn id="4436" xr3:uid="{1A8AAD88-1DA9-4482-AC8F-26524F41690D}" name="Column4412" dataDxfId="11973"/>
    <tableColumn id="4437" xr3:uid="{0EA7EF1E-D8A0-4AAF-BDE0-05FFA8E55C69}" name="Column4413" dataDxfId="11972"/>
    <tableColumn id="4438" xr3:uid="{18A72A9D-CC0A-461A-83E1-105174DA55FE}" name="Column4414" dataDxfId="11971"/>
    <tableColumn id="4439" xr3:uid="{B55E7F44-1CF1-4047-ABE5-3DFB87FE8BC3}" name="Column4415" dataDxfId="11970"/>
    <tableColumn id="4440" xr3:uid="{E5AF835D-4016-4EE7-9715-466540D099F7}" name="Column4416" dataDxfId="11969"/>
    <tableColumn id="4441" xr3:uid="{5759BA4E-A6AB-4C57-A6C9-B668C38A2C74}" name="Column4417" dataDxfId="11968"/>
    <tableColumn id="4442" xr3:uid="{23D09406-D6B3-48A5-93BD-33BAEE9E67DB}" name="Column4418" dataDxfId="11967"/>
    <tableColumn id="4443" xr3:uid="{2D479E6A-CCED-4C05-8A05-35F0D79E4944}" name="Column4419" dataDxfId="11966"/>
    <tableColumn id="4444" xr3:uid="{1CE2D680-A27B-41D2-BB22-2BBE24DCEF73}" name="Column4420" dataDxfId="11965"/>
    <tableColumn id="4445" xr3:uid="{62ADE81C-C37C-4152-A895-CF50153E07B2}" name="Column4421" dataDxfId="11964"/>
    <tableColumn id="4446" xr3:uid="{3ACA6295-5708-476E-96B2-BFF5207AB164}" name="Column4422" dataDxfId="11963"/>
    <tableColumn id="4447" xr3:uid="{DBEBB1F7-FF02-46CF-BE91-816F0F6D300C}" name="Column4423" dataDxfId="11962"/>
    <tableColumn id="4448" xr3:uid="{258F3290-C4AE-4401-A7AA-7F7F76CAA2C6}" name="Column4424" dataDxfId="11961"/>
    <tableColumn id="4449" xr3:uid="{77D4CC82-AF3D-48FA-8A53-736B7566C75D}" name="Column4425" dataDxfId="11960"/>
    <tableColumn id="4450" xr3:uid="{6CA7FA67-4908-4B38-BF0A-A34C040EFF59}" name="Column4426" dataDxfId="11959"/>
    <tableColumn id="4451" xr3:uid="{F47C5C05-3E02-4ADE-9FB8-0F7D2ECF514D}" name="Column4427" dataDxfId="11958"/>
    <tableColumn id="4452" xr3:uid="{AB2C6D37-38C1-45C6-B44D-2541E889A11E}" name="Column4428" dataDxfId="11957"/>
    <tableColumn id="4453" xr3:uid="{01039F6B-E46D-4042-B446-65677963B2B2}" name="Column4429" dataDxfId="11956"/>
    <tableColumn id="4454" xr3:uid="{BEA06AFB-A0B0-4964-980A-8BB7466837AB}" name="Column4430" dataDxfId="11955"/>
    <tableColumn id="4455" xr3:uid="{F8456BBE-E478-40DD-A2CF-F6EAC68BB2FD}" name="Column4431" dataDxfId="11954"/>
    <tableColumn id="4456" xr3:uid="{92FDCC70-4567-4A7D-8190-FB062AADFD8F}" name="Column4432" dataDxfId="11953"/>
    <tableColumn id="4457" xr3:uid="{C379D201-FC0D-4BD0-8350-4829F3ED3402}" name="Column4433" dataDxfId="11952"/>
    <tableColumn id="4458" xr3:uid="{990D2428-3A9C-43A3-89E0-1710BE631E34}" name="Column4434" dataDxfId="11951"/>
    <tableColumn id="4459" xr3:uid="{9AA90E17-9E49-42C1-810A-032B7AFE821E}" name="Column4435" dataDxfId="11950"/>
    <tableColumn id="4460" xr3:uid="{55F0B873-0D54-480E-AB01-D50146587A66}" name="Column4436" dataDxfId="11949"/>
    <tableColumn id="4461" xr3:uid="{C92C4B86-7C18-4449-94D9-451EE6B228C7}" name="Column4437" dataDxfId="11948"/>
    <tableColumn id="4462" xr3:uid="{DDE831F8-18D1-4135-A39B-7269C3F48F2F}" name="Column4438" dataDxfId="11947"/>
    <tableColumn id="4463" xr3:uid="{C1555CB8-A295-4236-A722-E7EA5F795401}" name="Column4439" dataDxfId="11946"/>
    <tableColumn id="4464" xr3:uid="{D1508F55-E40F-4FF6-8E34-2B2E25BF0B6D}" name="Column4440" dataDxfId="11945"/>
    <tableColumn id="4465" xr3:uid="{1DFB2C01-2739-4613-8776-16F2FCEDB18C}" name="Column4441" dataDxfId="11944"/>
    <tableColumn id="4466" xr3:uid="{5E8FAE57-3B66-409C-AE3E-517B4129B4D3}" name="Column4442" dataDxfId="11943"/>
    <tableColumn id="4467" xr3:uid="{3D5A66DF-1FE7-4344-B63F-6109F0AE41D0}" name="Column4443" dataDxfId="11942"/>
    <tableColumn id="4468" xr3:uid="{B011F714-3CAC-4A55-932B-CE1A0B7F70B8}" name="Column4444" dataDxfId="11941"/>
    <tableColumn id="4469" xr3:uid="{082E90BD-EE39-4199-9B47-B2CE669C1198}" name="Column4445" dataDxfId="11940"/>
    <tableColumn id="4470" xr3:uid="{3289C0E7-5341-47C2-977E-8F192B9D7ED1}" name="Column4446" dataDxfId="11939"/>
    <tableColumn id="4471" xr3:uid="{8D2E35A4-0BD3-4F77-8C28-E8E844EBFDC7}" name="Column4447" dataDxfId="11938"/>
    <tableColumn id="4472" xr3:uid="{4A72019A-A179-4D92-B349-2B6400D955C0}" name="Column4448" dataDxfId="11937"/>
    <tableColumn id="4473" xr3:uid="{4E68E0DB-5A8C-423F-92F6-81B1B991ED0A}" name="Column4449" dataDxfId="11936"/>
    <tableColumn id="4474" xr3:uid="{BA6F1EBF-6353-42F0-A0AC-85C85138C54A}" name="Column4450" dataDxfId="11935"/>
    <tableColumn id="4475" xr3:uid="{5555765A-8CAF-46C5-BDAB-6E3B07A6C1A1}" name="Column4451" dataDxfId="11934"/>
    <tableColumn id="4476" xr3:uid="{4058CD01-1221-44AF-936F-B9260560F812}" name="Column4452" dataDxfId="11933"/>
    <tableColumn id="4477" xr3:uid="{FB83044F-0DA3-45FB-A778-1044F931D66D}" name="Column4453" dataDxfId="11932"/>
    <tableColumn id="4478" xr3:uid="{806781A1-1AF3-483D-9677-421D19E2BF2A}" name="Column4454" dataDxfId="11931"/>
    <tableColumn id="4479" xr3:uid="{7A78D191-808F-46E1-B7E3-2702A9FE1854}" name="Column4455" dataDxfId="11930"/>
    <tableColumn id="4480" xr3:uid="{87935BF4-3B19-46B6-A5E4-3242B469CF80}" name="Column4456" dataDxfId="11929"/>
    <tableColumn id="4481" xr3:uid="{C08B1067-49F7-49D7-ACD2-2F6BE6F7B975}" name="Column4457" dataDxfId="11928"/>
    <tableColumn id="4482" xr3:uid="{777754F0-0A64-40C8-BEFC-D708730D6257}" name="Column4458" dataDxfId="11927"/>
    <tableColumn id="4483" xr3:uid="{82584641-664C-481E-BA25-26E35D8A669E}" name="Column4459" dataDxfId="11926"/>
    <tableColumn id="4484" xr3:uid="{86CAAF12-CE81-4105-970A-31B1CF533293}" name="Column4460" dataDxfId="11925"/>
    <tableColumn id="4485" xr3:uid="{29704C73-3901-4DEB-8D65-D408F4E16BA8}" name="Column4461" dataDxfId="11924"/>
    <tableColumn id="4486" xr3:uid="{6A989713-F8B8-4052-8176-53803BA8F9F9}" name="Column4462" dataDxfId="11923"/>
    <tableColumn id="4487" xr3:uid="{2A3739B2-A360-40C9-9EC5-029E13BEAC99}" name="Column4463" dataDxfId="11922"/>
    <tableColumn id="4488" xr3:uid="{B235A16C-AB54-49B8-91B5-5589E0B4B4CA}" name="Column4464" dataDxfId="11921"/>
    <tableColumn id="4489" xr3:uid="{2ABE0ACF-ABE6-450F-BEF2-137CB0874AFB}" name="Column4465" dataDxfId="11920"/>
    <tableColumn id="4490" xr3:uid="{B54EDA78-7354-44B4-BBE4-43F2389695CA}" name="Column4466" dataDxfId="11919"/>
    <tableColumn id="4491" xr3:uid="{9703AF75-50B9-4DFB-A6C7-6241169FFD1B}" name="Column4467" dataDxfId="11918"/>
    <tableColumn id="4492" xr3:uid="{3B7EB9EA-CD95-42D9-AA4A-D12FD6CE8B39}" name="Column4468" dataDxfId="11917"/>
    <tableColumn id="4493" xr3:uid="{D7E7A85A-DAA7-4734-9B28-CC6B24E5F140}" name="Column4469" dataDxfId="11916"/>
    <tableColumn id="4494" xr3:uid="{0A7BFEE0-4FB1-4C7B-A0E1-A21B1674180C}" name="Column4470" dataDxfId="11915"/>
    <tableColumn id="4495" xr3:uid="{301EC374-BF84-4385-8CED-ED5A8C2C4884}" name="Column4471" dataDxfId="11914"/>
    <tableColumn id="4496" xr3:uid="{A81309AE-A01F-4E1F-BD4D-710B10828BF5}" name="Column4472" dataDxfId="11913"/>
    <tableColumn id="4497" xr3:uid="{1922305F-DCCF-47CA-BB6E-205DEFAB6007}" name="Column4473" dataDxfId="11912"/>
    <tableColumn id="4498" xr3:uid="{8D0630E0-A9ED-4753-B904-89668D0B810A}" name="Column4474" dataDxfId="11911"/>
    <tableColumn id="4499" xr3:uid="{A0C305B1-E4C5-4AE2-A486-78E9E9FFC554}" name="Column4475" dataDxfId="11910"/>
    <tableColumn id="4500" xr3:uid="{993B67E5-4ABD-430A-AED1-0BB7D68EC073}" name="Column4476" dataDxfId="11909"/>
    <tableColumn id="4501" xr3:uid="{A5CD08C9-8EAA-4981-80E6-F68AAB647648}" name="Column4477" dataDxfId="11908"/>
    <tableColumn id="4502" xr3:uid="{FDE865E6-6FBD-40B6-AF0E-5B37F1A7CA62}" name="Column4478" dataDxfId="11907"/>
    <tableColumn id="4503" xr3:uid="{AAF61F7C-B638-461D-842E-5668B408F3B0}" name="Column4479" dataDxfId="11906"/>
    <tableColumn id="4504" xr3:uid="{3551D63A-EB80-4345-B515-A6E360F3B941}" name="Column4480" dataDxfId="11905"/>
    <tableColumn id="4505" xr3:uid="{D85A6222-84ED-452E-A53A-33250627D687}" name="Column4481" dataDxfId="11904"/>
    <tableColumn id="4506" xr3:uid="{AF8DC26E-618C-44F0-8A4F-4A50836BE11B}" name="Column4482" dataDxfId="11903"/>
    <tableColumn id="4507" xr3:uid="{642CD51D-073C-4F1D-8104-2895FFCB6238}" name="Column4483" dataDxfId="11902"/>
    <tableColumn id="4508" xr3:uid="{89D6DE81-66F7-4B39-B28E-5ACF665120DE}" name="Column4484" dataDxfId="11901"/>
    <tableColumn id="4509" xr3:uid="{4BC69133-48D1-42DA-A3A1-426876C3C121}" name="Column4485" dataDxfId="11900"/>
    <tableColumn id="4510" xr3:uid="{C2E6439B-A138-4C5A-8992-28EA696FEFF3}" name="Column4486" dataDxfId="11899"/>
    <tableColumn id="4511" xr3:uid="{18F8B3D1-67AA-42E1-8346-8ED90E730418}" name="Column4487" dataDxfId="11898"/>
    <tableColumn id="4512" xr3:uid="{8DE3DA3F-D2FA-4022-A694-B22B6603F798}" name="Column4488" dataDxfId="11897"/>
    <tableColumn id="4513" xr3:uid="{5651A0E1-812C-43F7-B490-8D2191943A77}" name="Column4489" dataDxfId="11896"/>
    <tableColumn id="4514" xr3:uid="{423FF63C-CBFE-43A6-BFC2-7E85C7F34373}" name="Column4490" dataDxfId="11895"/>
    <tableColumn id="4515" xr3:uid="{9B33CA6A-41AA-4C39-9B05-0CAB27EB162F}" name="Column4491" dataDxfId="11894"/>
    <tableColumn id="4516" xr3:uid="{2D0E7BA1-3A58-4CA5-B8A0-73F3215EFE58}" name="Column4492" dataDxfId="11893"/>
    <tableColumn id="4517" xr3:uid="{EC020BCC-C025-4411-9CB2-F6FCEA8154BE}" name="Column4493" dataDxfId="11892"/>
    <tableColumn id="4518" xr3:uid="{02BEFCB2-70E3-4543-8A39-AB97FCB47888}" name="Column4494" dataDxfId="11891"/>
    <tableColumn id="4519" xr3:uid="{4D9B29E2-6FD8-40CF-9DCD-0A8E570586FF}" name="Column4495" dataDxfId="11890"/>
    <tableColumn id="4520" xr3:uid="{A21ECD80-ACAA-4F9F-8821-49AD3580DD15}" name="Column4496" dataDxfId="11889"/>
    <tableColumn id="4521" xr3:uid="{958F8963-E040-476A-A848-A4ED3F79E507}" name="Column4497" dataDxfId="11888"/>
    <tableColumn id="4522" xr3:uid="{BF1F5C41-BDAD-49A2-ACAF-D2B8B9E6F9F8}" name="Column4498" dataDxfId="11887"/>
    <tableColumn id="4523" xr3:uid="{A888587D-A7D9-458E-AC87-0D69A27D76C7}" name="Column4499" dataDxfId="11886"/>
    <tableColumn id="4524" xr3:uid="{3F39BD42-A70D-413D-A1D1-76BE881AE04D}" name="Column4500" dataDxfId="11885"/>
    <tableColumn id="4525" xr3:uid="{D6FF1D3E-9067-49CF-8C4E-A51469C98101}" name="Column4501" dataDxfId="11884"/>
    <tableColumn id="4526" xr3:uid="{A95F71D7-9398-4521-9B5A-01F44165B953}" name="Column4502" dataDxfId="11883"/>
    <tableColumn id="4527" xr3:uid="{1F942937-A483-46AF-96F6-021CF528EF84}" name="Column4503" dataDxfId="11882"/>
    <tableColumn id="4528" xr3:uid="{BC6FF2FB-0DB3-402C-BBDC-5D9B06293574}" name="Column4504" dataDxfId="11881"/>
    <tableColumn id="4529" xr3:uid="{B4E50A1A-9219-4385-9B61-7BE90CD9402A}" name="Column4505" dataDxfId="11880"/>
    <tableColumn id="4530" xr3:uid="{EDC51584-CFD5-491D-A386-DECFDB3515C9}" name="Column4506" dataDxfId="11879"/>
    <tableColumn id="4531" xr3:uid="{275FC081-739F-46F2-B0E8-5309F1730CDB}" name="Column4507" dataDxfId="11878"/>
    <tableColumn id="4532" xr3:uid="{0DE512A0-6B78-4BF4-974D-5BB265379309}" name="Column4508" dataDxfId="11877"/>
    <tableColumn id="4533" xr3:uid="{3CA883AE-4811-42A3-91A3-8F4A5519C016}" name="Column4509" dataDxfId="11876"/>
    <tableColumn id="4534" xr3:uid="{B5C0A7D8-DEE8-4438-A8E2-60B47EB8E53D}" name="Column4510" dataDxfId="11875"/>
    <tableColumn id="4535" xr3:uid="{E9E579CE-EF5E-4CB3-9D02-26FE40E7C326}" name="Column4511" dataDxfId="11874"/>
    <tableColumn id="4536" xr3:uid="{F587F4CD-10D1-4D16-8B58-8ADB58C14ED3}" name="Column4512" dataDxfId="11873"/>
    <tableColumn id="4537" xr3:uid="{E23A8BDB-5DA6-46E5-8A3B-BA50E62D3897}" name="Column4513" dataDxfId="11872"/>
    <tableColumn id="4538" xr3:uid="{B3E5EE28-B35B-450A-A271-3D1104E2B05B}" name="Column4514" dataDxfId="11871"/>
    <tableColumn id="4539" xr3:uid="{6EE589EC-5242-40D1-A171-10FB5893FD16}" name="Column4515" dataDxfId="11870"/>
    <tableColumn id="4540" xr3:uid="{DBB259C8-49C6-4152-B0D7-55D3345E4757}" name="Column4516" dataDxfId="11869"/>
    <tableColumn id="4541" xr3:uid="{7CE044E4-C9DB-41D3-AF86-4706B6B73C7D}" name="Column4517" dataDxfId="11868"/>
    <tableColumn id="4542" xr3:uid="{B549A22F-1585-4180-8601-2326F7286234}" name="Column4518" dataDxfId="11867"/>
    <tableColumn id="4543" xr3:uid="{919D09BF-69A8-4D63-91E3-B0C1AC237C3D}" name="Column4519" dataDxfId="11866"/>
    <tableColumn id="4544" xr3:uid="{C3D1B526-6A12-4C16-B09E-70A45EF7C3D6}" name="Column4520" dataDxfId="11865"/>
    <tableColumn id="4545" xr3:uid="{DB778F98-901A-4E5C-967A-18A1522A8198}" name="Column4521" dataDxfId="11864"/>
    <tableColumn id="4546" xr3:uid="{41BA35BA-DAEB-457F-B396-276B8BA35E79}" name="Column4522" dataDxfId="11863"/>
    <tableColumn id="4547" xr3:uid="{B1EE79A8-EAC5-4111-A248-B8168CF364C1}" name="Column4523" dataDxfId="11862"/>
    <tableColumn id="4548" xr3:uid="{FC3EB963-9255-4737-B8A9-D238B78D6A0B}" name="Column4524" dataDxfId="11861"/>
    <tableColumn id="4549" xr3:uid="{2A0875BA-D56D-4D75-BB83-5424AD2DBAE8}" name="Column4525" dataDxfId="11860"/>
    <tableColumn id="4550" xr3:uid="{420AF5EB-C52C-4A4B-B741-D7DE63B74C82}" name="Column4526" dataDxfId="11859"/>
    <tableColumn id="4551" xr3:uid="{FF10E042-480A-4642-A4BC-8D39DA98608F}" name="Column4527" dataDxfId="11858"/>
    <tableColumn id="4552" xr3:uid="{D02A08AA-1E00-4D92-8F76-198081C79C40}" name="Column4528" dataDxfId="11857"/>
    <tableColumn id="4553" xr3:uid="{63E6944D-C759-4799-9A06-449194F1E82A}" name="Column4529" dataDxfId="11856"/>
    <tableColumn id="4554" xr3:uid="{29629BE3-4263-4608-843E-D953AF83B208}" name="Column4530" dataDxfId="11855"/>
    <tableColumn id="4555" xr3:uid="{875A070C-C557-47A8-A074-7242F63FCF9F}" name="Column4531" dataDxfId="11854"/>
    <tableColumn id="4556" xr3:uid="{1569DFFB-2E3C-4D4D-8D25-72F1951C3D86}" name="Column4532" dataDxfId="11853"/>
    <tableColumn id="4557" xr3:uid="{9F83B5E6-3E35-40F3-A8B9-7FB7A191E8BF}" name="Column4533" dataDxfId="11852"/>
    <tableColumn id="4558" xr3:uid="{2C61E389-9C4B-4E55-A40F-F3BE26C6A63B}" name="Column4534" dataDxfId="11851"/>
    <tableColumn id="4559" xr3:uid="{4EB078B2-28B1-4684-A7F9-EF0E323D7CD2}" name="Column4535" dataDxfId="11850"/>
    <tableColumn id="4560" xr3:uid="{E91237E5-756C-43D0-97E4-C8C7BF559580}" name="Column4536" dataDxfId="11849"/>
    <tableColumn id="4561" xr3:uid="{158381FE-9D9D-4EE5-9B3F-F5A87D093977}" name="Column4537" dataDxfId="11848"/>
    <tableColumn id="4562" xr3:uid="{95DDABAB-7C52-49C0-9330-79BBE3D54E8D}" name="Column4538" dataDxfId="11847"/>
    <tableColumn id="4563" xr3:uid="{EE9F5007-D0E4-41CA-97D1-188C09D8BD68}" name="Column4539" dataDxfId="11846"/>
    <tableColumn id="4564" xr3:uid="{5D4CE724-494F-4902-93CE-6E029AF5174E}" name="Column4540" dataDxfId="11845"/>
    <tableColumn id="4565" xr3:uid="{55179FB2-7866-4A1A-B82B-DC22D9A7D674}" name="Column4541" dataDxfId="11844"/>
    <tableColumn id="4566" xr3:uid="{5378A7EB-4706-4FF8-BD91-C1C142CC48DE}" name="Column4542" dataDxfId="11843"/>
    <tableColumn id="4567" xr3:uid="{91C38107-DF3E-4565-831F-40DB22B0EB4B}" name="Column4543" dataDxfId="11842"/>
    <tableColumn id="4568" xr3:uid="{24E181A6-F54D-4EBC-AFC5-36C002EE8681}" name="Column4544" dataDxfId="11841"/>
    <tableColumn id="4569" xr3:uid="{AACAB0FD-2390-4421-A1C4-E79CD2B19E99}" name="Column4545" dataDxfId="11840"/>
    <tableColumn id="4570" xr3:uid="{601BFFC7-76D0-429F-914C-E5805D5ADF2E}" name="Column4546" dataDxfId="11839"/>
    <tableColumn id="4571" xr3:uid="{365CFD17-9244-40F3-BD53-4E39B2860ADA}" name="Column4547" dataDxfId="11838"/>
    <tableColumn id="4572" xr3:uid="{CE47295E-AFF9-40E6-B606-E9FB873FB605}" name="Column4548" dataDxfId="11837"/>
    <tableColumn id="4573" xr3:uid="{5D2A7DB7-D6ED-4185-A8C5-EE9F4F7DE137}" name="Column4549" dataDxfId="11836"/>
    <tableColumn id="4574" xr3:uid="{7DE2D4A7-41EE-4669-97A0-B07D39B5B040}" name="Column4550" dataDxfId="11835"/>
    <tableColumn id="4575" xr3:uid="{DDB34883-4AA4-481E-854F-A62949A65FB3}" name="Column4551" dataDxfId="11834"/>
    <tableColumn id="4576" xr3:uid="{3D0FBA09-8377-4678-B924-F6BAD23F6C78}" name="Column4552" dataDxfId="11833"/>
    <tableColumn id="4577" xr3:uid="{CFB144A0-4A4F-45BE-9ABF-78E9F6444425}" name="Column4553" dataDxfId="11832"/>
    <tableColumn id="4578" xr3:uid="{A4E2BB9D-2EBD-4548-8607-3A72B0A411E0}" name="Column4554" dataDxfId="11831"/>
    <tableColumn id="4579" xr3:uid="{5B4E7A87-F400-42E5-B200-530F39DE799F}" name="Column4555" dataDxfId="11830"/>
    <tableColumn id="4580" xr3:uid="{46F83A2D-8864-4319-9FCB-401C4D022D27}" name="Column4556" dataDxfId="11829"/>
    <tableColumn id="4581" xr3:uid="{A5CE68AD-F837-44D7-AF2D-DC74C43BEF42}" name="Column4557" dataDxfId="11828"/>
    <tableColumn id="4582" xr3:uid="{42CFA55F-6C44-4989-BFEB-635D2825DF62}" name="Column4558" dataDxfId="11827"/>
    <tableColumn id="4583" xr3:uid="{C39C4801-3B8B-4285-84C6-F37D04D3E051}" name="Column4559" dataDxfId="11826"/>
    <tableColumn id="4584" xr3:uid="{F9D2CA46-1E47-41EE-81BD-FAAE9FBCDDF1}" name="Column4560" dataDxfId="11825"/>
    <tableColumn id="4585" xr3:uid="{59F73D21-F686-4018-AF70-F35FFAC9E087}" name="Column4561" dataDxfId="11824"/>
    <tableColumn id="4586" xr3:uid="{70F3846F-EEF2-4E8E-98BD-14155AA0FC0C}" name="Column4562" dataDxfId="11823"/>
    <tableColumn id="4587" xr3:uid="{4091693C-8EB0-40B5-ABF5-DDBD1D676DB5}" name="Column4563" dataDxfId="11822"/>
    <tableColumn id="4588" xr3:uid="{2DAF913A-BA51-48CB-99B9-24D9AD71AA2D}" name="Column4564" dataDxfId="11821"/>
    <tableColumn id="4589" xr3:uid="{6D2572F6-6994-4610-A394-D65A5D91D6A5}" name="Column4565" dataDxfId="11820"/>
    <tableColumn id="4590" xr3:uid="{9643D9AB-75CA-4418-A30F-0917359EDC1E}" name="Column4566" dataDxfId="11819"/>
    <tableColumn id="4591" xr3:uid="{5EE5944D-B3EF-4FA8-9397-37E16D92A88F}" name="Column4567" dataDxfId="11818"/>
    <tableColumn id="4592" xr3:uid="{18DB8A5F-35B7-47B0-98A6-8B679BDF7173}" name="Column4568" dataDxfId="11817"/>
    <tableColumn id="4593" xr3:uid="{6E6967E3-1640-4D8D-A069-C13AD0EA4456}" name="Column4569" dataDxfId="11816"/>
    <tableColumn id="4594" xr3:uid="{CB7F41EB-8D8E-4BBD-855E-2B4DEB5B6808}" name="Column4570" dataDxfId="11815"/>
    <tableColumn id="4595" xr3:uid="{0183D379-7F21-4822-BAC5-405DBA702CB9}" name="Column4571" dataDxfId="11814"/>
    <tableColumn id="4596" xr3:uid="{8776A699-8991-4050-AACB-1466362351ED}" name="Column4572" dataDxfId="11813"/>
    <tableColumn id="4597" xr3:uid="{0AABADF8-CC3B-4770-9D39-441296D5DBA7}" name="Column4573" dataDxfId="11812"/>
    <tableColumn id="4598" xr3:uid="{A1712F22-2467-4D92-942F-88D824EB7F3E}" name="Column4574" dataDxfId="11811"/>
    <tableColumn id="4599" xr3:uid="{5F82C578-4B5B-406C-AF22-36050A25B711}" name="Column4575" dataDxfId="11810"/>
    <tableColumn id="4600" xr3:uid="{0A45BDA2-C0F3-4716-8643-58E582FC393E}" name="Column4576" dataDxfId="11809"/>
    <tableColumn id="4601" xr3:uid="{2F3DC444-7B59-4D35-B5A8-487246C8EDDB}" name="Column4577" dataDxfId="11808"/>
    <tableColumn id="4602" xr3:uid="{3EEF128E-010F-4395-9D04-C2ED5614D01E}" name="Column4578" dataDxfId="11807"/>
    <tableColumn id="4603" xr3:uid="{3F50DFEF-D5E2-4B1D-B610-9A4474734D76}" name="Column4579" dataDxfId="11806"/>
    <tableColumn id="4604" xr3:uid="{6B4AAB19-9AB7-4AB7-9654-28477EB363D6}" name="Column4580" dataDxfId="11805"/>
    <tableColumn id="4605" xr3:uid="{498C8E5B-4C10-4794-BA7D-CDB549DAD1C7}" name="Column4581" dataDxfId="11804"/>
    <tableColumn id="4606" xr3:uid="{7E63A817-3CF0-4742-A73C-6D58E7C49B19}" name="Column4582" dataDxfId="11803"/>
    <tableColumn id="4607" xr3:uid="{E6820586-5700-4C5E-BE98-C190ADB7EBE2}" name="Column4583" dataDxfId="11802"/>
    <tableColumn id="4608" xr3:uid="{F7F9E034-46D8-40CB-8DEB-4283BED1A3B9}" name="Column4584" dataDxfId="11801"/>
    <tableColumn id="4609" xr3:uid="{67DECA32-87D6-4A29-AB72-4607137C4A20}" name="Column4585" dataDxfId="11800"/>
    <tableColumn id="4610" xr3:uid="{FBFE30CB-F17A-44BC-AB65-0905B175E0B6}" name="Column4586" dataDxfId="11799"/>
    <tableColumn id="4611" xr3:uid="{065CC0CA-92A8-44AE-8473-87D4282719B6}" name="Column4587" dataDxfId="11798"/>
    <tableColumn id="4612" xr3:uid="{69793DE9-0AF2-4E5C-B541-E6D0931F0673}" name="Column4588" dataDxfId="11797"/>
    <tableColumn id="4613" xr3:uid="{537E042F-2384-44D1-84C3-870DB5688DC6}" name="Column4589" dataDxfId="11796"/>
    <tableColumn id="4614" xr3:uid="{6B9114CF-9B56-4C9B-AC7F-2BA126924D45}" name="Column4590" dataDxfId="11795"/>
    <tableColumn id="4615" xr3:uid="{C8FF58F5-3B62-432C-BF33-E0DFFEED408A}" name="Column4591" dataDxfId="11794"/>
    <tableColumn id="4616" xr3:uid="{8B5069D8-BA07-40A9-BB33-76D08A279A95}" name="Column4592" dataDxfId="11793"/>
    <tableColumn id="4617" xr3:uid="{B1A4FBB5-7734-4157-B282-8C9BE9B9C745}" name="Column4593" dataDxfId="11792"/>
    <tableColumn id="4618" xr3:uid="{7754099B-8FD9-447B-B0E1-1BEFA0834DF6}" name="Column4594" dataDxfId="11791"/>
    <tableColumn id="4619" xr3:uid="{9442822D-7E68-473B-99F6-7D7C9617E9F9}" name="Column4595" dataDxfId="11790"/>
    <tableColumn id="4620" xr3:uid="{B8335C8C-E6FD-4E42-A38A-29C7E227EBDA}" name="Column4596" dataDxfId="11789"/>
    <tableColumn id="4621" xr3:uid="{0654C4D7-782B-4223-B106-FB581D7F6529}" name="Column4597" dataDxfId="11788"/>
    <tableColumn id="4622" xr3:uid="{4BE43874-8B32-4ACF-BF47-030DE7A245A2}" name="Column4598" dataDxfId="11787"/>
    <tableColumn id="4623" xr3:uid="{2FEC65F9-2009-4786-A123-D47245C9009F}" name="Column4599" dataDxfId="11786"/>
    <tableColumn id="4624" xr3:uid="{89CA375D-EFDC-4F32-8028-8E7457B75FD0}" name="Column4600" dataDxfId="11785"/>
    <tableColumn id="4625" xr3:uid="{CE53FCE9-4A80-40EB-A16C-D71C9FC8B32F}" name="Column4601" dataDxfId="11784"/>
    <tableColumn id="4626" xr3:uid="{1A747C62-B563-4C4D-8962-503D14061879}" name="Column4602" dataDxfId="11783"/>
    <tableColumn id="4627" xr3:uid="{B47D5EC0-B1AD-49CA-8142-E03A6876B83C}" name="Column4603" dataDxfId="11782"/>
    <tableColumn id="4628" xr3:uid="{09457D4B-3624-491B-B315-E358D6D0776C}" name="Column4604" dataDxfId="11781"/>
    <tableColumn id="4629" xr3:uid="{12F4F490-74A5-4A92-BB5A-69CD2EC0F3F8}" name="Column4605" dataDxfId="11780"/>
    <tableColumn id="4630" xr3:uid="{3C01D93C-C967-49DE-9C60-A3082973565D}" name="Column4606" dataDxfId="11779"/>
    <tableColumn id="4631" xr3:uid="{7973CF18-DBF2-42BA-AC3D-4E96BA534132}" name="Column4607" dataDxfId="11778"/>
    <tableColumn id="4632" xr3:uid="{DB07B57F-2B81-4595-8CB5-DC3F89879F28}" name="Column4608" dataDxfId="11777"/>
    <tableColumn id="4633" xr3:uid="{24EE86C1-7B65-4D93-9571-7DF5870D93DB}" name="Column4609" dataDxfId="11776"/>
    <tableColumn id="4634" xr3:uid="{87F2C1BD-6C3B-4B0D-9C1F-6BD44CC7FFAD}" name="Column4610" dataDxfId="11775"/>
    <tableColumn id="4635" xr3:uid="{E62F6D19-E45B-4219-B364-7E6501A875E0}" name="Column4611" dataDxfId="11774"/>
    <tableColumn id="4636" xr3:uid="{D0871BED-C340-4F13-844A-56DB45597229}" name="Column4612" dataDxfId="11773"/>
    <tableColumn id="4637" xr3:uid="{A48BF708-77B5-4482-9877-46F261228457}" name="Column4613" dataDxfId="11772"/>
    <tableColumn id="4638" xr3:uid="{C80BFAD9-F065-4810-B11D-C864515AE12D}" name="Column4614" dataDxfId="11771"/>
    <tableColumn id="4639" xr3:uid="{8DA3BE09-693E-458D-A30A-3E066EDFAEB1}" name="Column4615" dataDxfId="11770"/>
    <tableColumn id="4640" xr3:uid="{9849238E-846C-4B95-A25E-719BCC283350}" name="Column4616" dataDxfId="11769"/>
    <tableColumn id="4641" xr3:uid="{C9C6C5CB-E643-4C2A-9027-1645A51AA771}" name="Column4617" dataDxfId="11768"/>
    <tableColumn id="4642" xr3:uid="{F3D232C1-CCC7-40EE-842E-A649279DFFE0}" name="Column4618" dataDxfId="11767"/>
    <tableColumn id="4643" xr3:uid="{C17481A4-EAE5-4071-88A3-D4351556FBBF}" name="Column4619" dataDxfId="11766"/>
    <tableColumn id="4644" xr3:uid="{59CA89CA-AB84-42A6-8651-93FB953E27A8}" name="Column4620" dataDxfId="11765"/>
    <tableColumn id="4645" xr3:uid="{6E2E010C-A534-4C66-A4BF-AC8964AB8851}" name="Column4621" dataDxfId="11764"/>
    <tableColumn id="4646" xr3:uid="{A1110081-74E3-4F99-B99B-7D00C48B449D}" name="Column4622" dataDxfId="11763"/>
    <tableColumn id="4647" xr3:uid="{DC863DCD-E170-4281-8763-82DA05F83819}" name="Column4623" dataDxfId="11762"/>
    <tableColumn id="4648" xr3:uid="{E836B891-493C-400E-AA44-B187A4555FDE}" name="Column4624" dataDxfId="11761"/>
    <tableColumn id="4649" xr3:uid="{958E2143-8BA8-47EF-9AC1-6570470F7524}" name="Column4625" dataDxfId="11760"/>
    <tableColumn id="4650" xr3:uid="{164AD5DF-7E7B-4ECD-820B-433E2DCA135F}" name="Column4626" dataDxfId="11759"/>
    <tableColumn id="4651" xr3:uid="{824D4CCA-C419-4AF5-A95F-0B49392C7FB6}" name="Column4627" dataDxfId="11758"/>
    <tableColumn id="4652" xr3:uid="{7A1A8F31-9566-4C1A-8478-801C626DAE58}" name="Column4628" dataDxfId="11757"/>
    <tableColumn id="4653" xr3:uid="{E4ABEAC0-01A6-4CB8-96EC-2D62D0E1A68E}" name="Column4629" dataDxfId="11756"/>
    <tableColumn id="4654" xr3:uid="{F1327EAA-CE17-48E8-9E8C-F2504BD40CA5}" name="Column4630" dataDxfId="11755"/>
    <tableColumn id="4655" xr3:uid="{F094A1BF-F8CD-4629-81AF-F7A2363E3093}" name="Column4631" dataDxfId="11754"/>
    <tableColumn id="4656" xr3:uid="{40D05517-B2E0-430F-91F5-2BC42A66EB13}" name="Column4632" dataDxfId="11753"/>
    <tableColumn id="4657" xr3:uid="{4296DDB4-8EEB-451B-A575-C50A1AF0083C}" name="Column4633" dataDxfId="11752"/>
    <tableColumn id="4658" xr3:uid="{F76CA03C-A0C5-4224-ACB1-8A98387EE801}" name="Column4634" dataDxfId="11751"/>
    <tableColumn id="4659" xr3:uid="{299567A0-8562-4D06-BF0D-52B533BF15D9}" name="Column4635" dataDxfId="11750"/>
    <tableColumn id="4660" xr3:uid="{9B8C95E8-FF4B-4B51-9B67-340527A71CAD}" name="Column4636" dataDxfId="11749"/>
    <tableColumn id="4661" xr3:uid="{42D9A21E-11EC-40A9-A00B-C21E2277DEDE}" name="Column4637" dataDxfId="11748"/>
    <tableColumn id="4662" xr3:uid="{8D376211-98AF-44E2-A256-6F786A54618B}" name="Column4638" dataDxfId="11747"/>
    <tableColumn id="4663" xr3:uid="{13570EF9-D3D7-4409-ADB1-0CAD6E9506A2}" name="Column4639" dataDxfId="11746"/>
    <tableColumn id="4664" xr3:uid="{FB966F6E-8BE9-4D70-9E37-4B5F30F5666C}" name="Column4640" dataDxfId="11745"/>
    <tableColumn id="4665" xr3:uid="{A1FC458B-343E-43A0-AB23-F52B8EFCA756}" name="Column4641" dataDxfId="11744"/>
    <tableColumn id="4666" xr3:uid="{3F6928A4-9CD4-4C03-8F9C-6522DF2247B9}" name="Column4642" dataDxfId="11743"/>
    <tableColumn id="4667" xr3:uid="{1CF2EEAB-94F3-4D5D-9781-07AA73480B2C}" name="Column4643" dataDxfId="11742"/>
    <tableColumn id="4668" xr3:uid="{7281D44C-E367-4BE0-A671-AE5289DDF2F7}" name="Column4644" dataDxfId="11741"/>
    <tableColumn id="4669" xr3:uid="{B1619F98-4CE0-40AA-80C2-4D9571DFA8DF}" name="Column4645" dataDxfId="11740"/>
    <tableColumn id="4670" xr3:uid="{2B390901-6FDD-43D4-A9BC-EC5D8F98FDAF}" name="Column4646" dataDxfId="11739"/>
    <tableColumn id="4671" xr3:uid="{92D6ACCE-6E7F-4D1F-B8B5-00B5DEE0F847}" name="Column4647" dataDxfId="11738"/>
    <tableColumn id="4672" xr3:uid="{9ABEBCB9-7499-4BC8-B740-0E58C355E835}" name="Column4648" dataDxfId="11737"/>
    <tableColumn id="4673" xr3:uid="{0B9F253B-8019-4E45-9EEE-78A76E6DC10E}" name="Column4649" dataDxfId="11736"/>
    <tableColumn id="4674" xr3:uid="{2D16952E-94D4-49F3-A950-4939AEF9214E}" name="Column4650" dataDxfId="11735"/>
    <tableColumn id="4675" xr3:uid="{2B370E22-1BF3-4FD3-9A4D-E8B7CC7A2077}" name="Column4651" dataDxfId="11734"/>
    <tableColumn id="4676" xr3:uid="{C32F56EE-2004-4428-A459-1BF6628906F2}" name="Column4652" dataDxfId="11733"/>
    <tableColumn id="4677" xr3:uid="{74F2F04E-72F0-4F06-814E-0A74FC597886}" name="Column4653" dataDxfId="11732"/>
    <tableColumn id="4678" xr3:uid="{DB1B9CAA-6DE9-482E-8D84-4E441C9CF463}" name="Column4654" dataDxfId="11731"/>
    <tableColumn id="4679" xr3:uid="{08CE8F8B-FB49-4208-8387-AF9D09F7C1C8}" name="Column4655" dataDxfId="11730"/>
    <tableColumn id="4680" xr3:uid="{403E2E78-01A3-4F6A-A2F4-E86914D00EB8}" name="Column4656" dataDxfId="11729"/>
    <tableColumn id="4681" xr3:uid="{71731BF1-6623-40FD-A67B-9B2D7DC82AEF}" name="Column4657" dataDxfId="11728"/>
    <tableColumn id="4682" xr3:uid="{980BE715-BC95-48A6-8028-E5369F701B96}" name="Column4658" dataDxfId="11727"/>
    <tableColumn id="4683" xr3:uid="{E424EAEB-892B-4E7D-B3CD-ED3A1CF888F6}" name="Column4659" dataDxfId="11726"/>
    <tableColumn id="4684" xr3:uid="{83A541EB-4051-4AD1-AB41-4047D6B4BE99}" name="Column4660" dataDxfId="11725"/>
    <tableColumn id="4685" xr3:uid="{86E37563-59DE-4B14-A954-3558A5903488}" name="Column4661" dataDxfId="11724"/>
    <tableColumn id="4686" xr3:uid="{E013853C-7A6A-487D-B28C-94CDC82C5E9B}" name="Column4662" dataDxfId="11723"/>
    <tableColumn id="4687" xr3:uid="{4DBC403F-D8EE-473E-9A4E-0D59E748287D}" name="Column4663" dataDxfId="11722"/>
    <tableColumn id="4688" xr3:uid="{BF9FD912-4B34-498F-B183-76B1FDD7E6A7}" name="Column4664" dataDxfId="11721"/>
    <tableColumn id="4689" xr3:uid="{904C2438-31B0-4C44-AFE1-644D2BD8EFE8}" name="Column4665" dataDxfId="11720"/>
    <tableColumn id="4690" xr3:uid="{A202863C-0982-4586-A333-37876276A8E0}" name="Column4666" dataDxfId="11719"/>
    <tableColumn id="4691" xr3:uid="{C4675A95-F800-4A35-A8A3-05B0179D6EE9}" name="Column4667" dataDxfId="11718"/>
    <tableColumn id="4692" xr3:uid="{1503AAAE-8E4B-46A0-9350-5592AC0E000F}" name="Column4668" dataDxfId="11717"/>
    <tableColumn id="4693" xr3:uid="{5CD0B226-984F-4EEE-9040-826139433312}" name="Column4669" dataDxfId="11716"/>
    <tableColumn id="4694" xr3:uid="{AF26FD01-BAE8-4D77-8CF0-06163246AC9B}" name="Column4670" dataDxfId="11715"/>
    <tableColumn id="4695" xr3:uid="{3AA8AE07-D623-4F79-B151-6827B3968B66}" name="Column4671" dataDxfId="11714"/>
    <tableColumn id="4696" xr3:uid="{634321B2-2853-47A2-957A-7368E7FB21AD}" name="Column4672" dataDxfId="11713"/>
    <tableColumn id="4697" xr3:uid="{4EB5DDE5-8D7C-4456-9477-C1AD0E4263A8}" name="Column4673" dataDxfId="11712"/>
    <tableColumn id="4698" xr3:uid="{662FB9DE-C78A-440A-8A05-055FD3E1F15D}" name="Column4674" dataDxfId="11711"/>
    <tableColumn id="4699" xr3:uid="{A2A316E5-6B70-4FD9-ACCB-8E9184286FB1}" name="Column4675" dataDxfId="11710"/>
    <tableColumn id="4700" xr3:uid="{28648E26-2E75-471F-8CC6-7A8846CC00D9}" name="Column4676" dataDxfId="11709"/>
    <tableColumn id="4701" xr3:uid="{758D56BD-F3A4-490A-8C48-834508C6416C}" name="Column4677" dataDxfId="11708"/>
    <tableColumn id="4702" xr3:uid="{498CE258-7E83-4977-8EC9-CD3585D19869}" name="Column4678" dataDxfId="11707"/>
    <tableColumn id="4703" xr3:uid="{29E14D34-388E-4B22-A70F-5637DE9175B5}" name="Column4679" dataDxfId="11706"/>
    <tableColumn id="4704" xr3:uid="{6D400C59-63A4-4A52-B7F8-E320C58C6705}" name="Column4680" dataDxfId="11705"/>
    <tableColumn id="4705" xr3:uid="{B2EFCBAD-F4C9-4709-8645-D568B8D3CB2A}" name="Column4681" dataDxfId="11704"/>
    <tableColumn id="4706" xr3:uid="{2749E0F2-21F1-45CA-87EC-D4A9F6A74741}" name="Column4682" dataDxfId="11703"/>
    <tableColumn id="4707" xr3:uid="{1BF879BC-90EA-47A9-A601-4603227B29FD}" name="Column4683" dataDxfId="11702"/>
    <tableColumn id="4708" xr3:uid="{EB934111-500C-4466-9008-5EF6E6FF1EA9}" name="Column4684" dataDxfId="11701"/>
    <tableColumn id="4709" xr3:uid="{0B4DE4E5-B535-4E92-AD22-AD7BB0468FEE}" name="Column4685" dataDxfId="11700"/>
    <tableColumn id="4710" xr3:uid="{CA00B7E1-AF5C-4DB3-B6D0-911BB72FC73F}" name="Column4686" dataDxfId="11699"/>
    <tableColumn id="4711" xr3:uid="{20402496-3A81-42DD-B40D-7124057C1304}" name="Column4687" dataDxfId="11698"/>
    <tableColumn id="4712" xr3:uid="{C0610D61-5A14-4D74-9318-FF8F9F38C59E}" name="Column4688" dataDxfId="11697"/>
    <tableColumn id="4713" xr3:uid="{B90735E6-72C8-4866-82F4-3D0DD4E62962}" name="Column4689" dataDxfId="11696"/>
    <tableColumn id="4714" xr3:uid="{A8F3352A-2D50-482A-ABE0-FA85EBA24E71}" name="Column4690" dataDxfId="11695"/>
    <tableColumn id="4715" xr3:uid="{AC2BDFAA-7672-4D50-AEDB-BBD3F342DC90}" name="Column4691" dataDxfId="11694"/>
    <tableColumn id="4716" xr3:uid="{0BB2F38D-2859-4CD4-9B96-6C9202FE2EB7}" name="Column4692" dataDxfId="11693"/>
    <tableColumn id="4717" xr3:uid="{69B81481-2002-4307-B524-64B66DD36837}" name="Column4693" dataDxfId="11692"/>
    <tableColumn id="4718" xr3:uid="{6C7132B9-D5FF-4CDF-829C-94904022748E}" name="Column4694" dataDxfId="11691"/>
    <tableColumn id="4719" xr3:uid="{6E05E0DA-F4A7-448D-8A80-BCFEC63F322D}" name="Column4695" dataDxfId="11690"/>
    <tableColumn id="4720" xr3:uid="{32434249-82FD-4310-8825-860C413943A6}" name="Column4696" dataDxfId="11689"/>
    <tableColumn id="4721" xr3:uid="{C69E9A18-362D-4374-BF68-2E627CD07D8C}" name="Column4697" dataDxfId="11688"/>
    <tableColumn id="4722" xr3:uid="{8BDAF569-4AE0-4687-B0BD-93E5B59A4C39}" name="Column4698" dataDxfId="11687"/>
    <tableColumn id="4723" xr3:uid="{B1B43A49-E309-4813-9BDF-015E67F9E815}" name="Column4699" dataDxfId="11686"/>
    <tableColumn id="4724" xr3:uid="{A2FC80F1-0654-46F9-90F5-C8E07098909D}" name="Column4700" dataDxfId="11685"/>
    <tableColumn id="4725" xr3:uid="{C0CC95B9-49C4-40D8-8C99-BA82802EDE07}" name="Column4701" dataDxfId="11684"/>
    <tableColumn id="4726" xr3:uid="{D8584448-A9C2-42A0-9241-5DE8A9DD3DA5}" name="Column4702" dataDxfId="11683"/>
    <tableColumn id="4727" xr3:uid="{E1266651-BED2-41C9-9007-E22C63F564B3}" name="Column4703" dataDxfId="11682"/>
    <tableColumn id="4728" xr3:uid="{7779E468-CFC9-4FE3-ABA0-CECC91B9EE04}" name="Column4704" dataDxfId="11681"/>
    <tableColumn id="4729" xr3:uid="{84016CE8-D16C-4667-9AD7-7C00018B5632}" name="Column4705" dataDxfId="11680"/>
    <tableColumn id="4730" xr3:uid="{0BC122AC-4FDA-473B-8999-D747D468E095}" name="Column4706" dataDxfId="11679"/>
    <tableColumn id="4731" xr3:uid="{127512FD-8A89-47AC-9683-27179E55CAA3}" name="Column4707" dataDxfId="11678"/>
    <tableColumn id="4732" xr3:uid="{2741F38E-F4FA-4659-B60B-E2014036FA62}" name="Column4708" dataDxfId="11677"/>
    <tableColumn id="4733" xr3:uid="{5E307498-A364-47FF-B44E-5D87AC119341}" name="Column4709" dataDxfId="11676"/>
    <tableColumn id="4734" xr3:uid="{EEC54D86-1E98-4FFB-91BC-257BD960E50E}" name="Column4710" dataDxfId="11675"/>
    <tableColumn id="4735" xr3:uid="{9BBA2E2B-4F81-4ECF-BD50-C53ECA9A739C}" name="Column4711" dataDxfId="11674"/>
    <tableColumn id="4736" xr3:uid="{0350EA08-69F1-4CC0-ABF2-E7556CD8E719}" name="Column4712" dataDxfId="11673"/>
    <tableColumn id="4737" xr3:uid="{20A7DD7E-E358-4B98-B57B-4C6FC6741E20}" name="Column4713" dataDxfId="11672"/>
    <tableColumn id="4738" xr3:uid="{0CA11B06-7AA1-4EA7-93D6-1DCDEDE32AFA}" name="Column4714" dataDxfId="11671"/>
    <tableColumn id="4739" xr3:uid="{6CB1E59C-FDEA-48A1-8EA2-8C930DCEFC4D}" name="Column4715" dataDxfId="11670"/>
    <tableColumn id="4740" xr3:uid="{1C1468A2-A00A-451B-B2C9-7E1058DF37DA}" name="Column4716" dataDxfId="11669"/>
    <tableColumn id="4741" xr3:uid="{DE9860C0-B204-404B-BF51-A253FC341416}" name="Column4717" dataDxfId="11668"/>
    <tableColumn id="4742" xr3:uid="{8F524067-EECE-4872-8038-E36E6E337E06}" name="Column4718" dataDxfId="11667"/>
    <tableColumn id="4743" xr3:uid="{6A733886-00F1-42C6-892A-65918F50252D}" name="Column4719" dataDxfId="11666"/>
    <tableColumn id="4744" xr3:uid="{1C3B731B-9D8B-4348-96E5-088CB02C388F}" name="Column4720" dataDxfId="11665"/>
    <tableColumn id="4745" xr3:uid="{363EE765-2225-4BA7-B4F8-BA2B435CFF5F}" name="Column4721" dataDxfId="11664"/>
    <tableColumn id="4746" xr3:uid="{6805BD71-5C62-49EF-8B43-E39A1BAB9957}" name="Column4722" dataDxfId="11663"/>
    <tableColumn id="4747" xr3:uid="{B2366830-C89A-4BA2-BA04-7550CF608B15}" name="Column4723" dataDxfId="11662"/>
    <tableColumn id="4748" xr3:uid="{BAEF26DF-29DC-4656-BD39-33E8EF1FEBF9}" name="Column4724" dataDxfId="11661"/>
    <tableColumn id="4749" xr3:uid="{5A33AA7B-739B-41CF-BC89-DF498F34D7B8}" name="Column4725" dataDxfId="11660"/>
    <tableColumn id="4750" xr3:uid="{5582FFFD-CAC2-419D-82C9-316EB614DCE4}" name="Column4726" dataDxfId="11659"/>
    <tableColumn id="4751" xr3:uid="{09246AD0-28F7-4FEE-B704-E91CD838BDE4}" name="Column4727" dataDxfId="11658"/>
    <tableColumn id="4752" xr3:uid="{514DF28D-743B-4326-8278-2908168B4A75}" name="Column4728" dataDxfId="11657"/>
    <tableColumn id="4753" xr3:uid="{73E9030F-8BA3-4D37-A177-2F29B8ACE9BE}" name="Column4729" dataDxfId="11656"/>
    <tableColumn id="4754" xr3:uid="{BA780ED3-7029-409F-8CA2-F6422B0E782E}" name="Column4730" dataDxfId="11655"/>
    <tableColumn id="4755" xr3:uid="{A8307FAB-F889-4BF9-A729-0A3948F48C9E}" name="Column4731" dataDxfId="11654"/>
    <tableColumn id="4756" xr3:uid="{C810AC16-0563-4153-9CE2-8F548A27E395}" name="Column4732" dataDxfId="11653"/>
    <tableColumn id="4757" xr3:uid="{981EE10B-9407-46F4-8E3E-B5B5BC00997A}" name="Column4733" dataDxfId="11652"/>
    <tableColumn id="4758" xr3:uid="{AA309450-B390-4669-B8D3-06385B010309}" name="Column4734" dataDxfId="11651"/>
    <tableColumn id="4759" xr3:uid="{E97CD866-4048-4397-AFF3-20494DBCBF3D}" name="Column4735" dataDxfId="11650"/>
    <tableColumn id="4760" xr3:uid="{F8A39094-EC6A-48E8-87F4-F2C007EB4851}" name="Column4736" dataDxfId="11649"/>
    <tableColumn id="4761" xr3:uid="{2A77F57E-22CB-400A-8509-3D9DC5A01031}" name="Column4737" dataDxfId="11648"/>
    <tableColumn id="4762" xr3:uid="{52F55DBF-02E9-4A58-8B22-4CAF7FCF8D73}" name="Column4738" dataDxfId="11647"/>
    <tableColumn id="4763" xr3:uid="{EA11B980-7361-417D-A5BD-4635FA88D315}" name="Column4739" dataDxfId="11646"/>
    <tableColumn id="4764" xr3:uid="{D6B822AC-3621-4CCE-93C5-5AF15105FA98}" name="Column4740" dataDxfId="11645"/>
    <tableColumn id="4765" xr3:uid="{C7A1F20C-B8E4-4641-9330-16477269D938}" name="Column4741" dataDxfId="11644"/>
    <tableColumn id="4766" xr3:uid="{9CD4917C-F2EF-4341-B23D-8C0CD88EB970}" name="Column4742" dataDxfId="11643"/>
    <tableColumn id="4767" xr3:uid="{5E50AC25-529E-4C19-8D4F-59A1630F0CF4}" name="Column4743" dataDxfId="11642"/>
    <tableColumn id="4768" xr3:uid="{77321153-CCE7-40EB-8179-D4C69A7F2050}" name="Column4744" dataDxfId="11641"/>
    <tableColumn id="4769" xr3:uid="{EDE1C2C4-5698-4BAA-AF14-EF030F90CED4}" name="Column4745" dataDxfId="11640"/>
    <tableColumn id="4770" xr3:uid="{0BF901AF-5BB2-4AF8-8D06-700BFB201E01}" name="Column4746" dataDxfId="11639"/>
    <tableColumn id="4771" xr3:uid="{71C857F6-66FE-4BDD-9CC0-D9EB917C1B58}" name="Column4747" dataDxfId="11638"/>
    <tableColumn id="4772" xr3:uid="{910057DB-647B-4D11-8902-90F096508789}" name="Column4748" dataDxfId="11637"/>
    <tableColumn id="4773" xr3:uid="{E5008FC3-49D2-4137-BC22-7659260A27F1}" name="Column4749" dataDxfId="11636"/>
    <tableColumn id="4774" xr3:uid="{2377DDEF-FB0A-4989-9E4E-A703899F49BA}" name="Column4750" dataDxfId="11635"/>
    <tableColumn id="4775" xr3:uid="{31DCCCED-4412-4784-BCDF-7D8A160F1C6D}" name="Column4751" dataDxfId="11634"/>
    <tableColumn id="4776" xr3:uid="{FFA89A31-DA58-4429-A9D6-E5E8AE8A9AD0}" name="Column4752" dataDxfId="11633"/>
    <tableColumn id="4777" xr3:uid="{B7FEDC98-D19E-49B0-B332-4E01B23EEFAF}" name="Column4753" dataDxfId="11632"/>
    <tableColumn id="4778" xr3:uid="{03D83F97-A05C-4F9A-81FF-D9D93BF754CA}" name="Column4754" dataDxfId="11631"/>
    <tableColumn id="4779" xr3:uid="{DC8B16AC-4767-4D44-92E8-A2F207838933}" name="Column4755" dataDxfId="11630"/>
    <tableColumn id="4780" xr3:uid="{D44EF27A-88C6-42EE-8B97-A4D105E92D65}" name="Column4756" dataDxfId="11629"/>
    <tableColumn id="4781" xr3:uid="{07F99B98-A6CD-423E-8E6C-1502ABBE0F6F}" name="Column4757" dataDxfId="11628"/>
    <tableColumn id="4782" xr3:uid="{07AF0DBE-BAC6-4EB5-9CFB-75F084E9CC40}" name="Column4758" dataDxfId="11627"/>
    <tableColumn id="4783" xr3:uid="{937132AD-6CE4-446E-B44B-03470AD9913C}" name="Column4759" dataDxfId="11626"/>
    <tableColumn id="4784" xr3:uid="{84C12611-1C23-410B-9DE8-F3F78C790BD4}" name="Column4760" dataDxfId="11625"/>
    <tableColumn id="4785" xr3:uid="{C9D38659-19A3-448E-A2C0-171EF45E2695}" name="Column4761" dataDxfId="11624"/>
    <tableColumn id="4786" xr3:uid="{229A0F38-C765-41AE-AB4F-123C7A094713}" name="Column4762" dataDxfId="11623"/>
    <tableColumn id="4787" xr3:uid="{8A5127B6-4B86-4354-929B-DA106E219FCA}" name="Column4763" dataDxfId="11622"/>
    <tableColumn id="4788" xr3:uid="{142958B1-3C86-4AD7-A53A-D4CB8EFD3E20}" name="Column4764" dataDxfId="11621"/>
    <tableColumn id="4789" xr3:uid="{ABCE4070-F213-4C64-9CE2-92305C3E78A6}" name="Column4765" dataDxfId="11620"/>
    <tableColumn id="4790" xr3:uid="{CBFCC87D-2F1C-4AF6-B63E-456D1362B8F3}" name="Column4766" dataDxfId="11619"/>
    <tableColumn id="4791" xr3:uid="{AE6E9602-EF06-48B9-83D2-98766E1D0B22}" name="Column4767" dataDxfId="11618"/>
    <tableColumn id="4792" xr3:uid="{D9B13792-3DEF-4FDA-9B2C-78F9CD5BAD98}" name="Column4768" dataDxfId="11617"/>
    <tableColumn id="4793" xr3:uid="{C2965BFD-4E08-40E7-A526-6162ED4E0738}" name="Column4769" dataDxfId="11616"/>
    <tableColumn id="4794" xr3:uid="{4D5A44DB-FDB6-478C-917B-77020C3BBE91}" name="Column4770" dataDxfId="11615"/>
    <tableColumn id="4795" xr3:uid="{B0C60433-7299-4C69-864E-C41A23571DC1}" name="Column4771" dataDxfId="11614"/>
    <tableColumn id="4796" xr3:uid="{F5AB6594-A341-4D7F-8F74-954FBFE60C6C}" name="Column4772" dataDxfId="11613"/>
    <tableColumn id="4797" xr3:uid="{091007B7-4234-45D8-8458-6C155E395C5B}" name="Column4773" dataDxfId="11612"/>
    <tableColumn id="4798" xr3:uid="{058EFD65-0E39-41A9-885A-D87C3FA7F335}" name="Column4774" dataDxfId="11611"/>
    <tableColumn id="4799" xr3:uid="{5896BF3A-C1AA-49FB-83ED-32DF9185B590}" name="Column4775" dataDxfId="11610"/>
    <tableColumn id="4800" xr3:uid="{EB598E28-4E42-48E8-BC48-1DBE6DCF9EBD}" name="Column4776" dataDxfId="11609"/>
    <tableColumn id="4801" xr3:uid="{C18C12A5-DD8B-4103-9C3A-D032843270D4}" name="Column4777" dataDxfId="11608"/>
    <tableColumn id="4802" xr3:uid="{D2353FC6-4EA9-4096-AA83-36142C9B90E5}" name="Column4778" dataDxfId="11607"/>
    <tableColumn id="4803" xr3:uid="{564F345B-00AF-4826-9BCE-4A11BE2138BF}" name="Column4779" dataDxfId="11606"/>
    <tableColumn id="4804" xr3:uid="{38592035-758E-41B2-9DDE-8E8207577341}" name="Column4780" dataDxfId="11605"/>
    <tableColumn id="4805" xr3:uid="{C64CB756-3C9F-48AA-9EA3-AAC5A50E3034}" name="Column4781" dataDxfId="11604"/>
    <tableColumn id="4806" xr3:uid="{F9FADD3A-FA6E-4C86-8448-532B91F2AF88}" name="Column4782" dataDxfId="11603"/>
    <tableColumn id="4807" xr3:uid="{73064FFD-D533-46DE-9562-1F51F73606ED}" name="Column4783" dataDxfId="11602"/>
    <tableColumn id="4808" xr3:uid="{099DB929-47EF-464D-8A2E-C443CDCF2E44}" name="Column4784" dataDxfId="11601"/>
    <tableColumn id="4809" xr3:uid="{FB9F9A60-6049-4AC2-9AB3-322581347620}" name="Column4785" dataDxfId="11600"/>
    <tableColumn id="4810" xr3:uid="{2AFB2973-CF96-4CA7-923E-18CB48BC80B9}" name="Column4786" dataDxfId="11599"/>
    <tableColumn id="4811" xr3:uid="{B1C3F3E5-8AD4-4374-BF20-CAC8CE325747}" name="Column4787" dataDxfId="11598"/>
    <tableColumn id="4812" xr3:uid="{9471474C-10B8-4DE6-B6A6-0BFFF988F27E}" name="Column4788" dataDxfId="11597"/>
    <tableColumn id="4813" xr3:uid="{9409A175-7BFB-4679-8FE5-2CA5054FFDA5}" name="Column4789" dataDxfId="11596"/>
    <tableColumn id="4814" xr3:uid="{2FCAEBB4-6D48-476A-9A11-13F2090D0962}" name="Column4790" dataDxfId="11595"/>
    <tableColumn id="4815" xr3:uid="{A05DC944-16AE-4655-A846-EC12F8FCD850}" name="Column4791" dataDxfId="11594"/>
    <tableColumn id="4816" xr3:uid="{F7D1CB45-5A8F-41C7-86D5-7EF73244F442}" name="Column4792" dataDxfId="11593"/>
    <tableColumn id="4817" xr3:uid="{ADDE3D79-A192-4CD1-B312-67E69E485950}" name="Column4793" dataDxfId="11592"/>
    <tableColumn id="4818" xr3:uid="{CBEC9708-159C-4A1E-A19E-BECE0783B226}" name="Column4794" dataDxfId="11591"/>
    <tableColumn id="4819" xr3:uid="{07E5A0AB-D857-43A3-81B1-41E10B7623C3}" name="Column4795" dataDxfId="11590"/>
    <tableColumn id="4820" xr3:uid="{EA69FB75-E871-43EF-B613-B6B115011BBE}" name="Column4796" dataDxfId="11589"/>
    <tableColumn id="4821" xr3:uid="{26A390D0-E22B-484A-B1B6-C54274564BC7}" name="Column4797" dataDxfId="11588"/>
    <tableColumn id="4822" xr3:uid="{90D645DC-C6B0-4BBC-8D84-E529EBAD73D1}" name="Column4798" dataDxfId="11587"/>
    <tableColumn id="4823" xr3:uid="{31C84EC7-504F-4938-8BC2-0FAB639F4D8C}" name="Column4799" dataDxfId="11586"/>
    <tableColumn id="4824" xr3:uid="{796B2D7A-F10D-4DC9-A58C-EFDC8F26DDBE}" name="Column4800" dataDxfId="11585"/>
    <tableColumn id="4825" xr3:uid="{D3652547-8C60-48AF-A33E-37A41A216A1B}" name="Column4801" dataDxfId="11584"/>
    <tableColumn id="4826" xr3:uid="{86FC0027-BFFB-47C2-94B1-8B9A8AE8FB0C}" name="Column4802" dataDxfId="11583"/>
    <tableColumn id="4827" xr3:uid="{0382CE5D-E05E-4E96-ACCC-532D01936359}" name="Column4803" dataDxfId="11582"/>
    <tableColumn id="4828" xr3:uid="{3432B7F8-8781-403D-A5DC-147213507F67}" name="Column4804" dataDxfId="11581"/>
    <tableColumn id="4829" xr3:uid="{0C589212-11EE-4C83-9FB0-FE2D86571240}" name="Column4805" dataDxfId="11580"/>
    <tableColumn id="4830" xr3:uid="{0D9DDF9F-BFA0-4E68-A0FD-F1AC5C0686CC}" name="Column4806" dataDxfId="11579"/>
    <tableColumn id="4831" xr3:uid="{BAA373FD-9DD0-4C58-9EBE-8FC407F044F2}" name="Column4807" dataDxfId="11578"/>
    <tableColumn id="4832" xr3:uid="{749A531B-D9D0-4B04-BCFC-F7AC189D8AA7}" name="Column4808" dataDxfId="11577"/>
    <tableColumn id="4833" xr3:uid="{09238B9C-3775-4899-AF12-49AF8AED139F}" name="Column4809" dataDxfId="11576"/>
    <tableColumn id="4834" xr3:uid="{B5035444-9674-41B4-8DF1-27957779A349}" name="Column4810" dataDxfId="11575"/>
    <tableColumn id="4835" xr3:uid="{7CE1370A-0B4E-40AA-8085-70BE220ACCD2}" name="Column4811" dataDxfId="11574"/>
    <tableColumn id="4836" xr3:uid="{BA5E9DEF-172B-4845-8C79-FD2691790EC9}" name="Column4812" dataDxfId="11573"/>
    <tableColumn id="4837" xr3:uid="{1D174C23-1D75-4A7F-AACB-B0DE5E6CFF58}" name="Column4813" dataDxfId="11572"/>
    <tableColumn id="4838" xr3:uid="{116FCAE8-BBC8-4C38-89A1-E89781775049}" name="Column4814" dataDxfId="11571"/>
    <tableColumn id="4839" xr3:uid="{C023FCC9-3410-4165-91E0-681E2888B3F4}" name="Column4815" dataDxfId="11570"/>
    <tableColumn id="4840" xr3:uid="{F0CB9F6D-7ABC-4FC4-AB7F-C8E55B4F7ECB}" name="Column4816" dataDxfId="11569"/>
    <tableColumn id="4841" xr3:uid="{041A2464-9759-4035-85BB-E1258CB56BE7}" name="Column4817" dataDxfId="11568"/>
    <tableColumn id="4842" xr3:uid="{EAB194FD-B3ED-4DDE-9DD0-2CA295A1E094}" name="Column4818" dataDxfId="11567"/>
    <tableColumn id="4843" xr3:uid="{C2AB2A47-7A70-47C9-BE4A-DA9877EF8049}" name="Column4819" dataDxfId="11566"/>
    <tableColumn id="4844" xr3:uid="{51AF515F-A200-44C6-A0D0-53D7454A731F}" name="Column4820" dataDxfId="11565"/>
    <tableColumn id="4845" xr3:uid="{1F243EA1-0A9A-4FC4-B700-6FD92E148049}" name="Column4821" dataDxfId="11564"/>
    <tableColumn id="4846" xr3:uid="{7F8CC200-4CD5-4121-B955-FFBA20F893AB}" name="Column4822" dataDxfId="11563"/>
    <tableColumn id="4847" xr3:uid="{664A1EFE-C2EC-458D-A7A5-2A06C91C5888}" name="Column4823" dataDxfId="11562"/>
    <tableColumn id="4848" xr3:uid="{FC274DC6-298B-4D59-ADC2-899B61697649}" name="Column4824" dataDxfId="11561"/>
    <tableColumn id="4849" xr3:uid="{37A64AA3-7A5A-46B8-8DEA-213926471A40}" name="Column4825" dataDxfId="11560"/>
    <tableColumn id="4850" xr3:uid="{4449FDB9-90A3-4D51-AF6A-B27C8E8F0182}" name="Column4826" dataDxfId="11559"/>
    <tableColumn id="4851" xr3:uid="{76D4C397-D157-46F5-B926-B6E6D4EEAB11}" name="Column4827" dataDxfId="11558"/>
    <tableColumn id="4852" xr3:uid="{83DDEE84-2CE5-4E10-8071-E5718F00841B}" name="Column4828" dataDxfId="11557"/>
    <tableColumn id="4853" xr3:uid="{DC8D9236-B8C2-4961-A72B-B2DF8D8C565D}" name="Column4829" dataDxfId="11556"/>
    <tableColumn id="4854" xr3:uid="{A93FD3AD-2E30-44D3-B5A6-EF641FB2ADF8}" name="Column4830" dataDxfId="11555"/>
    <tableColumn id="4855" xr3:uid="{3A910D4E-0815-47CA-8B41-D4A9D8017796}" name="Column4831" dataDxfId="11554"/>
    <tableColumn id="4856" xr3:uid="{31B939E7-70D2-40C0-AF20-7F3C72D05181}" name="Column4832" dataDxfId="11553"/>
    <tableColumn id="4857" xr3:uid="{81FD2468-265B-4243-80F9-ED33D379D672}" name="Column4833" dataDxfId="11552"/>
    <tableColumn id="4858" xr3:uid="{0B6F1E6C-628F-4F83-B1E2-8D7EAC02505E}" name="Column4834" dataDxfId="11551"/>
    <tableColumn id="4859" xr3:uid="{30F1716A-FAFB-440E-8770-F3443662DC85}" name="Column4835" dataDxfId="11550"/>
    <tableColumn id="4860" xr3:uid="{08390B13-0D3C-4CCE-8464-C0A3AFA18BD1}" name="Column4836" dataDxfId="11549"/>
    <tableColumn id="4861" xr3:uid="{C0B93A13-1A26-4AA3-AF7F-03669D609372}" name="Column4837" dataDxfId="11548"/>
    <tableColumn id="4862" xr3:uid="{3705DD82-C25E-4D51-A87D-55F0DB1CCDD2}" name="Column4838" dataDxfId="11547"/>
    <tableColumn id="4863" xr3:uid="{245DF458-6E8A-4347-97C2-31D41B780BD7}" name="Column4839" dataDxfId="11546"/>
    <tableColumn id="4864" xr3:uid="{F3093C87-3C65-4864-BA96-C3C554236414}" name="Column4840" dataDxfId="11545"/>
    <tableColumn id="4865" xr3:uid="{5365A774-1620-42FA-9F3F-45CB157BE81B}" name="Column4841" dataDxfId="11544"/>
    <tableColumn id="4866" xr3:uid="{C6119CB0-2B09-45D9-B33F-490301B0FBD4}" name="Column4842" dataDxfId="11543"/>
    <tableColumn id="4867" xr3:uid="{E54723DE-06DA-496F-85CE-034EDB66FD6C}" name="Column4843" dataDxfId="11542"/>
    <tableColumn id="4868" xr3:uid="{D0329C8D-6C28-423E-AD33-302752D926A7}" name="Column4844" dataDxfId="11541"/>
    <tableColumn id="4869" xr3:uid="{1FFFD2E6-7A25-41AC-A1D4-2007B3F384D2}" name="Column4845" dataDxfId="11540"/>
    <tableColumn id="4870" xr3:uid="{E6915712-A4A1-4428-9FE7-6F0233201677}" name="Column4846" dataDxfId="11539"/>
    <tableColumn id="4871" xr3:uid="{2C105242-20C6-4810-A9D1-FF8A3603E774}" name="Column4847" dataDxfId="11538"/>
    <tableColumn id="4872" xr3:uid="{88C7229B-73D3-479C-93BE-C8E00B9AFFD5}" name="Column4848" dataDxfId="11537"/>
    <tableColumn id="4873" xr3:uid="{22B68FFB-3875-484C-B60D-900F16130F86}" name="Column4849" dataDxfId="11536"/>
    <tableColumn id="4874" xr3:uid="{B89A3EA2-1D46-44D3-A992-803ADBCDF1A8}" name="Column4850" dataDxfId="11535"/>
    <tableColumn id="4875" xr3:uid="{A065E21B-4526-40E4-B738-617D4C7CF486}" name="Column4851" dataDxfId="11534"/>
    <tableColumn id="4876" xr3:uid="{F57B1C92-154E-4184-852E-3E457D40AB15}" name="Column4852" dataDxfId="11533"/>
    <tableColumn id="4877" xr3:uid="{334BA9CF-5AFF-4BBB-8208-12A9A8A82750}" name="Column4853" dataDxfId="11532"/>
    <tableColumn id="4878" xr3:uid="{2BE45A1E-6990-4B26-BB71-D2A87A3D55AA}" name="Column4854" dataDxfId="11531"/>
    <tableColumn id="4879" xr3:uid="{CE88DB76-CE80-45AD-8E32-2A8346EF0AB7}" name="Column4855" dataDxfId="11530"/>
    <tableColumn id="4880" xr3:uid="{D9C6CB25-5552-416B-8545-97591347905F}" name="Column4856" dataDxfId="11529"/>
    <tableColumn id="4881" xr3:uid="{3B46C942-5F54-40C5-8987-7BC6F26BFC0B}" name="Column4857" dataDxfId="11528"/>
    <tableColumn id="4882" xr3:uid="{0BCCB03D-EE96-448E-B011-9BAA958006C3}" name="Column4858" dataDxfId="11527"/>
    <tableColumn id="4883" xr3:uid="{E6DF1FA6-3CD7-4571-B829-4F9B095ACE1B}" name="Column4859" dataDxfId="11526"/>
    <tableColumn id="4884" xr3:uid="{C2AB66E5-7D85-4ACD-BD60-B15C81922E7A}" name="Column4860" dataDxfId="11525"/>
    <tableColumn id="4885" xr3:uid="{76D62D95-1C4A-4B3B-B9C4-C34F5256104C}" name="Column4861" dataDxfId="11524"/>
    <tableColumn id="4886" xr3:uid="{A5A1FB38-6D53-4600-B097-7E9520EDD63A}" name="Column4862" dataDxfId="11523"/>
    <tableColumn id="4887" xr3:uid="{674AE382-A91C-441B-932F-36D956000364}" name="Column4863" dataDxfId="11522"/>
    <tableColumn id="4888" xr3:uid="{59A09C11-A666-4807-B3C4-4DFD4652225D}" name="Column4864" dataDxfId="11521"/>
    <tableColumn id="4889" xr3:uid="{4364AF98-6BB2-410E-A32B-4434F1F1C6B6}" name="Column4865" dataDxfId="11520"/>
    <tableColumn id="4890" xr3:uid="{C5F26008-9C10-42C2-96AC-8A446B8F8E4B}" name="Column4866" dataDxfId="11519"/>
    <tableColumn id="4891" xr3:uid="{5AB3972F-C1B6-46F5-9A39-C45203790DDD}" name="Column4867" dataDxfId="11518"/>
    <tableColumn id="4892" xr3:uid="{2DE05EE3-CE13-4810-976F-07C318C5C0CD}" name="Column4868" dataDxfId="11517"/>
    <tableColumn id="4893" xr3:uid="{723A73B9-2960-48D5-A24F-0F28263370AD}" name="Column4869" dataDxfId="11516"/>
    <tableColumn id="4894" xr3:uid="{415ADF5E-6893-44A5-ADA4-E78E6DB1DEEB}" name="Column4870" dataDxfId="11515"/>
    <tableColumn id="4895" xr3:uid="{CAD5623A-25C1-4CA5-A6BA-FA69EE1CEDFF}" name="Column4871" dataDxfId="11514"/>
    <tableColumn id="4896" xr3:uid="{9815B8D0-9BE4-4332-96BB-C3629FCE5D8B}" name="Column4872" dataDxfId="11513"/>
    <tableColumn id="4897" xr3:uid="{C3687495-37D6-4E79-A493-B8D5D015C62B}" name="Column4873" dataDxfId="11512"/>
    <tableColumn id="4898" xr3:uid="{D9202BB0-3A76-48BD-B3EE-35F101DF254D}" name="Column4874" dataDxfId="11511"/>
    <tableColumn id="4899" xr3:uid="{ACD14E86-8C55-4978-A234-33BE0E2C2853}" name="Column4875" dataDxfId="11510"/>
    <tableColumn id="4900" xr3:uid="{A3DC64F4-C3A1-4AB0-8B43-5B627BF12F84}" name="Column4876" dataDxfId="11509"/>
    <tableColumn id="4901" xr3:uid="{6AE26655-17ED-4C7F-96FF-0C3CE80365D5}" name="Column4877" dataDxfId="11508"/>
    <tableColumn id="4902" xr3:uid="{4CCC8840-8BE9-4CEA-B6B2-BB3C1ABDCDE6}" name="Column4878" dataDxfId="11507"/>
    <tableColumn id="4903" xr3:uid="{E89E87E9-6B9B-4C12-AA2E-73B3654F670E}" name="Column4879" dataDxfId="11506"/>
    <tableColumn id="4904" xr3:uid="{356B6DAE-861C-400A-B31A-BBAF5AD50810}" name="Column4880" dataDxfId="11505"/>
    <tableColumn id="4905" xr3:uid="{A4FA9A25-ACCB-4A77-A6BE-A4131F051313}" name="Column4881" dataDxfId="11504"/>
    <tableColumn id="4906" xr3:uid="{3183CF3B-928D-46BD-8AA2-87141CC7C5FF}" name="Column4882" dataDxfId="11503"/>
    <tableColumn id="4907" xr3:uid="{1B270997-BEE5-46F3-B768-AB20CA476DBA}" name="Column4883" dataDxfId="11502"/>
    <tableColumn id="4908" xr3:uid="{F8832445-E7FD-48EE-8F72-1F89C302261A}" name="Column4884" dataDxfId="11501"/>
    <tableColumn id="4909" xr3:uid="{5BAA66F5-43C9-4AA8-930B-B89A6E81595B}" name="Column4885" dataDxfId="11500"/>
    <tableColumn id="4910" xr3:uid="{627D1012-D0D6-4C6D-8839-A840CCC9A4EC}" name="Column4886" dataDxfId="11499"/>
    <tableColumn id="4911" xr3:uid="{149CF3E0-9637-48F7-850C-115657199D07}" name="Column4887" dataDxfId="11498"/>
    <tableColumn id="4912" xr3:uid="{4742B8E9-F37D-42BD-A447-F8BC56CCE39E}" name="Column4888" dataDxfId="11497"/>
    <tableColumn id="4913" xr3:uid="{394553B8-F626-404F-9365-7FFBEDFFC11F}" name="Column4889" dataDxfId="11496"/>
    <tableColumn id="4914" xr3:uid="{755A65DF-3D71-49E8-AE82-B7CA39950562}" name="Column4890" dataDxfId="11495"/>
    <tableColumn id="4915" xr3:uid="{603D853D-48FD-48CF-AE3A-E6DCE642C32F}" name="Column4891" dataDxfId="11494"/>
    <tableColumn id="4916" xr3:uid="{0515672A-2265-4A90-B865-F6F78030CC8D}" name="Column4892" dataDxfId="11493"/>
    <tableColumn id="4917" xr3:uid="{4CC5C08E-46B0-4615-BCB4-7867EEFACF8F}" name="Column4893" dataDxfId="11492"/>
    <tableColumn id="4918" xr3:uid="{AD7BA427-D42C-4AC5-AF53-AF460E944978}" name="Column4894" dataDxfId="11491"/>
    <tableColumn id="4919" xr3:uid="{D0719CA9-B3BC-403E-A1E0-3866D7609289}" name="Column4895" dataDxfId="11490"/>
    <tableColumn id="4920" xr3:uid="{8AAAC7CD-F384-4B8F-898D-370B640D5CFD}" name="Column4896" dataDxfId="11489"/>
    <tableColumn id="4921" xr3:uid="{3C3804D3-E9A4-44E8-8363-38616E293516}" name="Column4897" dataDxfId="11488"/>
    <tableColumn id="4922" xr3:uid="{9ED234D5-C753-41CD-B87B-8000CFD9B424}" name="Column4898" dataDxfId="11487"/>
    <tableColumn id="4923" xr3:uid="{78731622-328D-4E73-AF18-5CE0AEA0641E}" name="Column4899" dataDxfId="11486"/>
    <tableColumn id="4924" xr3:uid="{7212BF2C-08CC-4B5E-9FE9-AB387C301A28}" name="Column4900" dataDxfId="11485"/>
    <tableColumn id="4925" xr3:uid="{BF4A560C-2AE2-4F25-9E51-5FC26AC72B9F}" name="Column4901" dataDxfId="11484"/>
    <tableColumn id="4926" xr3:uid="{AF4E77D9-69C8-4848-A6E6-61DE94E2EDF5}" name="Column4902" dataDxfId="11483"/>
    <tableColumn id="4927" xr3:uid="{5AD01F08-FAF2-4C1A-957F-5C82B41124A7}" name="Column4903" dataDxfId="11482"/>
    <tableColumn id="4928" xr3:uid="{5B618122-96BB-4C1B-97B9-B565CC9D7E0A}" name="Column4904" dataDxfId="11481"/>
    <tableColumn id="4929" xr3:uid="{D7327E02-F806-4733-975E-2E5B0CA68240}" name="Column4905" dataDxfId="11480"/>
    <tableColumn id="4930" xr3:uid="{7D4F2F51-FA92-4E6F-A7E0-13436D30F226}" name="Column4906" dataDxfId="11479"/>
    <tableColumn id="4931" xr3:uid="{6DB04BE2-FBA7-422C-8267-1E3165FAABD1}" name="Column4907" dataDxfId="11478"/>
    <tableColumn id="4932" xr3:uid="{0C1DD61F-B873-4121-BA82-20BD5C9D1F6E}" name="Column4908" dataDxfId="11477"/>
    <tableColumn id="4933" xr3:uid="{E8E9896D-F986-4792-98AC-F57DA2FC5A7C}" name="Column4909" dataDxfId="11476"/>
    <tableColumn id="4934" xr3:uid="{8A7D513A-15AC-41AE-B80F-876B0E688FF0}" name="Column4910" dataDxfId="11475"/>
    <tableColumn id="4935" xr3:uid="{C7B68420-841A-4A78-BCDA-A0087E93F636}" name="Column4911" dataDxfId="11474"/>
    <tableColumn id="4936" xr3:uid="{1CCDCE34-434D-4D97-A1F2-8F47D818B2BF}" name="Column4912" dataDxfId="11473"/>
    <tableColumn id="4937" xr3:uid="{847125CE-04A9-4320-B404-A32EE088E390}" name="Column4913" dataDxfId="11472"/>
    <tableColumn id="4938" xr3:uid="{28A3F93B-F058-490E-9C42-DD8E3470B928}" name="Column4914" dataDxfId="11471"/>
    <tableColumn id="4939" xr3:uid="{19C165F3-C6A8-45A6-9BE0-E39ACFB87B53}" name="Column4915" dataDxfId="11470"/>
    <tableColumn id="4940" xr3:uid="{022CDF97-4289-4114-9317-FB26B2F9F9BF}" name="Column4916" dataDxfId="11469"/>
    <tableColumn id="4941" xr3:uid="{B9CF94EA-D229-46EB-85F0-D5C97D7A8B82}" name="Column4917" dataDxfId="11468"/>
    <tableColumn id="4942" xr3:uid="{34393099-F370-4EF8-8BDE-E4F1E705F1D4}" name="Column4918" dataDxfId="11467"/>
    <tableColumn id="4943" xr3:uid="{0F5F3478-9CE0-4B3D-886D-59A49E91AD36}" name="Column4919" dataDxfId="11466"/>
    <tableColumn id="4944" xr3:uid="{018E36B9-FD72-4416-83C9-0C460BBE6F3B}" name="Column4920" dataDxfId="11465"/>
    <tableColumn id="4945" xr3:uid="{6B973408-3BE4-40E9-8847-899336CE458D}" name="Column4921" dataDxfId="11464"/>
    <tableColumn id="4946" xr3:uid="{0E6ED2DE-079E-456B-AB97-4C6A91923683}" name="Column4922" dataDxfId="11463"/>
    <tableColumn id="4947" xr3:uid="{38087465-DF6E-4629-9598-B1B2013390CB}" name="Column4923" dataDxfId="11462"/>
    <tableColumn id="4948" xr3:uid="{51B42529-CC5C-485E-A8B6-06A48575EC8F}" name="Column4924" dataDxfId="11461"/>
    <tableColumn id="4949" xr3:uid="{38BF01DC-1BD3-419D-AEFE-82B9C2C77FFF}" name="Column4925" dataDxfId="11460"/>
    <tableColumn id="4950" xr3:uid="{8D1E6DA1-E313-4F9B-B678-5A196E7570D4}" name="Column4926" dataDxfId="11459"/>
    <tableColumn id="4951" xr3:uid="{727B1E87-E3D1-4B3E-AC32-24AEE7D2EF60}" name="Column4927" dataDxfId="11458"/>
    <tableColumn id="4952" xr3:uid="{422BC3F6-CB2F-4201-8B50-AEB237084E7C}" name="Column4928" dataDxfId="11457"/>
    <tableColumn id="4953" xr3:uid="{DC8BB6EE-32A9-402C-B5E4-047E07C74C78}" name="Column4929" dataDxfId="11456"/>
    <tableColumn id="4954" xr3:uid="{60BCACB7-3C86-4064-A509-EC99DF877075}" name="Column4930" dataDxfId="11455"/>
    <tableColumn id="4955" xr3:uid="{C7DA234C-3F03-48D3-B3E9-ED6DB81D7D48}" name="Column4931" dataDxfId="11454"/>
    <tableColumn id="4956" xr3:uid="{7101674B-8182-4456-9D50-C349ACCC259E}" name="Column4932" dataDxfId="11453"/>
    <tableColumn id="4957" xr3:uid="{E4C458D4-8C08-48A5-8F76-6A66EA215BAD}" name="Column4933" dataDxfId="11452"/>
    <tableColumn id="4958" xr3:uid="{AA3F4D81-CB7C-4257-B98D-97F646E4A2CE}" name="Column4934" dataDxfId="11451"/>
    <tableColumn id="4959" xr3:uid="{7FC5BD89-A393-49EC-AEE6-9541C6697768}" name="Column4935" dataDxfId="11450"/>
    <tableColumn id="4960" xr3:uid="{D1D2CEB8-80B1-4882-81FA-36A6F1F5789C}" name="Column4936" dataDxfId="11449"/>
    <tableColumn id="4961" xr3:uid="{0B934FB7-239E-479A-96DA-60BA6214360A}" name="Column4937" dataDxfId="11448"/>
    <tableColumn id="4962" xr3:uid="{7FEDF5FE-3CDF-4562-8AFE-A21FD2BBCF5A}" name="Column4938" dataDxfId="11447"/>
    <tableColumn id="4963" xr3:uid="{23F9BA6D-3812-4824-95A8-2B5870BEC221}" name="Column4939" dataDxfId="11446"/>
    <tableColumn id="4964" xr3:uid="{3FF7C22B-1AF1-4CD0-B6CE-BDAF60BEF7C1}" name="Column4940" dataDxfId="11445"/>
    <tableColumn id="4965" xr3:uid="{E9E54696-69E5-4D90-A4B5-5547AC70855E}" name="Column4941" dataDxfId="11444"/>
    <tableColumn id="4966" xr3:uid="{A5949A74-B9B4-48A5-BE72-65BF4F74DA54}" name="Column4942" dataDxfId="11443"/>
    <tableColumn id="4967" xr3:uid="{63D7B37B-D0E5-47EF-BA85-F750AB3D42AE}" name="Column4943" dataDxfId="11442"/>
    <tableColumn id="4968" xr3:uid="{84E8B7AB-67B3-469E-A451-0163BC54BC2C}" name="Column4944" dataDxfId="11441"/>
    <tableColumn id="4969" xr3:uid="{D3E18490-0F09-49BF-927D-E88EB06FA5B7}" name="Column4945" dataDxfId="11440"/>
    <tableColumn id="4970" xr3:uid="{4B24685F-BD05-4DCB-A3BA-3E7238740C5A}" name="Column4946" dataDxfId="11439"/>
    <tableColumn id="4971" xr3:uid="{66265D58-562C-4B8B-900B-EBD6F89F8FC5}" name="Column4947" dataDxfId="11438"/>
    <tableColumn id="4972" xr3:uid="{8730E5CB-4781-4085-9C6D-A5B20B1082CB}" name="Column4948" dataDxfId="11437"/>
    <tableColumn id="4973" xr3:uid="{8468B599-4863-4CAA-8554-7F906F384B19}" name="Column4949" dataDxfId="11436"/>
    <tableColumn id="4974" xr3:uid="{2C92BB89-7C38-4845-B5FA-A8A99ED1B0A7}" name="Column4950" dataDxfId="11435"/>
    <tableColumn id="4975" xr3:uid="{FD34739D-FB28-4F25-9924-E70C7E4648CB}" name="Column4951" dataDxfId="11434"/>
    <tableColumn id="4976" xr3:uid="{89A6C310-B7F1-4B08-85EA-73253FF88DA6}" name="Column4952" dataDxfId="11433"/>
    <tableColumn id="4977" xr3:uid="{2A932536-C6DE-4C32-AF07-C914F2A24734}" name="Column4953" dataDxfId="11432"/>
    <tableColumn id="4978" xr3:uid="{10D91C51-1E80-42EC-933A-7EFC1D13407B}" name="Column4954" dataDxfId="11431"/>
    <tableColumn id="4979" xr3:uid="{95C0171A-9D37-44EC-94B7-58DD46E36993}" name="Column4955" dataDxfId="11430"/>
    <tableColumn id="4980" xr3:uid="{CB476C6C-DE7E-443A-9BEB-1D024F56578C}" name="Column4956" dataDxfId="11429"/>
    <tableColumn id="4981" xr3:uid="{F6CDD0C2-393D-4EEF-B851-A264E8641380}" name="Column4957" dataDxfId="11428"/>
    <tableColumn id="4982" xr3:uid="{64CA556B-7DB1-4BCE-B9EC-3F518E094346}" name="Column4958" dataDxfId="11427"/>
    <tableColumn id="4983" xr3:uid="{56D53D06-BB62-48B1-94CF-E20A3998FF9B}" name="Column4959" dataDxfId="11426"/>
    <tableColumn id="4984" xr3:uid="{76745D19-C0CB-4902-ABF2-5AAFD7A0C81A}" name="Column4960" dataDxfId="11425"/>
    <tableColumn id="4985" xr3:uid="{17E8371D-9F1F-4E24-A11B-7FA1B07492F3}" name="Column4961" dataDxfId="11424"/>
    <tableColumn id="4986" xr3:uid="{45EC9FC9-38AA-477A-9D88-AA06F8E4EA32}" name="Column4962" dataDxfId="11423"/>
    <tableColumn id="4987" xr3:uid="{0FFE6BFD-8E5C-41C4-BEB5-5417675DE356}" name="Column4963" dataDxfId="11422"/>
    <tableColumn id="4988" xr3:uid="{38565A8F-62D5-4340-8957-92317139FD5B}" name="Column4964" dataDxfId="11421"/>
    <tableColumn id="4989" xr3:uid="{BB488C7F-4CCB-4C3A-98E7-C27653345C7C}" name="Column4965" dataDxfId="11420"/>
    <tableColumn id="4990" xr3:uid="{109FE013-0553-410C-91DA-6D1FE31914A3}" name="Column4966" dataDxfId="11419"/>
    <tableColumn id="4991" xr3:uid="{E7113F96-391C-43DB-8589-7204E13BCAAD}" name="Column4967" dataDxfId="11418"/>
    <tableColumn id="4992" xr3:uid="{24D81DD1-0C51-4836-B86B-CF1F7BCE020E}" name="Column4968" dataDxfId="11417"/>
    <tableColumn id="4993" xr3:uid="{F122969E-93C5-4765-B744-DD2F7763A592}" name="Column4969" dataDxfId="11416"/>
    <tableColumn id="4994" xr3:uid="{C7D35917-76D2-4110-B8C7-E2C8792E3902}" name="Column4970" dataDxfId="11415"/>
    <tableColumn id="4995" xr3:uid="{20E14A80-4398-4DDC-BA34-33E5033E3E74}" name="Column4971" dataDxfId="11414"/>
    <tableColumn id="4996" xr3:uid="{9A057A2F-5D45-484F-BCC2-5BADD2156DCC}" name="Column4972" dataDxfId="11413"/>
    <tableColumn id="4997" xr3:uid="{28494982-0F9B-4F1C-A466-5D1D1E03315C}" name="Column4973" dataDxfId="11412"/>
    <tableColumn id="4998" xr3:uid="{BD3DA65E-B4A4-48F3-89FC-8ADF02FB6C94}" name="Column4974" dataDxfId="11411"/>
    <tableColumn id="4999" xr3:uid="{943E0036-E34B-41E7-87CA-27351E6CCF55}" name="Column4975" dataDxfId="11410"/>
    <tableColumn id="5000" xr3:uid="{280FDC16-4A39-404D-8A20-4FE9F8AB0F5D}" name="Column4976" dataDxfId="11409"/>
    <tableColumn id="5001" xr3:uid="{D31A42DC-E28E-4E89-9A39-AB6524D79F94}" name="Column4977" dataDxfId="11408"/>
    <tableColumn id="5002" xr3:uid="{37120A67-D442-40A4-8216-9E06BB38E0BE}" name="Column4978" dataDxfId="11407"/>
    <tableColumn id="5003" xr3:uid="{911D6DD2-8FEA-4E99-A311-12DB526AAFB1}" name="Column4979" dataDxfId="11406"/>
    <tableColumn id="5004" xr3:uid="{BE13921A-D78A-4235-AF0F-F10E0F473BFB}" name="Column4980" dataDxfId="11405"/>
    <tableColumn id="5005" xr3:uid="{09441C02-1C0F-4D78-B341-FCD5BF359E1C}" name="Column4981" dataDxfId="11404"/>
    <tableColumn id="5006" xr3:uid="{6FFC9E9B-0E6A-438A-9402-282E491A1D5C}" name="Column4982" dataDxfId="11403"/>
    <tableColumn id="5007" xr3:uid="{3173308C-A911-4764-A40C-039249EBD067}" name="Column4983" dataDxfId="11402"/>
    <tableColumn id="5008" xr3:uid="{9FED4057-741A-4912-9079-67E1C7188EDA}" name="Column4984" dataDxfId="11401"/>
    <tableColumn id="5009" xr3:uid="{D9AB6B57-EC3D-4124-AF64-4D66CADFC841}" name="Column4985" dataDxfId="11400"/>
    <tableColumn id="5010" xr3:uid="{549F6113-D696-48D0-B367-C327765DF8A7}" name="Column4986" dataDxfId="11399"/>
    <tableColumn id="5011" xr3:uid="{9ED31B10-43FE-42DC-9D14-34A8370DABBE}" name="Column4987" dataDxfId="11398"/>
    <tableColumn id="5012" xr3:uid="{1899CF51-78DD-4066-8D09-A88D3F7CD566}" name="Column4988" dataDxfId="11397"/>
    <tableColumn id="5013" xr3:uid="{F7901C17-0CA6-4FEC-B578-ED68DDDA4F44}" name="Column4989" dataDxfId="11396"/>
    <tableColumn id="5014" xr3:uid="{C26E31A8-C9E5-47E8-9C6C-C2558D897971}" name="Column4990" dataDxfId="11395"/>
    <tableColumn id="5015" xr3:uid="{DE8BA16A-DB57-45C8-A62A-CE8B9F5674DD}" name="Column4991" dataDxfId="11394"/>
    <tableColumn id="5016" xr3:uid="{A8861231-B2EF-46FC-88DE-705796819B6B}" name="Column4992" dataDxfId="11393"/>
    <tableColumn id="5017" xr3:uid="{D29DC969-7979-40AB-9A78-A0C26969330F}" name="Column4993" dataDxfId="11392"/>
    <tableColumn id="5018" xr3:uid="{EB410663-5BC0-45C1-9F30-ACE01507467B}" name="Column4994" dataDxfId="11391"/>
    <tableColumn id="5019" xr3:uid="{96A24890-E74C-436F-BF96-FEF5B1EA0982}" name="Column4995" dataDxfId="11390"/>
    <tableColumn id="5020" xr3:uid="{A9FC7339-5CB7-425E-967E-809E2812E32D}" name="Column4996" dataDxfId="11389"/>
    <tableColumn id="5021" xr3:uid="{0C7F890A-BF4E-4999-845D-D498530B11FC}" name="Column4997" dataDxfId="11388"/>
    <tableColumn id="5022" xr3:uid="{DCBFA565-0C12-4E1E-80F8-0278D1992A0A}" name="Column4998" dataDxfId="11387"/>
    <tableColumn id="5023" xr3:uid="{E7B8CF5D-510D-44A5-903F-50997CB01DDD}" name="Column4999" dataDxfId="11386"/>
    <tableColumn id="5024" xr3:uid="{F7926833-F411-4CA7-AE5A-3A7928BC6472}" name="Column5000" dataDxfId="11385"/>
    <tableColumn id="5025" xr3:uid="{3911BC07-A1AA-4717-94AF-7D2470BBAE85}" name="Column5001" dataDxfId="11384"/>
    <tableColumn id="5026" xr3:uid="{22B02070-17C9-4B54-B0A0-0DEB9751D8EA}" name="Column5002" dataDxfId="11383"/>
    <tableColumn id="5027" xr3:uid="{1450EED9-FE76-49A4-B6C1-77191EA2C527}" name="Column5003" dataDxfId="11382"/>
    <tableColumn id="5028" xr3:uid="{B8A6E52F-32B1-4C39-9CED-C51B7A863577}" name="Column5004" dataDxfId="11381"/>
    <tableColumn id="5029" xr3:uid="{AEF3B765-331C-49D1-A513-77B121772F06}" name="Column5005" dataDxfId="11380"/>
    <tableColumn id="5030" xr3:uid="{20953DEF-7506-4BF6-AD6B-7E259B70F6E5}" name="Column5006" dataDxfId="11379"/>
    <tableColumn id="5031" xr3:uid="{03C245DF-6018-42F9-BE63-B20DE153D91F}" name="Column5007" dataDxfId="11378"/>
    <tableColumn id="5032" xr3:uid="{BC8B0066-4677-4E54-80F3-6660A0296924}" name="Column5008" dataDxfId="11377"/>
    <tableColumn id="5033" xr3:uid="{A3F675E3-412C-4C60-BFEE-814D8DAF9AF0}" name="Column5009" dataDxfId="11376"/>
    <tableColumn id="5034" xr3:uid="{79A8ABCD-7CEF-4D29-A16B-7583A2E63A10}" name="Column5010" dataDxfId="11375"/>
    <tableColumn id="5035" xr3:uid="{99D52E14-1055-4E3F-8694-E2FD925834CC}" name="Column5011" dataDxfId="11374"/>
    <tableColumn id="5036" xr3:uid="{E889C8FB-F988-4D9A-A1C5-556DBBD0F359}" name="Column5012" dataDxfId="11373"/>
    <tableColumn id="5037" xr3:uid="{8D899FFE-9EE2-44CE-8980-290D7792FF56}" name="Column5013" dataDxfId="11372"/>
    <tableColumn id="5038" xr3:uid="{5E299D35-EF75-4A28-B9EA-3EF98DCE31E9}" name="Column5014" dataDxfId="11371"/>
    <tableColumn id="5039" xr3:uid="{5E57662E-1F16-4062-A58B-88D022496B2B}" name="Column5015" dataDxfId="11370"/>
    <tableColumn id="5040" xr3:uid="{B1C1C5C4-48C8-4111-A6CF-36AA012830BD}" name="Column5016" dataDxfId="11369"/>
    <tableColumn id="5041" xr3:uid="{364AD78E-0298-49B4-BC65-6D9A4138B4D9}" name="Column5017" dataDxfId="11368"/>
    <tableColumn id="5042" xr3:uid="{3994E7FE-6CDE-4C2E-86F0-913A35B7B009}" name="Column5018" dataDxfId="11367"/>
    <tableColumn id="5043" xr3:uid="{D17EC688-4BE5-4AB5-BE99-928BFD9B9EDB}" name="Column5019" dataDxfId="11366"/>
    <tableColumn id="5044" xr3:uid="{97A6DEE9-B579-4594-B89C-D65CE10B8C19}" name="Column5020" dataDxfId="11365"/>
    <tableColumn id="5045" xr3:uid="{F0DACD78-CCBA-4CC1-ADC2-B8479C721C97}" name="Column5021" dataDxfId="11364"/>
    <tableColumn id="5046" xr3:uid="{23F2997E-37C2-4870-B1BD-B948828DFBF1}" name="Column5022" dataDxfId="11363"/>
    <tableColumn id="5047" xr3:uid="{3809E278-4D7E-46D9-96CC-9F045F117230}" name="Column5023" dataDxfId="11362"/>
    <tableColumn id="5048" xr3:uid="{284E96CF-FDAF-440E-ACC7-84DB94FAAD4D}" name="Column5024" dataDxfId="11361"/>
    <tableColumn id="5049" xr3:uid="{445C4F49-586D-4749-BA0B-B8E0A7CF5258}" name="Column5025" dataDxfId="11360"/>
    <tableColumn id="5050" xr3:uid="{B5A2686C-932F-43C7-B20C-5686655D1117}" name="Column5026" dataDxfId="11359"/>
    <tableColumn id="5051" xr3:uid="{3F933DF6-336D-41C8-BDB0-F3B24DF105D0}" name="Column5027" dataDxfId="11358"/>
    <tableColumn id="5052" xr3:uid="{898EB094-4030-4519-85FC-5F444B3A0F1C}" name="Column5028" dataDxfId="11357"/>
    <tableColumn id="5053" xr3:uid="{F9F6FD78-08F0-4244-B9B3-EAB1780425B0}" name="Column5029" dataDxfId="11356"/>
    <tableColumn id="5054" xr3:uid="{FBD0C9A7-D9EC-489E-B683-C61548D19DEA}" name="Column5030" dataDxfId="11355"/>
    <tableColumn id="5055" xr3:uid="{7198A489-25DE-4DFA-A0E0-ABDFBF46B6D2}" name="Column5031" dataDxfId="11354"/>
    <tableColumn id="5056" xr3:uid="{2F999115-F8D5-4D4E-9381-162B545EBD63}" name="Column5032" dataDxfId="11353"/>
    <tableColumn id="5057" xr3:uid="{9ECD295F-3285-417F-83F9-B1DCEFCF78F8}" name="Column5033" dataDxfId="11352"/>
    <tableColumn id="5058" xr3:uid="{93DB36F3-95EF-4717-B3D1-7115794E03F6}" name="Column5034" dataDxfId="11351"/>
    <tableColumn id="5059" xr3:uid="{B93E514F-A10A-4E67-A3D9-AC5B5B5B4084}" name="Column5035" dataDxfId="11350"/>
    <tableColumn id="5060" xr3:uid="{569C8CEB-51BD-4343-BF80-614BD6244951}" name="Column5036" dataDxfId="11349"/>
    <tableColumn id="5061" xr3:uid="{FD9DF1FC-B41C-4F0E-B022-CEFECAD459CC}" name="Column5037" dataDxfId="11348"/>
    <tableColumn id="5062" xr3:uid="{305F27E3-58A8-4572-9B1C-6A73517B436D}" name="Column5038" dataDxfId="11347"/>
    <tableColumn id="5063" xr3:uid="{31262F2E-572F-4D28-9255-2A169BFB2C14}" name="Column5039" dataDxfId="11346"/>
    <tableColumn id="5064" xr3:uid="{C488BEEB-4603-4AE9-8BD5-ED17B101B61D}" name="Column5040" dataDxfId="11345"/>
    <tableColumn id="5065" xr3:uid="{456D4723-CB0A-4C5C-A5E3-812057EBAED5}" name="Column5041" dataDxfId="11344"/>
    <tableColumn id="5066" xr3:uid="{5A9711F7-32B2-411E-BBC3-1160C70759FE}" name="Column5042" dataDxfId="11343"/>
    <tableColumn id="5067" xr3:uid="{CFE10528-A182-4C48-B8DD-82273B228BB6}" name="Column5043" dataDxfId="11342"/>
    <tableColumn id="5068" xr3:uid="{646BBC19-342A-4B02-9247-2687729273B2}" name="Column5044" dataDxfId="11341"/>
    <tableColumn id="5069" xr3:uid="{CF6894D9-A217-48D7-9E72-04DC268B5756}" name="Column5045" dataDxfId="11340"/>
    <tableColumn id="5070" xr3:uid="{BCE5E8EB-3C6C-4FC5-B798-123FCA5FDC95}" name="Column5046" dataDxfId="11339"/>
    <tableColumn id="5071" xr3:uid="{11EBA942-579C-47B2-982E-7750DA7724DF}" name="Column5047" dataDxfId="11338"/>
    <tableColumn id="5072" xr3:uid="{4C539C25-4A08-49ED-B776-D48E7F4139DA}" name="Column5048" dataDxfId="11337"/>
    <tableColumn id="5073" xr3:uid="{ECA9ED56-2F60-4DDD-9C11-B884A974D695}" name="Column5049" dataDxfId="11336"/>
    <tableColumn id="5074" xr3:uid="{B86A8B3B-FE63-49EF-8B8A-6C8F26572244}" name="Column5050" dataDxfId="11335"/>
    <tableColumn id="5075" xr3:uid="{94167335-72AE-4978-A406-6D55CC010C3C}" name="Column5051" dataDxfId="11334"/>
    <tableColumn id="5076" xr3:uid="{35296286-02DE-47CE-A870-D55A08D1F4F9}" name="Column5052" dataDxfId="11333"/>
    <tableColumn id="5077" xr3:uid="{396E6CA7-2FFC-4430-A196-92A11EEB3A66}" name="Column5053" dataDxfId="11332"/>
    <tableColumn id="5078" xr3:uid="{4AB24736-88F2-4478-B5AD-9244A7B92005}" name="Column5054" dataDxfId="11331"/>
    <tableColumn id="5079" xr3:uid="{2A856BC8-BF51-4312-81F3-E671741EC673}" name="Column5055" dataDxfId="11330"/>
    <tableColumn id="5080" xr3:uid="{EF706C9E-9208-4FCF-84C0-29EF3080AE4B}" name="Column5056" dataDxfId="11329"/>
    <tableColumn id="5081" xr3:uid="{67CDE84E-0D87-4BC1-8E6E-A81025A2FA4C}" name="Column5057" dataDxfId="11328"/>
    <tableColumn id="5082" xr3:uid="{FAF3C817-8986-4580-9357-603B340DE5CB}" name="Column5058" dataDxfId="11327"/>
    <tableColumn id="5083" xr3:uid="{1BF7E073-4E3B-48DC-AF34-A63B77C53588}" name="Column5059" dataDxfId="11326"/>
    <tableColumn id="5084" xr3:uid="{F7465BD2-B634-4A5B-A5DB-D982DDF4A2BF}" name="Column5060" dataDxfId="11325"/>
    <tableColumn id="5085" xr3:uid="{1B56644F-8830-4F06-9B9F-C93629F94279}" name="Column5061" dataDxfId="11324"/>
    <tableColumn id="5086" xr3:uid="{9B543150-395D-4DF9-A059-D611193292FF}" name="Column5062" dataDxfId="11323"/>
    <tableColumn id="5087" xr3:uid="{9951AD94-2AFC-463E-8304-110CDAADECA2}" name="Column5063" dataDxfId="11322"/>
    <tableColumn id="5088" xr3:uid="{B92B1403-A2BE-43B9-86A1-443009E24097}" name="Column5064" dataDxfId="11321"/>
    <tableColumn id="5089" xr3:uid="{BDDA382B-B6BB-4DB5-9130-C1FB63F3DC0E}" name="Column5065" dataDxfId="11320"/>
    <tableColumn id="5090" xr3:uid="{28C0BA2C-40C1-4925-9A15-B9FF5D970951}" name="Column5066" dataDxfId="11319"/>
    <tableColumn id="5091" xr3:uid="{C8B82C8E-3393-4B8D-BCB3-0AFB173009C1}" name="Column5067" dataDxfId="11318"/>
    <tableColumn id="5092" xr3:uid="{2D682EDE-DD5A-40DC-B001-C4ECC137AC03}" name="Column5068" dataDxfId="11317"/>
    <tableColumn id="5093" xr3:uid="{8DD49C4B-BF3E-4942-AE77-78AA3E576C76}" name="Column5069" dataDxfId="11316"/>
    <tableColumn id="5094" xr3:uid="{EAFCDD29-A496-4AF4-87DC-B1EF56EA3B7A}" name="Column5070" dataDxfId="11315"/>
    <tableColumn id="5095" xr3:uid="{FA2F24A3-F118-4F80-8115-02E9DC2BCF98}" name="Column5071" dataDxfId="11314"/>
    <tableColumn id="5096" xr3:uid="{855F8CA3-A3DD-431E-A6A8-5E426D5B1D52}" name="Column5072" dataDxfId="11313"/>
    <tableColumn id="5097" xr3:uid="{F0F159C3-479C-4BE9-8270-5FFC2E93203D}" name="Column5073" dataDxfId="11312"/>
    <tableColumn id="5098" xr3:uid="{76287A24-992A-4564-9494-6ED40CD4B008}" name="Column5074" dataDxfId="11311"/>
    <tableColumn id="5099" xr3:uid="{2FC0FEAA-0686-4F38-A3DF-6931BC7DB104}" name="Column5075" dataDxfId="11310"/>
    <tableColumn id="5100" xr3:uid="{21E60070-28B0-47B4-93A6-AFC3F837C783}" name="Column5076" dataDxfId="11309"/>
    <tableColumn id="5101" xr3:uid="{CAF54F1C-D860-4A41-9211-F0EB862726B8}" name="Column5077" dataDxfId="11308"/>
    <tableColumn id="5102" xr3:uid="{482211F2-6B2C-41D4-89D9-1139C537B17E}" name="Column5078" dataDxfId="11307"/>
    <tableColumn id="5103" xr3:uid="{BB890CFC-1D91-40FC-BC7B-0CAAE18C760B}" name="Column5079" dataDxfId="11306"/>
    <tableColumn id="5104" xr3:uid="{4E780F8B-11A3-4705-AE95-78EB4ECF1547}" name="Column5080" dataDxfId="11305"/>
    <tableColumn id="5105" xr3:uid="{B852A2D5-80BA-4EC3-A868-3DFB79417E01}" name="Column5081" dataDxfId="11304"/>
    <tableColumn id="5106" xr3:uid="{C1C1D848-DDD3-4A9D-B93E-2A4B9691341F}" name="Column5082" dataDxfId="11303"/>
    <tableColumn id="5107" xr3:uid="{D8DA61E7-0B6C-466E-BA39-7D7FCDFF603F}" name="Column5083" dataDxfId="11302"/>
    <tableColumn id="5108" xr3:uid="{328EABD7-7EFC-4559-9ADC-4CDD314465D9}" name="Column5084" dataDxfId="11301"/>
    <tableColumn id="5109" xr3:uid="{9EB118AC-3D08-4A21-9B90-A2BEA5DE30D9}" name="Column5085" dataDxfId="11300"/>
    <tableColumn id="5110" xr3:uid="{F55B0BAA-BA6B-45B6-90E9-0AB09D0FAC23}" name="Column5086" dataDxfId="11299"/>
    <tableColumn id="5111" xr3:uid="{EB9C92F6-E6B1-41E3-B8EE-8E1AF3FD0C0E}" name="Column5087" dataDxfId="11298"/>
    <tableColumn id="5112" xr3:uid="{17AC20A3-E4B4-490F-85CC-DBCDC9339EEA}" name="Column5088" dataDxfId="11297"/>
    <tableColumn id="5113" xr3:uid="{0B32CA0D-7DD9-4E91-AB1D-B013EE7A36AB}" name="Column5089" dataDxfId="11296"/>
    <tableColumn id="5114" xr3:uid="{C5A11BBE-9CF5-4FAA-BABB-165FD5A26A51}" name="Column5090" dataDxfId="11295"/>
    <tableColumn id="5115" xr3:uid="{217DE1AA-23DB-4466-9BA7-E771CBB7A78A}" name="Column5091" dataDxfId="11294"/>
    <tableColumn id="5116" xr3:uid="{B636E1CE-0C55-44B2-992D-CB863F4713C2}" name="Column5092" dataDxfId="11293"/>
    <tableColumn id="5117" xr3:uid="{BB1B5667-88E5-40C0-9A25-956039E2FD40}" name="Column5093" dataDxfId="11292"/>
    <tableColumn id="5118" xr3:uid="{DC27B613-4F6D-4273-A24A-CAD46E6D66FA}" name="Column5094" dataDxfId="11291"/>
    <tableColumn id="5119" xr3:uid="{91621CDC-76AE-41C9-846C-EF4C303A2332}" name="Column5095" dataDxfId="11290"/>
    <tableColumn id="5120" xr3:uid="{0DF57E10-0631-4461-AB9E-E6F488C8C840}" name="Column5096" dataDxfId="11289"/>
    <tableColumn id="5121" xr3:uid="{E6092DDC-9FFD-48CC-9EA7-BD73877CEA36}" name="Column5097" dataDxfId="11288"/>
    <tableColumn id="5122" xr3:uid="{67CF379E-EC9C-4035-83CE-B4240694987C}" name="Column5098" dataDxfId="11287"/>
    <tableColumn id="5123" xr3:uid="{5D3CFDE3-821D-4D83-A0FF-ED4EFE3DBFC1}" name="Column5099" dataDxfId="11286"/>
    <tableColumn id="5124" xr3:uid="{27B01D2C-C5A1-4C85-AF72-318585D170C1}" name="Column5100" dataDxfId="11285"/>
    <tableColumn id="5125" xr3:uid="{3108BB11-3B23-43D2-AE92-0F14FE17FFB3}" name="Column5101" dataDxfId="11284"/>
    <tableColumn id="5126" xr3:uid="{B5D380BF-C7E8-4187-B719-3628E1A3B6B5}" name="Column5102" dataDxfId="11283"/>
    <tableColumn id="5127" xr3:uid="{5F1863F5-1305-4E55-8E61-AD2308266E45}" name="Column5103" dataDxfId="11282"/>
    <tableColumn id="5128" xr3:uid="{A8CA7D20-5D8C-4310-A3EC-1D13C27CAD0F}" name="Column5104" dataDxfId="11281"/>
    <tableColumn id="5129" xr3:uid="{764099A6-B1B6-4861-8FE6-B19111EA6F91}" name="Column5105" dataDxfId="11280"/>
    <tableColumn id="5130" xr3:uid="{6594D471-E737-4D17-A762-F3B7D9520517}" name="Column5106" dataDxfId="11279"/>
    <tableColumn id="5131" xr3:uid="{C554789B-AFD1-48DC-BBE4-A28C6C0BC5B5}" name="Column5107" dataDxfId="11278"/>
    <tableColumn id="5132" xr3:uid="{4642BA1A-AF66-4584-964D-37B6CBE28540}" name="Column5108" dataDxfId="11277"/>
    <tableColumn id="5133" xr3:uid="{9CB21682-50F0-434C-B0F4-E3744A555387}" name="Column5109" dataDxfId="11276"/>
    <tableColumn id="5134" xr3:uid="{8CA6CF04-7F06-4B8E-93A8-E439E935E3B7}" name="Column5110" dataDxfId="11275"/>
    <tableColumn id="5135" xr3:uid="{8178AEC0-EBFF-460F-9136-093D6F8DFC34}" name="Column5111" dataDxfId="11274"/>
    <tableColumn id="5136" xr3:uid="{4C105D85-F6B9-4981-A7FD-BB61D99B8AE9}" name="Column5112" dataDxfId="11273"/>
    <tableColumn id="5137" xr3:uid="{A6B35563-3B90-4227-83C6-6BCE465CC5AF}" name="Column5113" dataDxfId="11272"/>
    <tableColumn id="5138" xr3:uid="{0B4A9B3A-6B94-44E6-8130-BDCE90001DC0}" name="Column5114" dataDxfId="11271"/>
    <tableColumn id="5139" xr3:uid="{73EC0640-B1A4-4AD2-81F5-6AB8CE00A8F1}" name="Column5115" dataDxfId="11270"/>
    <tableColumn id="5140" xr3:uid="{AAE5AD2E-7A5E-46A3-A13D-5B8156944664}" name="Column5116" dataDxfId="11269"/>
    <tableColumn id="5141" xr3:uid="{883CFD5A-0345-4495-A8EF-C7B796822349}" name="Column5117" dataDxfId="11268"/>
    <tableColumn id="5142" xr3:uid="{D932A35B-4CC2-44C4-85F3-1AFC5CD91A14}" name="Column5118" dataDxfId="11267"/>
    <tableColumn id="5143" xr3:uid="{D2B2A824-0E8F-4010-9348-9707CFE1B488}" name="Column5119" dataDxfId="11266"/>
    <tableColumn id="5144" xr3:uid="{E2E903D8-F6CA-44C1-8548-9A80EBF59696}" name="Column5120" dataDxfId="11265"/>
    <tableColumn id="5145" xr3:uid="{DAF5A9F3-552F-4EA0-9377-4B03C283ECBA}" name="Column5121" dataDxfId="11264"/>
    <tableColumn id="5146" xr3:uid="{F17D3B09-FF0F-4DC7-9DF7-A5E445A657C4}" name="Column5122" dataDxfId="11263"/>
    <tableColumn id="5147" xr3:uid="{B9C9BC73-14B9-467B-9992-DF783D7F377C}" name="Column5123" dataDxfId="11262"/>
    <tableColumn id="5148" xr3:uid="{25FF60A6-5821-4CAC-94B7-905D96D0D14A}" name="Column5124" dataDxfId="11261"/>
    <tableColumn id="5149" xr3:uid="{6B88D66F-8B90-4819-935B-9AB3E4A5B907}" name="Column5125" dataDxfId="11260"/>
    <tableColumn id="5150" xr3:uid="{07530B15-7B89-409A-9ADE-4D7ABBFDE507}" name="Column5126" dataDxfId="11259"/>
    <tableColumn id="5151" xr3:uid="{8A2C1DC9-A351-4406-8B82-4B049EF4BB0F}" name="Column5127" dataDxfId="11258"/>
    <tableColumn id="5152" xr3:uid="{50894C1B-9195-4543-BE0B-B55A76FBC281}" name="Column5128" dataDxfId="11257"/>
    <tableColumn id="5153" xr3:uid="{2CE6200A-732D-42B8-837B-01BA058834DA}" name="Column5129" dataDxfId="11256"/>
    <tableColumn id="5154" xr3:uid="{AB5AE897-E265-4121-9E12-1B33A9B63460}" name="Column5130" dataDxfId="11255"/>
    <tableColumn id="5155" xr3:uid="{12E7077F-25B5-4D83-BAAF-D9003A3D9636}" name="Column5131" dataDxfId="11254"/>
    <tableColumn id="5156" xr3:uid="{C1933180-E1BA-47CD-BFE2-3E797353AB0D}" name="Column5132" dataDxfId="11253"/>
    <tableColumn id="5157" xr3:uid="{90E5C7C1-99AD-42CA-8277-4DD7BCB0F926}" name="Column5133" dataDxfId="11252"/>
    <tableColumn id="5158" xr3:uid="{E7CD475F-D8C6-448C-BF59-94A875B4757A}" name="Column5134" dataDxfId="11251"/>
    <tableColumn id="5159" xr3:uid="{9810A7BA-8AA4-4174-B8A5-9DA033E650B3}" name="Column5135" dataDxfId="11250"/>
    <tableColumn id="5160" xr3:uid="{C00218BA-FF90-40C1-8C62-6CC278DE99F4}" name="Column5136" dataDxfId="11249"/>
    <tableColumn id="5161" xr3:uid="{7EB51932-CDD5-41DA-92A9-74F6E1860779}" name="Column5137" dataDxfId="11248"/>
    <tableColumn id="5162" xr3:uid="{91FAAADD-CB4B-4144-8AE2-5176E350A409}" name="Column5138" dataDxfId="11247"/>
    <tableColumn id="5163" xr3:uid="{2FF23392-7623-4DF6-82A4-605A755CFCA7}" name="Column5139" dataDxfId="11246"/>
    <tableColumn id="5164" xr3:uid="{661DDD52-E5C7-47C1-8522-DCA33513BD1E}" name="Column5140" dataDxfId="11245"/>
    <tableColumn id="5165" xr3:uid="{2045AC2F-45F5-4C31-8D33-B8BEC7CDFC89}" name="Column5141" dataDxfId="11244"/>
    <tableColumn id="5166" xr3:uid="{D64B7C38-C89F-4033-BEB0-4A31D5E5B137}" name="Column5142" dataDxfId="11243"/>
    <tableColumn id="5167" xr3:uid="{F2052610-B9FF-4291-A869-42B3E775BF56}" name="Column5143" dataDxfId="11242"/>
    <tableColumn id="5168" xr3:uid="{9FFD979A-B096-4337-AFAC-6B2C09A49670}" name="Column5144" dataDxfId="11241"/>
    <tableColumn id="5169" xr3:uid="{5C46CE2A-98AE-45A3-875D-34BA76F3F24C}" name="Column5145" dataDxfId="11240"/>
    <tableColumn id="5170" xr3:uid="{3B1D3D67-C229-402C-AEF8-C720ECA79C4C}" name="Column5146" dataDxfId="11239"/>
    <tableColumn id="5171" xr3:uid="{06317002-2203-4606-A451-230CF2BA4CA0}" name="Column5147" dataDxfId="11238"/>
    <tableColumn id="5172" xr3:uid="{43EEAACA-4250-4025-AE52-12B511989FBB}" name="Column5148" dataDxfId="11237"/>
    <tableColumn id="5173" xr3:uid="{690C9725-1B5F-4E09-829F-ED7238895155}" name="Column5149" dataDxfId="11236"/>
    <tableColumn id="5174" xr3:uid="{CA0D51AB-5FEF-473B-B711-63DC20A5B7A8}" name="Column5150" dataDxfId="11235"/>
    <tableColumn id="5175" xr3:uid="{B03F9997-2731-4F0B-8321-E23456C4310B}" name="Column5151" dataDxfId="11234"/>
    <tableColumn id="5176" xr3:uid="{5D14CF0C-CCC3-49C7-AF50-1E35635B0DD1}" name="Column5152" dataDxfId="11233"/>
    <tableColumn id="5177" xr3:uid="{CBD4C46F-2824-4F3E-AF6D-8C5D17E646A3}" name="Column5153" dataDxfId="11232"/>
    <tableColumn id="5178" xr3:uid="{52B18CCE-4072-4EEB-9F80-9B4651DBF310}" name="Column5154" dataDxfId="11231"/>
    <tableColumn id="5179" xr3:uid="{DCD2A2EC-CF15-4EFB-AB15-6745172C4E1B}" name="Column5155" dataDxfId="11230"/>
    <tableColumn id="5180" xr3:uid="{8112FDDD-876C-4817-B05C-C4275A5A7AF2}" name="Column5156" dataDxfId="11229"/>
    <tableColumn id="5181" xr3:uid="{1D93CB0E-1444-4A31-87E8-C3F4419EA1C9}" name="Column5157" dataDxfId="11228"/>
    <tableColumn id="5182" xr3:uid="{C3D30573-2FCF-4594-A1FA-744A7505FB97}" name="Column5158" dataDxfId="11227"/>
    <tableColumn id="5183" xr3:uid="{F8CCC4DB-BD24-49F2-9BC6-B45FFC5C237C}" name="Column5159" dataDxfId="11226"/>
    <tableColumn id="5184" xr3:uid="{D2C2F975-8547-4D76-A786-B4EF737FD149}" name="Column5160" dataDxfId="11225"/>
    <tableColumn id="5185" xr3:uid="{41FE94EC-24AE-49E4-B421-2FFC17A23002}" name="Column5161" dataDxfId="11224"/>
    <tableColumn id="5186" xr3:uid="{3B0A1122-951C-43AA-8037-2FBA715B87A2}" name="Column5162" dataDxfId="11223"/>
    <tableColumn id="5187" xr3:uid="{108BFA3D-3311-4F6C-B32E-C0DCD7EE2CA6}" name="Column5163" dataDxfId="11222"/>
    <tableColumn id="5188" xr3:uid="{DECB0DFA-A7D5-4CED-A9F9-9DD32D69779E}" name="Column5164" dataDxfId="11221"/>
    <tableColumn id="5189" xr3:uid="{A4361803-B129-49CE-9BB4-B894045AE963}" name="Column5165" dataDxfId="11220"/>
    <tableColumn id="5190" xr3:uid="{CA987BDA-C5BD-465C-AB8F-CAC45E8B4729}" name="Column5166" dataDxfId="11219"/>
    <tableColumn id="5191" xr3:uid="{958F53B3-A3CB-4D83-BE4F-3B75B892A203}" name="Column5167" dataDxfId="11218"/>
    <tableColumn id="5192" xr3:uid="{929694E3-611D-4562-9BA6-48E67EC81A1A}" name="Column5168" dataDxfId="11217"/>
    <tableColumn id="5193" xr3:uid="{773819A0-E699-4CFA-A291-52A810C7F2A5}" name="Column5169" dataDxfId="11216"/>
    <tableColumn id="5194" xr3:uid="{CF24FBA7-D315-437F-9BA8-52F41E47DF23}" name="Column5170" dataDxfId="11215"/>
    <tableColumn id="5195" xr3:uid="{65A1162A-93D3-4315-A9D0-143DE06A19EA}" name="Column5171" dataDxfId="11214"/>
    <tableColumn id="5196" xr3:uid="{7F260B74-4DDB-466A-B4A3-9590178E5CCB}" name="Column5172" dataDxfId="11213"/>
    <tableColumn id="5197" xr3:uid="{B95992D3-D5F7-4B35-8392-260461D4AFC4}" name="Column5173" dataDxfId="11212"/>
    <tableColumn id="5198" xr3:uid="{0B81DECC-C638-4684-823E-0CEE276E69FE}" name="Column5174" dataDxfId="11211"/>
    <tableColumn id="5199" xr3:uid="{B79B0C7B-611A-4CF3-B476-CB2041FD88C8}" name="Column5175" dataDxfId="11210"/>
    <tableColumn id="5200" xr3:uid="{A209B0B0-77B5-49F7-A9DC-B9E7E298F879}" name="Column5176" dataDxfId="11209"/>
    <tableColumn id="5201" xr3:uid="{34FEC465-4DAE-4ED0-AE8E-5BEC7A38376E}" name="Column5177" dataDxfId="11208"/>
    <tableColumn id="5202" xr3:uid="{6440F8B4-C996-4432-B841-301760937C04}" name="Column5178" dataDxfId="11207"/>
    <tableColumn id="5203" xr3:uid="{68F83B3D-1A1F-439C-8544-40FBF3E64448}" name="Column5179" dataDxfId="11206"/>
    <tableColumn id="5204" xr3:uid="{7F39F501-C5D9-48D3-BDA5-FEEE2C641EED}" name="Column5180" dataDxfId="11205"/>
    <tableColumn id="5205" xr3:uid="{D63362F9-D800-4EC1-832D-F270AD2D7AD3}" name="Column5181" dataDxfId="11204"/>
    <tableColumn id="5206" xr3:uid="{E3712641-059C-4747-8E64-20D1A1ECA054}" name="Column5182" dataDxfId="11203"/>
    <tableColumn id="5207" xr3:uid="{A2CE6273-8D2A-453A-9E7F-0DA4D8D3C9D7}" name="Column5183" dataDxfId="11202"/>
    <tableColumn id="5208" xr3:uid="{C70BC9EA-215B-494D-9A3E-D0F53425EC07}" name="Column5184" dataDxfId="11201"/>
    <tableColumn id="5209" xr3:uid="{7C20E647-2011-4848-BB21-F53F1118C546}" name="Column5185" dataDxfId="11200"/>
    <tableColumn id="5210" xr3:uid="{3ADAAA2B-887E-4D78-BCC8-E021356B2769}" name="Column5186" dataDxfId="11199"/>
    <tableColumn id="5211" xr3:uid="{9E3D529F-7D72-40AB-AF18-01C323158ED9}" name="Column5187" dataDxfId="11198"/>
    <tableColumn id="5212" xr3:uid="{9BD4C738-9F69-4344-882A-A0C511B63E1E}" name="Column5188" dataDxfId="11197"/>
    <tableColumn id="5213" xr3:uid="{EE8D5D36-63E4-4754-8073-A410C4B28AF0}" name="Column5189" dataDxfId="11196"/>
    <tableColumn id="5214" xr3:uid="{794395A7-7040-4BDF-970F-C46EDA2C069F}" name="Column5190" dataDxfId="11195"/>
    <tableColumn id="5215" xr3:uid="{2C7F07E8-DBED-47F1-AD9B-BE57A879D9A0}" name="Column5191" dataDxfId="11194"/>
    <tableColumn id="5216" xr3:uid="{3737B76B-0974-440A-87D8-B130F9216D0A}" name="Column5192" dataDxfId="11193"/>
    <tableColumn id="5217" xr3:uid="{473AD2FC-9E21-4481-AC61-4465D7DED5AC}" name="Column5193" dataDxfId="11192"/>
    <tableColumn id="5218" xr3:uid="{2E556345-F76C-42B1-A11C-F539EA6C5C2B}" name="Column5194" dataDxfId="11191"/>
    <tableColumn id="5219" xr3:uid="{369085BD-AAE8-4C01-8BAF-B5570CCF5420}" name="Column5195" dataDxfId="11190"/>
    <tableColumn id="5220" xr3:uid="{F6816AC7-6075-4CF8-A12D-0FBAE6BD43BE}" name="Column5196" dataDxfId="11189"/>
    <tableColumn id="5221" xr3:uid="{B601AD35-E705-4C32-A884-98FB7E5081CC}" name="Column5197" dataDxfId="11188"/>
    <tableColumn id="5222" xr3:uid="{8F839DDC-13A3-4E5E-8D83-133D7C3C6240}" name="Column5198" dataDxfId="11187"/>
    <tableColumn id="5223" xr3:uid="{94095D1B-615A-48D9-88E5-89FFACC2CF52}" name="Column5199" dataDxfId="11186"/>
    <tableColumn id="5224" xr3:uid="{BC0DB88B-C201-4FA9-9FD6-981E0EFA83A6}" name="Column5200" dataDxfId="11185"/>
    <tableColumn id="5225" xr3:uid="{AC00D471-D8DE-42D9-843C-8F53290D961F}" name="Column5201" dataDxfId="11184"/>
    <tableColumn id="5226" xr3:uid="{94EEFE8C-92C1-4210-A21D-906D234405E9}" name="Column5202" dataDxfId="11183"/>
    <tableColumn id="5227" xr3:uid="{C14B88C3-B0D5-45C6-9D08-8A221427DCA3}" name="Column5203" dataDxfId="11182"/>
    <tableColumn id="5228" xr3:uid="{7A17ECCE-3302-43F7-A6B0-E0C21C03E9F3}" name="Column5204" dataDxfId="11181"/>
    <tableColumn id="5229" xr3:uid="{2124D78A-B524-42D9-93DC-0704342DE97B}" name="Column5205" dataDxfId="11180"/>
    <tableColumn id="5230" xr3:uid="{78CBD61C-A548-4987-9219-B54B19667818}" name="Column5206" dataDxfId="11179"/>
    <tableColumn id="5231" xr3:uid="{63D5F611-8092-430A-9043-B73287C66E9C}" name="Column5207" dataDxfId="11178"/>
    <tableColumn id="5232" xr3:uid="{CDABA863-83F3-4AD6-9C30-746DA4C3378C}" name="Column5208" dataDxfId="11177"/>
    <tableColumn id="5233" xr3:uid="{9FA94FF4-BA95-4BB1-8EF2-FE84001D4C8D}" name="Column5209" dataDxfId="11176"/>
    <tableColumn id="5234" xr3:uid="{E10503CA-A2E1-4D0F-AD8D-86976CC891C8}" name="Column5210" dataDxfId="11175"/>
    <tableColumn id="5235" xr3:uid="{FF6ADA08-220E-48F9-94DF-FEB917B92582}" name="Column5211" dataDxfId="11174"/>
    <tableColumn id="5236" xr3:uid="{350EE6BA-3CDD-4865-A35E-BF3935066722}" name="Column5212" dataDxfId="11173"/>
    <tableColumn id="5237" xr3:uid="{C4B474C6-0E6D-4156-A1F7-EF092D6037D3}" name="Column5213" dataDxfId="11172"/>
    <tableColumn id="5238" xr3:uid="{B8B6A94D-705F-40B7-90A6-0F9FC7573431}" name="Column5214" dataDxfId="11171"/>
    <tableColumn id="5239" xr3:uid="{05B8E473-BFA9-42FF-BC3F-D7723A361D66}" name="Column5215" dataDxfId="11170"/>
    <tableColumn id="5240" xr3:uid="{85D1544F-0627-4A20-9E16-683A86EF20AC}" name="Column5216" dataDxfId="11169"/>
    <tableColumn id="5241" xr3:uid="{D3F3AF71-4A7D-4856-BB85-C1917A51015D}" name="Column5217" dataDxfId="11168"/>
    <tableColumn id="5242" xr3:uid="{0FBD2B2F-C7F9-49AE-924E-E6A4A9DF4EA4}" name="Column5218" dataDxfId="11167"/>
    <tableColumn id="5243" xr3:uid="{18766517-2C60-4CBF-B91C-2548E86160EF}" name="Column5219" dataDxfId="11166"/>
    <tableColumn id="5244" xr3:uid="{8F616D23-2949-47AD-A9B8-3C2DA16705FA}" name="Column5220" dataDxfId="11165"/>
    <tableColumn id="5245" xr3:uid="{C9E48AC1-B331-4F92-8804-2E300D455CCF}" name="Column5221" dataDxfId="11164"/>
    <tableColumn id="5246" xr3:uid="{F7AAA1FC-C235-423F-8C1C-F0D7A4AFEDF0}" name="Column5222" dataDxfId="11163"/>
    <tableColumn id="5247" xr3:uid="{3D1917B6-31D6-4927-9640-34C81FC6EFD0}" name="Column5223" dataDxfId="11162"/>
    <tableColumn id="5248" xr3:uid="{7E633152-C94E-4AA5-AD62-7C4528437541}" name="Column5224" dataDxfId="11161"/>
    <tableColumn id="5249" xr3:uid="{C311C0C7-703A-4D33-9FD8-233C66D02C2C}" name="Column5225" dataDxfId="11160"/>
    <tableColumn id="5250" xr3:uid="{F1AB0653-3866-4835-9646-743404A922C7}" name="Column5226" dataDxfId="11159"/>
    <tableColumn id="5251" xr3:uid="{445A97E0-A7AA-4ADE-87CC-90E80A0C3462}" name="Column5227" dataDxfId="11158"/>
    <tableColumn id="5252" xr3:uid="{6B4C49BB-4850-42D9-ADBE-3CD4CD4BFBB5}" name="Column5228" dataDxfId="11157"/>
    <tableColumn id="5253" xr3:uid="{79F689DA-4A4A-4868-A05A-E680E3074D16}" name="Column5229" dataDxfId="11156"/>
    <tableColumn id="5254" xr3:uid="{37AB9798-6856-4B30-BD04-A0A52A1BF65A}" name="Column5230" dataDxfId="11155"/>
    <tableColumn id="5255" xr3:uid="{F7696E1A-37B0-4918-B869-CF5F9F5757E1}" name="Column5231" dataDxfId="11154"/>
    <tableColumn id="5256" xr3:uid="{BC5CE914-FF6D-4F90-BB17-37060EFAF5C5}" name="Column5232" dataDxfId="11153"/>
    <tableColumn id="5257" xr3:uid="{A86A8C7D-4FDB-45B3-824D-90D0082E6E43}" name="Column5233" dataDxfId="11152"/>
    <tableColumn id="5258" xr3:uid="{E277C882-7D05-4653-9A66-0251AF9B9A7A}" name="Column5234" dataDxfId="11151"/>
    <tableColumn id="5259" xr3:uid="{6FF67E69-3479-4C6C-BF00-1F917E13F773}" name="Column5235" dataDxfId="11150"/>
    <tableColumn id="5260" xr3:uid="{4F0E6A2D-B954-4690-8500-755B91194CD9}" name="Column5236" dataDxfId="11149"/>
    <tableColumn id="5261" xr3:uid="{88F9A71E-F6FD-4236-B05E-7E982CC5CED6}" name="Column5237" dataDxfId="11148"/>
    <tableColumn id="5262" xr3:uid="{2BA93EDE-76FD-4A55-A88B-B7EF68CE14ED}" name="Column5238" dataDxfId="11147"/>
    <tableColumn id="5263" xr3:uid="{20DBC660-7608-4A2F-B633-77AA537F1603}" name="Column5239" dataDxfId="11146"/>
    <tableColumn id="5264" xr3:uid="{6F79E2B1-C388-4A10-8A69-1D110D5EFA2E}" name="Column5240" dataDxfId="11145"/>
    <tableColumn id="5265" xr3:uid="{AA871AD5-6213-4A8A-9CAA-51A43B9D6DA7}" name="Column5241" dataDxfId="11144"/>
    <tableColumn id="5266" xr3:uid="{7F919BCE-B563-4F5E-BC43-E5EE2750D05B}" name="Column5242" dataDxfId="11143"/>
    <tableColumn id="5267" xr3:uid="{0CD81663-8E6E-41AA-9034-9DD2AF163641}" name="Column5243" dataDxfId="11142"/>
    <tableColumn id="5268" xr3:uid="{6526CAD8-683E-4FA0-BE66-EBBDA4C362FC}" name="Column5244" dataDxfId="11141"/>
    <tableColumn id="5269" xr3:uid="{A1F5BF8A-9541-4035-A65B-5F374DBCC38B}" name="Column5245" dataDxfId="11140"/>
    <tableColumn id="5270" xr3:uid="{C88BF9F6-F882-4274-AFDB-83B8E43525E2}" name="Column5246" dataDxfId="11139"/>
    <tableColumn id="5271" xr3:uid="{3D4EB9B2-B5CB-4286-813D-5DE44552CE99}" name="Column5247" dataDxfId="11138"/>
    <tableColumn id="5272" xr3:uid="{8341641B-BD17-49C0-A53F-378A85548C69}" name="Column5248" dataDxfId="11137"/>
    <tableColumn id="5273" xr3:uid="{E4573B66-7A65-470F-A633-0A337D59BF5B}" name="Column5249" dataDxfId="11136"/>
    <tableColumn id="5274" xr3:uid="{D95240D6-DBA7-4831-81E0-77948248B677}" name="Column5250" dataDxfId="11135"/>
    <tableColumn id="5275" xr3:uid="{B3671FF2-D87C-46BC-81C2-92F0B12535CF}" name="Column5251" dataDxfId="11134"/>
    <tableColumn id="5276" xr3:uid="{1E8B0D7E-F965-477C-BEFF-7E905F128CAA}" name="Column5252" dataDxfId="11133"/>
    <tableColumn id="5277" xr3:uid="{A1BA7748-6DA0-439C-93B6-74ABE9CAF86E}" name="Column5253" dataDxfId="11132"/>
    <tableColumn id="5278" xr3:uid="{5F169F17-02A9-4D7E-B597-79FA2819693B}" name="Column5254" dataDxfId="11131"/>
    <tableColumn id="5279" xr3:uid="{40E94DDC-95EC-4029-AC27-1F8E9BB3DDBB}" name="Column5255" dataDxfId="11130"/>
    <tableColumn id="5280" xr3:uid="{721B95BB-2317-443E-A980-76C97E6CB43F}" name="Column5256" dataDxfId="11129"/>
    <tableColumn id="5281" xr3:uid="{8DBE5E31-99C5-4ED9-9945-32981F849BEF}" name="Column5257" dataDxfId="11128"/>
    <tableColumn id="5282" xr3:uid="{5BAF2821-96A1-4C64-A90E-EAD54D6F5007}" name="Column5258" dataDxfId="11127"/>
    <tableColumn id="5283" xr3:uid="{23346AF7-8D8F-4FAE-9A18-EF93C26C009C}" name="Column5259" dataDxfId="11126"/>
    <tableColumn id="5284" xr3:uid="{F3DED1F5-4BAF-4A78-BE24-0EA8454F3269}" name="Column5260" dataDxfId="11125"/>
    <tableColumn id="5285" xr3:uid="{B20985FE-1485-40BC-B7EC-11FEA6B33E3B}" name="Column5261" dataDxfId="11124"/>
    <tableColumn id="5286" xr3:uid="{9400B298-4E93-47D6-B1BA-214F98B2D1B1}" name="Column5262" dataDxfId="11123"/>
    <tableColumn id="5287" xr3:uid="{5D6AF8D1-778A-4ED1-924F-DB4E32D2843C}" name="Column5263" dataDxfId="11122"/>
    <tableColumn id="5288" xr3:uid="{7B120D10-C247-4AD8-88F3-BD252F87AAF2}" name="Column5264" dataDxfId="11121"/>
    <tableColumn id="5289" xr3:uid="{6F149FF4-BD39-4F28-9685-F4910CA9430B}" name="Column5265" dataDxfId="11120"/>
    <tableColumn id="5290" xr3:uid="{69306957-1858-4124-9DAE-F037C645921C}" name="Column5266" dataDxfId="11119"/>
    <tableColumn id="5291" xr3:uid="{2A35C240-A7F2-45AC-BB93-E0B5A56DF8B7}" name="Column5267" dataDxfId="11118"/>
    <tableColumn id="5292" xr3:uid="{4E3B3541-965A-4A9D-A8E9-3738BDBFDB78}" name="Column5268" dataDxfId="11117"/>
    <tableColumn id="5293" xr3:uid="{4DFE405D-1C24-499F-AC0D-C0A5C9FDF759}" name="Column5269" dataDxfId="11116"/>
    <tableColumn id="5294" xr3:uid="{7318CD78-D4DA-45BA-B2E5-43F146B121AE}" name="Column5270" dataDxfId="11115"/>
    <tableColumn id="5295" xr3:uid="{EEBA575F-AB12-47E1-959B-FF7D9864953A}" name="Column5271" dataDxfId="11114"/>
    <tableColumn id="5296" xr3:uid="{096611CF-2BF2-4DD5-8D47-26637BF35D37}" name="Column5272" dataDxfId="11113"/>
    <tableColumn id="5297" xr3:uid="{B6D4D1BE-70FD-4EE9-A0B2-9ECFB26598F9}" name="Column5273" dataDxfId="11112"/>
    <tableColumn id="5298" xr3:uid="{E6D0343E-487C-4048-97EB-E2A0B56A5510}" name="Column5274" dataDxfId="11111"/>
    <tableColumn id="5299" xr3:uid="{854F88AA-E1CA-4330-A6E2-36F2A1B03D0F}" name="Column5275" dataDxfId="11110"/>
    <tableColumn id="5300" xr3:uid="{AFE0DE0A-6200-466F-BB38-5BDCADF4CBE5}" name="Column5276" dataDxfId="11109"/>
    <tableColumn id="5301" xr3:uid="{84DCC6D0-AFFE-46D2-A4FF-38EBAE6CB82F}" name="Column5277" dataDxfId="11108"/>
    <tableColumn id="5302" xr3:uid="{6BF67FBB-F63F-43D9-9D1D-7DE69C9AF4BC}" name="Column5278" dataDxfId="11107"/>
    <tableColumn id="5303" xr3:uid="{19EC6F8A-E4C3-4081-8179-B334037F22C3}" name="Column5279" dataDxfId="11106"/>
    <tableColumn id="5304" xr3:uid="{26A38B2B-BECF-4009-80DC-02AD84744CBB}" name="Column5280" dataDxfId="11105"/>
    <tableColumn id="5305" xr3:uid="{80FF106E-3B5D-4231-BD0B-A2F9581F9B3C}" name="Column5281" dataDxfId="11104"/>
    <tableColumn id="5306" xr3:uid="{DF44ED9E-1337-43EA-B4E8-8846EABA12BB}" name="Column5282" dataDxfId="11103"/>
    <tableColumn id="5307" xr3:uid="{59855DAE-24FF-4EFF-9568-8165ED3FC44F}" name="Column5283" dataDxfId="11102"/>
    <tableColumn id="5308" xr3:uid="{D2DDFF26-3ADC-45DF-BAC1-684ACDA756D0}" name="Column5284" dataDxfId="11101"/>
    <tableColumn id="5309" xr3:uid="{721AF7A0-C839-494D-873F-C770B0308B5B}" name="Column5285" dataDxfId="11100"/>
    <tableColumn id="5310" xr3:uid="{10A4EC83-433C-421E-A93D-B142B8D18F33}" name="Column5286" dataDxfId="11099"/>
    <tableColumn id="5311" xr3:uid="{0FFCD918-91ED-44E1-8343-93F6EF1C09DC}" name="Column5287" dataDxfId="11098"/>
    <tableColumn id="5312" xr3:uid="{F6B13D67-CE51-42A3-8FAF-D3C41B2F6AA1}" name="Column5288" dataDxfId="11097"/>
    <tableColumn id="5313" xr3:uid="{D1ECDD3A-1569-4D89-B340-C0519349F264}" name="Column5289" dataDxfId="11096"/>
    <tableColumn id="5314" xr3:uid="{493E73A3-3ADD-498E-AF74-188FBAEFED1E}" name="Column5290" dataDxfId="11095"/>
    <tableColumn id="5315" xr3:uid="{B10523F5-E80A-44C6-9C3B-53C06DB54CE5}" name="Column5291" dataDxfId="11094"/>
    <tableColumn id="5316" xr3:uid="{A16D2340-4B98-4C39-84D0-53E777899CEB}" name="Column5292" dataDxfId="11093"/>
    <tableColumn id="5317" xr3:uid="{FDC6D352-6FE7-47E9-BE45-E61678858058}" name="Column5293" dataDxfId="11092"/>
    <tableColumn id="5318" xr3:uid="{FF98F9EA-46BF-425A-AE35-1BEEB6F2F022}" name="Column5294" dataDxfId="11091"/>
    <tableColumn id="5319" xr3:uid="{F463D0F5-76E8-439B-9F5E-92268AD58F92}" name="Column5295" dataDxfId="11090"/>
    <tableColumn id="5320" xr3:uid="{925CC957-9B49-491C-BAC1-427EAE4CCE0F}" name="Column5296" dataDxfId="11089"/>
    <tableColumn id="5321" xr3:uid="{D210A72F-FF41-4967-B968-FD314A3BC978}" name="Column5297" dataDxfId="11088"/>
    <tableColumn id="5322" xr3:uid="{6DF83C67-10CB-4E6A-B178-B6EA05AB3735}" name="Column5298" dataDxfId="11087"/>
    <tableColumn id="5323" xr3:uid="{D296368D-C8F8-42FE-8403-43EE3F43B559}" name="Column5299" dataDxfId="11086"/>
    <tableColumn id="5324" xr3:uid="{00DA60F9-FCCA-4354-9891-4E7B349FFB56}" name="Column5300" dataDxfId="11085"/>
    <tableColumn id="5325" xr3:uid="{8F0CEEC0-26F5-4B7B-BF53-8E38C676A35C}" name="Column5301" dataDxfId="11084"/>
    <tableColumn id="5326" xr3:uid="{0C51BBA0-E7F8-4611-9EB9-4D8CE93E9186}" name="Column5302" dataDxfId="11083"/>
    <tableColumn id="5327" xr3:uid="{BDE6A82C-CAB9-4AFF-91DB-691B203F5135}" name="Column5303" dataDxfId="11082"/>
    <tableColumn id="5328" xr3:uid="{A38E896C-6DC4-4021-81E1-00DEB7C40CEF}" name="Column5304" dataDxfId="11081"/>
    <tableColumn id="5329" xr3:uid="{9D1D49BE-C06B-46B8-B991-E4FC0D04C605}" name="Column5305" dataDxfId="11080"/>
    <tableColumn id="5330" xr3:uid="{9C8FA9B9-C879-4F98-BC14-8AE486B4C6A6}" name="Column5306" dataDxfId="11079"/>
    <tableColumn id="5331" xr3:uid="{0E844AD3-D4AB-43DC-AB42-CA1DF7CFE8BC}" name="Column5307" dataDxfId="11078"/>
    <tableColumn id="5332" xr3:uid="{A37B4E65-619B-46B0-A115-BB6046ADEBFD}" name="Column5308" dataDxfId="11077"/>
    <tableColumn id="5333" xr3:uid="{FF7041BB-6EC1-4587-90C1-1CA3D842D8FD}" name="Column5309" dataDxfId="11076"/>
    <tableColumn id="5334" xr3:uid="{51F9EB4B-595A-4133-819D-1875B87EF0A4}" name="Column5310" dataDxfId="11075"/>
    <tableColumn id="5335" xr3:uid="{BB270A9C-7CFD-44E6-93E4-357A50B485DC}" name="Column5311" dataDxfId="11074"/>
    <tableColumn id="5336" xr3:uid="{54394A15-2460-4EDE-9C7A-76F244D41C1A}" name="Column5312" dataDxfId="11073"/>
    <tableColumn id="5337" xr3:uid="{DB201077-A6D9-41BB-B41A-27A8C8506582}" name="Column5313" dataDxfId="11072"/>
    <tableColumn id="5338" xr3:uid="{909C518A-E7C4-47EF-94B6-1B32337DD745}" name="Column5314" dataDxfId="11071"/>
    <tableColumn id="5339" xr3:uid="{822DDE97-C267-4F11-BA1C-AA544AFF8733}" name="Column5315" dataDxfId="11070"/>
    <tableColumn id="5340" xr3:uid="{5F5E4C5E-1854-425A-B71E-8A5EB86AEB66}" name="Column5316" dataDxfId="11069"/>
    <tableColumn id="5341" xr3:uid="{965C0EDF-308D-4F99-931B-F2562A932518}" name="Column5317" dataDxfId="11068"/>
    <tableColumn id="5342" xr3:uid="{3D685709-90C1-4A06-A961-C837C004875D}" name="Column5318" dataDxfId="11067"/>
    <tableColumn id="5343" xr3:uid="{1D212047-38F0-407B-86C9-6CE0EB2CA01C}" name="Column5319" dataDxfId="11066"/>
    <tableColumn id="5344" xr3:uid="{E8C2C461-7A5A-446A-9F01-401A2A153698}" name="Column5320" dataDxfId="11065"/>
    <tableColumn id="5345" xr3:uid="{60D1C6A3-ABBD-4DF5-8EE2-3C4FADC5E57C}" name="Column5321" dataDxfId="11064"/>
    <tableColumn id="5346" xr3:uid="{74601990-AF01-4C08-B9ED-246D0162A764}" name="Column5322" dataDxfId="11063"/>
    <tableColumn id="5347" xr3:uid="{9D43D1D7-5F0A-409A-91E9-DC12554C0067}" name="Column5323" dataDxfId="11062"/>
    <tableColumn id="5348" xr3:uid="{30F90EF4-AF8C-4750-8401-9BAAB884B953}" name="Column5324" dataDxfId="11061"/>
    <tableColumn id="5349" xr3:uid="{D3726ADA-5DBC-4C9E-974F-52C6A9362DAF}" name="Column5325" dataDxfId="11060"/>
    <tableColumn id="5350" xr3:uid="{F6A00566-1295-4C2D-878F-8C2D289E43FF}" name="Column5326" dataDxfId="11059"/>
    <tableColumn id="5351" xr3:uid="{434AC08E-6203-437F-BFE3-9AA98F7FDDFD}" name="Column5327" dataDxfId="11058"/>
    <tableColumn id="5352" xr3:uid="{FF834E2D-CB5A-4EDC-96BB-C0C58481E8B9}" name="Column5328" dataDxfId="11057"/>
    <tableColumn id="5353" xr3:uid="{ECBC64DD-6D13-4871-9290-16BC22B34867}" name="Column5329" dataDxfId="11056"/>
    <tableColumn id="5354" xr3:uid="{3D39594B-FEA5-4D9F-BEAA-EB9D553AD987}" name="Column5330" dataDxfId="11055"/>
    <tableColumn id="5355" xr3:uid="{9C10FB92-64E1-4567-BAAF-51E7898344E1}" name="Column5331" dataDxfId="11054"/>
    <tableColumn id="5356" xr3:uid="{8294B26C-04EB-4842-BB1A-7CA308F0AF24}" name="Column5332" dataDxfId="11053"/>
    <tableColumn id="5357" xr3:uid="{5A16C5DD-995A-4D6B-BA9D-D2C62E84BC44}" name="Column5333" dataDxfId="11052"/>
    <tableColumn id="5358" xr3:uid="{DF558DF8-260B-4138-809B-5473906D8E25}" name="Column5334" dataDxfId="11051"/>
    <tableColumn id="5359" xr3:uid="{A5D3A1A2-6F25-483D-BC2E-15E6BC683D33}" name="Column5335" dataDxfId="11050"/>
    <tableColumn id="5360" xr3:uid="{DE19412D-AB0C-4139-BA63-E26DB9AD54AC}" name="Column5336" dataDxfId="11049"/>
    <tableColumn id="5361" xr3:uid="{AD78DCC4-F1B3-45FB-9C59-4F0FBFE84994}" name="Column5337" dataDxfId="11048"/>
    <tableColumn id="5362" xr3:uid="{0BDE8218-0C50-468E-B03B-BF0834EC8136}" name="Column5338" dataDxfId="11047"/>
    <tableColumn id="5363" xr3:uid="{AA9062C2-815D-4C90-A0A7-56BA46FD3195}" name="Column5339" dataDxfId="11046"/>
    <tableColumn id="5364" xr3:uid="{00A7759B-957D-4500-ACE8-A2F670129CCD}" name="Column5340" dataDxfId="11045"/>
    <tableColumn id="5365" xr3:uid="{64B3992B-1B95-4B84-88B7-44981E6AE8F6}" name="Column5341" dataDxfId="11044"/>
    <tableColumn id="5366" xr3:uid="{FAA1E87B-C518-4E8B-AC6E-0481EE7D24B5}" name="Column5342" dataDxfId="11043"/>
    <tableColumn id="5367" xr3:uid="{3402A507-A112-4628-AF8D-E52B9A7B927D}" name="Column5343" dataDxfId="11042"/>
    <tableColumn id="5368" xr3:uid="{2ECABAAF-BD5A-4D7D-A008-FEE57A16BE5D}" name="Column5344" dataDxfId="11041"/>
    <tableColumn id="5369" xr3:uid="{37F5D561-0F56-4AEB-A8EB-7C4C4F98FE25}" name="Column5345" dataDxfId="11040"/>
    <tableColumn id="5370" xr3:uid="{B749B93B-6928-4DF6-8D24-C8515CB03555}" name="Column5346" dataDxfId="11039"/>
    <tableColumn id="5371" xr3:uid="{18053C8A-05BA-4BCF-8A0F-AA3A93D2B66D}" name="Column5347" dataDxfId="11038"/>
    <tableColumn id="5372" xr3:uid="{60CB8945-82EC-46EF-A86D-8AAABE6DB445}" name="Column5348" dataDxfId="11037"/>
    <tableColumn id="5373" xr3:uid="{D6481DB3-C8D3-433B-AFA6-593C318555AA}" name="Column5349" dataDxfId="11036"/>
    <tableColumn id="5374" xr3:uid="{344FC6FD-CF95-44D4-A7CA-8B187087B62A}" name="Column5350" dataDxfId="11035"/>
    <tableColumn id="5375" xr3:uid="{E7F51D15-085F-4BC8-ACB0-63CCFA3AD534}" name="Column5351" dataDxfId="11034"/>
    <tableColumn id="5376" xr3:uid="{23A42ECD-21E9-4B74-AB25-C38056FC48E5}" name="Column5352" dataDxfId="11033"/>
    <tableColumn id="5377" xr3:uid="{0C9C1912-2346-44C4-B151-AB13191482DB}" name="Column5353" dataDxfId="11032"/>
    <tableColumn id="5378" xr3:uid="{43533131-4FD8-4570-BC3B-C9EAE5157575}" name="Column5354" dataDxfId="11031"/>
    <tableColumn id="5379" xr3:uid="{B50490E1-2721-4384-AB36-00B65E1F59D0}" name="Column5355" dataDxfId="11030"/>
    <tableColumn id="5380" xr3:uid="{477C1EFE-FAE4-4F45-A304-2BDE01077F60}" name="Column5356" dataDxfId="11029"/>
    <tableColumn id="5381" xr3:uid="{3B0D7181-8D70-496A-86A9-6D1708B33BC1}" name="Column5357" dataDxfId="11028"/>
    <tableColumn id="5382" xr3:uid="{CF147648-305B-431A-9E64-0FBFB70BFBDC}" name="Column5358" dataDxfId="11027"/>
    <tableColumn id="5383" xr3:uid="{BE20B657-9E6C-4409-947B-91B242C8897E}" name="Column5359" dataDxfId="11026"/>
    <tableColumn id="5384" xr3:uid="{CFA60147-6FB9-41DF-9C60-D36DAC450E09}" name="Column5360" dataDxfId="11025"/>
    <tableColumn id="5385" xr3:uid="{517057A6-A2DC-4EB5-8B3B-9573319A03CB}" name="Column5361" dataDxfId="11024"/>
    <tableColumn id="5386" xr3:uid="{AC9AA6CD-C0AA-488B-8AF7-05C47C17C472}" name="Column5362" dataDxfId="11023"/>
    <tableColumn id="5387" xr3:uid="{BC36FEA0-7D55-4CA0-B0FF-32A7DD0F8185}" name="Column5363" dataDxfId="11022"/>
    <tableColumn id="5388" xr3:uid="{23FE6646-FAEF-42C1-BAFE-8293C1F26946}" name="Column5364" dataDxfId="11021"/>
    <tableColumn id="5389" xr3:uid="{EA0E3AED-D02A-498C-AD68-87D6ADED810D}" name="Column5365" dataDxfId="11020"/>
    <tableColumn id="5390" xr3:uid="{9598B22C-A0B6-4632-BE79-30DFFC569D54}" name="Column5366" dataDxfId="11019"/>
    <tableColumn id="5391" xr3:uid="{CCF9FEFC-8C31-4890-B918-B024B59649D2}" name="Column5367" dataDxfId="11018"/>
    <tableColumn id="5392" xr3:uid="{D9291FAB-E718-4BD7-8264-ABFA6605A72C}" name="Column5368" dataDxfId="11017"/>
    <tableColumn id="5393" xr3:uid="{C990A838-EA01-4E24-AE73-6609ACAB5DB1}" name="Column5369" dataDxfId="11016"/>
    <tableColumn id="5394" xr3:uid="{286139F8-1A8F-4C57-B51F-D73448ADF231}" name="Column5370" dataDxfId="11015"/>
    <tableColumn id="5395" xr3:uid="{F35B68FB-58D6-4834-B0FB-C0A9402CDF04}" name="Column5371" dataDxfId="11014"/>
    <tableColumn id="5396" xr3:uid="{E01477E5-C9A9-4893-AEAC-E04E6D9F7A6B}" name="Column5372" dataDxfId="11013"/>
    <tableColumn id="5397" xr3:uid="{0BBFC3C7-93D4-4EB3-802E-D699927B5EA5}" name="Column5373" dataDxfId="11012"/>
    <tableColumn id="5398" xr3:uid="{942BCE0A-ADF1-4161-8AFF-9E4080103E4E}" name="Column5374" dataDxfId="11011"/>
    <tableColumn id="5399" xr3:uid="{AD39EAC5-6745-49AA-9067-CB0ECDA02DCC}" name="Column5375" dataDxfId="11010"/>
    <tableColumn id="5400" xr3:uid="{4627EE37-DE43-4A6B-8823-4FD2983EA472}" name="Column5376" dataDxfId="11009"/>
    <tableColumn id="5401" xr3:uid="{35344F96-7E43-42FB-BB80-92AC8A69F836}" name="Column5377" dataDxfId="11008"/>
    <tableColumn id="5402" xr3:uid="{9EA77CB5-961C-4F4B-84C2-942AFAEE9BE6}" name="Column5378" dataDxfId="11007"/>
    <tableColumn id="5403" xr3:uid="{B6BC2AD8-2B2D-468E-BD58-13FAD051E01A}" name="Column5379" dataDxfId="11006"/>
    <tableColumn id="5404" xr3:uid="{609C01D3-43F8-44D4-8C15-AD921450052F}" name="Column5380" dataDxfId="11005"/>
    <tableColumn id="5405" xr3:uid="{393F2526-5E4A-4E06-B76C-EF7BD9542DD8}" name="Column5381" dataDxfId="11004"/>
    <tableColumn id="5406" xr3:uid="{CFBE6739-0355-417D-BAAF-D5FDF0D77E19}" name="Column5382" dataDxfId="11003"/>
    <tableColumn id="5407" xr3:uid="{41265C51-6F1F-44CD-B055-CA2331058794}" name="Column5383" dataDxfId="11002"/>
    <tableColumn id="5408" xr3:uid="{3E83408A-F103-4AAF-BB14-BC53763A06D3}" name="Column5384" dataDxfId="11001"/>
    <tableColumn id="5409" xr3:uid="{F14CA0D6-DAAF-4E6F-906F-A22D3A00BFEB}" name="Column5385" dataDxfId="11000"/>
    <tableColumn id="5410" xr3:uid="{7E77CD77-7188-40F2-9261-640376FED601}" name="Column5386" dataDxfId="10999"/>
    <tableColumn id="5411" xr3:uid="{F50BBAE4-6879-447E-8EB7-8E55FC2A5671}" name="Column5387" dataDxfId="10998"/>
    <tableColumn id="5412" xr3:uid="{606E559A-B17A-455E-B54E-6D550FA7353A}" name="Column5388" dataDxfId="10997"/>
    <tableColumn id="5413" xr3:uid="{BC522C7F-A572-41C5-BFA7-764FEA2D8655}" name="Column5389" dataDxfId="10996"/>
    <tableColumn id="5414" xr3:uid="{982F504E-B963-4906-8B2D-AD27D220884B}" name="Column5390" dataDxfId="10995"/>
    <tableColumn id="5415" xr3:uid="{AEBBC722-0CCF-4E39-A440-9A8880C093D2}" name="Column5391" dataDxfId="10994"/>
    <tableColumn id="5416" xr3:uid="{69887E46-BE50-45D7-88D9-91F76EA3C848}" name="Column5392" dataDxfId="10993"/>
    <tableColumn id="5417" xr3:uid="{2A154183-AA2F-49F8-9D38-3BA24776645F}" name="Column5393" dataDxfId="10992"/>
    <tableColumn id="5418" xr3:uid="{569E2D87-53DB-49AF-B2C5-AAC516EF593D}" name="Column5394" dataDxfId="10991"/>
    <tableColumn id="5419" xr3:uid="{DFD00B3E-7753-4A64-838D-AA8F764D27F2}" name="Column5395" dataDxfId="10990"/>
    <tableColumn id="5420" xr3:uid="{31535A46-2D0C-476D-86FC-614963E03415}" name="Column5396" dataDxfId="10989"/>
    <tableColumn id="5421" xr3:uid="{EE679DD0-F04F-4181-8C4B-E0DE3B648934}" name="Column5397" dataDxfId="10988"/>
    <tableColumn id="5422" xr3:uid="{4BB506B5-33C6-447E-9B66-B88374807CE0}" name="Column5398" dataDxfId="10987"/>
    <tableColumn id="5423" xr3:uid="{0D94CF8D-DDC4-452F-AFE5-58D32FF0042C}" name="Column5399" dataDxfId="10986"/>
    <tableColumn id="5424" xr3:uid="{A30DCF34-0615-4439-A601-B7B0289A71FE}" name="Column5400" dataDxfId="10985"/>
    <tableColumn id="5425" xr3:uid="{ACA6848C-866C-41EE-A480-61AEBD963CDC}" name="Column5401" dataDxfId="10984"/>
    <tableColumn id="5426" xr3:uid="{FDB083A3-185D-4EC9-963F-B478BB317627}" name="Column5402" dataDxfId="10983"/>
    <tableColumn id="5427" xr3:uid="{4DBDA765-C967-42A8-836E-571187519DE0}" name="Column5403" dataDxfId="10982"/>
    <tableColumn id="5428" xr3:uid="{53E42C56-2F98-4676-9E97-284E9078AC8E}" name="Column5404" dataDxfId="10981"/>
    <tableColumn id="5429" xr3:uid="{C66E85F5-662F-46BD-9F49-BDCE38A8985B}" name="Column5405" dataDxfId="10980"/>
    <tableColumn id="5430" xr3:uid="{E5456D43-828C-48B1-A559-5E9B97DE2F9E}" name="Column5406" dataDxfId="10979"/>
    <tableColumn id="5431" xr3:uid="{4BE4CFE7-DD93-4FBC-93F1-E4BDFE6C0BDD}" name="Column5407" dataDxfId="10978"/>
    <tableColumn id="5432" xr3:uid="{BE2741C0-0B93-4598-AB0F-D1C01D8C44EA}" name="Column5408" dataDxfId="10977"/>
    <tableColumn id="5433" xr3:uid="{B4C354BF-1346-422F-BFEC-B0754B270ADF}" name="Column5409" dataDxfId="10976"/>
    <tableColumn id="5434" xr3:uid="{3E02F98C-18F3-458A-9719-09F6A25B4DED}" name="Column5410" dataDxfId="10975"/>
    <tableColumn id="5435" xr3:uid="{BAFDFC11-DA99-43B8-9AF6-8EEC208BE2F8}" name="Column5411" dataDxfId="10974"/>
    <tableColumn id="5436" xr3:uid="{DD7D748C-A682-4145-AC7F-1C24FAC3457E}" name="Column5412" dataDxfId="10973"/>
    <tableColumn id="5437" xr3:uid="{8EA77686-E7D3-48D1-A77C-8556697812CF}" name="Column5413" dataDxfId="10972"/>
    <tableColumn id="5438" xr3:uid="{94CFDFC8-3524-44A3-98BF-C4681AB6FED9}" name="Column5414" dataDxfId="10971"/>
    <tableColumn id="5439" xr3:uid="{7F169D99-AB8C-4C41-8505-8C8CCDBECE60}" name="Column5415" dataDxfId="10970"/>
    <tableColumn id="5440" xr3:uid="{7B1C2644-C178-4B65-8EFD-C3E35353CA8F}" name="Column5416" dataDxfId="10969"/>
    <tableColumn id="5441" xr3:uid="{31803AFB-44DA-4B42-98A4-79635533BC67}" name="Column5417" dataDxfId="10968"/>
    <tableColumn id="5442" xr3:uid="{49BE4D20-951A-4878-9640-9E6BC5150504}" name="Column5418" dataDxfId="10967"/>
    <tableColumn id="5443" xr3:uid="{9DFB2E64-6CD6-4FB6-8C8B-689FC2F64AEF}" name="Column5419" dataDxfId="10966"/>
    <tableColumn id="5444" xr3:uid="{E7C1CC46-0A7E-4DF9-93B5-38B456B3EB1D}" name="Column5420" dataDxfId="10965"/>
    <tableColumn id="5445" xr3:uid="{1925A4D4-8693-4956-A29C-B50219C76069}" name="Column5421" dataDxfId="10964"/>
    <tableColumn id="5446" xr3:uid="{8F15029F-8BD2-4171-9011-0E33693CB49E}" name="Column5422" dataDxfId="10963"/>
    <tableColumn id="5447" xr3:uid="{7A3E0D31-2D78-47FA-9C8A-CE0D72111766}" name="Column5423" dataDxfId="10962"/>
    <tableColumn id="5448" xr3:uid="{5D9D87BE-E98A-44E0-8EEA-13F9E3AD465E}" name="Column5424" dataDxfId="10961"/>
    <tableColumn id="5449" xr3:uid="{90A69939-28A9-4CC1-B1E8-1E09D6BDAE6E}" name="Column5425" dataDxfId="10960"/>
    <tableColumn id="5450" xr3:uid="{5980E070-286E-4696-B696-A608E7C841E0}" name="Column5426" dataDxfId="10959"/>
    <tableColumn id="5451" xr3:uid="{99889B93-3F32-4A3D-895E-66C377B41653}" name="Column5427" dataDxfId="10958"/>
    <tableColumn id="5452" xr3:uid="{25BDB077-6120-4721-A689-A6690003449E}" name="Column5428" dataDxfId="10957"/>
    <tableColumn id="5453" xr3:uid="{F9D43D4B-99C0-418A-B77F-5F93663DBB5B}" name="Column5429" dataDxfId="10956"/>
    <tableColumn id="5454" xr3:uid="{A0800223-D5C6-457D-8C52-2F4AE83853D2}" name="Column5430" dataDxfId="10955"/>
    <tableColumn id="5455" xr3:uid="{97734211-684D-44DE-8DE5-911F38E01573}" name="Column5431" dataDxfId="10954"/>
    <tableColumn id="5456" xr3:uid="{C0E9417B-217B-4F18-88E5-44818D11C697}" name="Column5432" dataDxfId="10953"/>
    <tableColumn id="5457" xr3:uid="{AD7A5B1A-096B-4C9D-B51B-66DD2BC3D67E}" name="Column5433" dataDxfId="10952"/>
    <tableColumn id="5458" xr3:uid="{EFBA8B1C-DA07-42F2-A35E-F4FF1F63187C}" name="Column5434" dataDxfId="10951"/>
    <tableColumn id="5459" xr3:uid="{6556C274-B9B5-46E4-BCA0-73A69A820B87}" name="Column5435" dataDxfId="10950"/>
    <tableColumn id="5460" xr3:uid="{B9775BAC-5789-4034-9505-38EC31E12735}" name="Column5436" dataDxfId="10949"/>
    <tableColumn id="5461" xr3:uid="{5E81521B-CCE8-4E68-AD8C-37840F2A9001}" name="Column5437" dataDxfId="10948"/>
    <tableColumn id="5462" xr3:uid="{03FDCACF-CE17-4C98-8C14-188CCDF379AA}" name="Column5438" dataDxfId="10947"/>
    <tableColumn id="5463" xr3:uid="{9243E6DE-E1E1-4C01-8211-010CEF968096}" name="Column5439" dataDxfId="10946"/>
    <tableColumn id="5464" xr3:uid="{CE3879F4-0491-4B63-A6C3-2BF5CEEA5C07}" name="Column5440" dataDxfId="10945"/>
    <tableColumn id="5465" xr3:uid="{3099912C-D0C1-4EDE-BF32-685FDF478B8C}" name="Column5441" dataDxfId="10944"/>
    <tableColumn id="5466" xr3:uid="{4685279A-C35B-48C6-8A98-912E7F2E0CB8}" name="Column5442" dataDxfId="10943"/>
    <tableColumn id="5467" xr3:uid="{F1FD3B1F-FC9D-4465-8A14-966F56E239BC}" name="Column5443" dataDxfId="10942"/>
    <tableColumn id="5468" xr3:uid="{C3244C4E-6830-4518-8C46-EDC5E820345E}" name="Column5444" dataDxfId="10941"/>
    <tableColumn id="5469" xr3:uid="{ED3E8A30-11B1-4156-83AC-A82B0D1C635F}" name="Column5445" dataDxfId="10940"/>
    <tableColumn id="5470" xr3:uid="{6500C452-73CD-43CC-B680-2A5FB2743084}" name="Column5446" dataDxfId="10939"/>
    <tableColumn id="5471" xr3:uid="{8EB8BA63-7DA5-41A6-A37B-979BBD2FB021}" name="Column5447" dataDxfId="10938"/>
    <tableColumn id="5472" xr3:uid="{E1CA66E7-3942-4B42-BC0C-B7E641D7E30E}" name="Column5448" dataDxfId="10937"/>
    <tableColumn id="5473" xr3:uid="{AC573583-06B9-4BBB-893C-1AEE9F022A80}" name="Column5449" dataDxfId="10936"/>
    <tableColumn id="5474" xr3:uid="{5014168E-5B9C-4725-8713-5B0693224A3E}" name="Column5450" dataDxfId="10935"/>
    <tableColumn id="5475" xr3:uid="{A8BC19BC-D1C6-484F-B962-E4B2C87FAC89}" name="Column5451" dataDxfId="10934"/>
    <tableColumn id="5476" xr3:uid="{E06A47BC-F214-46DB-B884-2371C8349CDD}" name="Column5452" dataDxfId="10933"/>
    <tableColumn id="5477" xr3:uid="{96D004FE-671D-453B-9C73-02A5EA822D2C}" name="Column5453" dataDxfId="10932"/>
    <tableColumn id="5478" xr3:uid="{7A5A85B6-7D6D-49E9-BD1F-7FC1765476CE}" name="Column5454" dataDxfId="10931"/>
    <tableColumn id="5479" xr3:uid="{09386080-AEAF-42D5-B2DA-E378A89F4288}" name="Column5455" dataDxfId="10930"/>
    <tableColumn id="5480" xr3:uid="{D36041AE-E6CB-49AC-AE9E-83436E7AD5B6}" name="Column5456" dataDxfId="10929"/>
    <tableColumn id="5481" xr3:uid="{C23D9369-C839-4346-AD4C-6D2A3AA9ED7A}" name="Column5457" dataDxfId="10928"/>
    <tableColumn id="5482" xr3:uid="{593DF230-7DBD-45C8-A03C-1CC7F56363A9}" name="Column5458" dataDxfId="10927"/>
    <tableColumn id="5483" xr3:uid="{ED18CD81-DFF7-4A5C-A03B-8004ED9DD01D}" name="Column5459" dataDxfId="10926"/>
    <tableColumn id="5484" xr3:uid="{25860B79-1C55-477C-B156-F1B7C5911159}" name="Column5460" dataDxfId="10925"/>
    <tableColumn id="5485" xr3:uid="{4587E703-BE95-450F-A526-18F57A36B918}" name="Column5461" dataDxfId="10924"/>
    <tableColumn id="5486" xr3:uid="{641275C2-1455-4A7F-84EB-E0EB9E094C43}" name="Column5462" dataDxfId="10923"/>
    <tableColumn id="5487" xr3:uid="{AA668377-611D-49BE-B3CE-3419622F2D40}" name="Column5463" dataDxfId="10922"/>
    <tableColumn id="5488" xr3:uid="{B4817A25-7C5D-4A82-88ED-77ED83A696F0}" name="Column5464" dataDxfId="10921"/>
    <tableColumn id="5489" xr3:uid="{DD4C15D5-E7A2-498F-A3EF-C33813E58FF3}" name="Column5465" dataDxfId="10920"/>
    <tableColumn id="5490" xr3:uid="{8130D24A-D858-40DC-8161-967143EBE656}" name="Column5466" dataDxfId="10919"/>
    <tableColumn id="5491" xr3:uid="{0686F6FE-76DD-478F-984F-77DDD2FB174B}" name="Column5467" dataDxfId="10918"/>
    <tableColumn id="5492" xr3:uid="{791976CE-1230-4AB1-85D3-744EEB67A560}" name="Column5468" dataDxfId="10917"/>
    <tableColumn id="5493" xr3:uid="{81D46D18-BD03-4C23-ABF5-496C6A9098E9}" name="Column5469" dataDxfId="10916"/>
    <tableColumn id="5494" xr3:uid="{75AFA61C-4AB2-4A0C-9E50-16D476964535}" name="Column5470" dataDxfId="10915"/>
    <tableColumn id="5495" xr3:uid="{914E1995-4740-406A-8611-CD544011C91F}" name="Column5471" dataDxfId="10914"/>
    <tableColumn id="5496" xr3:uid="{62CDAF52-0DD9-4C43-8EA1-0230044C5A86}" name="Column5472" dataDxfId="10913"/>
    <tableColumn id="5497" xr3:uid="{390E0355-3991-4910-9547-B3E7BF66D8D4}" name="Column5473" dataDxfId="10912"/>
    <tableColumn id="5498" xr3:uid="{7162E714-E28D-4F5E-AFC4-1D5008A0B5A1}" name="Column5474" dataDxfId="10911"/>
    <tableColumn id="5499" xr3:uid="{7836C784-E551-4332-AA9B-C497F03104C4}" name="Column5475" dataDxfId="10910"/>
    <tableColumn id="5500" xr3:uid="{95FF2E86-796F-42AC-9E2D-49C20085BDE1}" name="Column5476" dataDxfId="10909"/>
    <tableColumn id="5501" xr3:uid="{E3940039-E65E-4074-B2A2-C61F4F2C9C0F}" name="Column5477" dataDxfId="10908"/>
    <tableColumn id="5502" xr3:uid="{C8D6114E-C05D-4EE5-BB12-06927B15A469}" name="Column5478" dataDxfId="10907"/>
    <tableColumn id="5503" xr3:uid="{040505C6-FC18-4416-91A0-42C5342F521C}" name="Column5479" dataDxfId="10906"/>
    <tableColumn id="5504" xr3:uid="{966FB070-0EF1-4718-825A-4C6476BFBF5F}" name="Column5480" dataDxfId="10905"/>
    <tableColumn id="5505" xr3:uid="{8E1EE2C8-C490-482E-BCBB-DD9334E14FF7}" name="Column5481" dataDxfId="10904"/>
    <tableColumn id="5506" xr3:uid="{57146CB2-CDB0-4520-9BD7-62B25B76F948}" name="Column5482" dataDxfId="10903"/>
    <tableColumn id="5507" xr3:uid="{3BF5EB38-C4F0-4289-86EB-FCD678DF6A41}" name="Column5483" dataDxfId="10902"/>
    <tableColumn id="5508" xr3:uid="{4F0D0991-9338-48A4-9814-E6B917C7A9D2}" name="Column5484" dataDxfId="10901"/>
    <tableColumn id="5509" xr3:uid="{3DE76A93-255A-4285-9750-4FC18F9AF94C}" name="Column5485" dataDxfId="10900"/>
    <tableColumn id="5510" xr3:uid="{2AA14B19-32B4-4758-B1C6-E898A475797C}" name="Column5486" dataDxfId="10899"/>
    <tableColumn id="5511" xr3:uid="{ED7CB1D9-8F7B-407D-A999-36DDBFB6C1D7}" name="Column5487" dataDxfId="10898"/>
    <tableColumn id="5512" xr3:uid="{19993979-8CBC-49BC-85C8-A4225CA9202F}" name="Column5488" dataDxfId="10897"/>
    <tableColumn id="5513" xr3:uid="{1ACF1A25-0F64-4083-8BC2-5FA18ADDCDE1}" name="Column5489" dataDxfId="10896"/>
    <tableColumn id="5514" xr3:uid="{D7AB1E4E-E987-4299-9E57-27B894061840}" name="Column5490" dataDxfId="10895"/>
    <tableColumn id="5515" xr3:uid="{508F4EE3-F630-4219-AB76-F1FD293F9272}" name="Column5491" dataDxfId="10894"/>
    <tableColumn id="5516" xr3:uid="{3A4A7A93-BF6A-451A-A3D9-095B18CF94E1}" name="Column5492" dataDxfId="10893"/>
    <tableColumn id="5517" xr3:uid="{F3AF98EC-D693-490D-AA7B-8D9B228DE33C}" name="Column5493" dataDxfId="10892"/>
    <tableColumn id="5518" xr3:uid="{B5A54E78-AEC8-421A-B427-880D2AA9CB00}" name="Column5494" dataDxfId="10891"/>
    <tableColumn id="5519" xr3:uid="{F62176B3-9EC3-47BE-A905-9FDB166E85C2}" name="Column5495" dataDxfId="10890"/>
    <tableColumn id="5520" xr3:uid="{3D7ED5E1-5ED4-4971-9430-3D38127E3904}" name="Column5496" dataDxfId="10889"/>
    <tableColumn id="5521" xr3:uid="{61A35AC8-6F88-4DAE-AFEB-0EEA7BC2A1BB}" name="Column5497" dataDxfId="10888"/>
    <tableColumn id="5522" xr3:uid="{15DEA5F2-F07E-4E5B-A6FB-6A7C3D6F7B61}" name="Column5498" dataDxfId="10887"/>
    <tableColumn id="5523" xr3:uid="{13947604-C237-4CD0-A13B-F9BF75F78F22}" name="Column5499" dataDxfId="10886"/>
    <tableColumn id="5524" xr3:uid="{464B24D9-BEF6-4055-B49E-47E753274C9E}" name="Column5500" dataDxfId="10885"/>
    <tableColumn id="5525" xr3:uid="{03C05473-E378-4A09-BF6C-E937042760C4}" name="Column5501" dataDxfId="10884"/>
    <tableColumn id="5526" xr3:uid="{53C18DEF-3631-4C14-9462-21F928EB68A1}" name="Column5502" dataDxfId="10883"/>
    <tableColumn id="5527" xr3:uid="{DD0425C1-93FF-4D5C-BA4D-519627F93000}" name="Column5503" dataDxfId="10882"/>
    <tableColumn id="5528" xr3:uid="{1352C3A5-A3D5-4250-ABB9-42D8D4DC4B77}" name="Column5504" dataDxfId="10881"/>
    <tableColumn id="5529" xr3:uid="{ECC6FF43-3D22-4DEC-8106-00395A82C9A9}" name="Column5505" dataDxfId="10880"/>
    <tableColumn id="5530" xr3:uid="{83B13A58-941D-4BE8-ACC4-9CC9B057AA77}" name="Column5506" dataDxfId="10879"/>
    <tableColumn id="5531" xr3:uid="{0180F349-DF14-4D16-B7DB-4E1595BF102B}" name="Column5507" dataDxfId="10878"/>
    <tableColumn id="5532" xr3:uid="{3E40EB4F-C57A-4A6F-9908-F923C0B0D210}" name="Column5508" dataDxfId="10877"/>
    <tableColumn id="5533" xr3:uid="{8F5FFB6E-5004-4B65-98CB-217031CAE4E6}" name="Column5509" dataDxfId="10876"/>
    <tableColumn id="5534" xr3:uid="{04162BE2-9B92-4DD9-9137-3AA2A4046B6A}" name="Column5510" dataDxfId="10875"/>
    <tableColumn id="5535" xr3:uid="{994D63E4-F036-46B1-9EEF-E8B7E0E806AA}" name="Column5511" dataDxfId="10874"/>
    <tableColumn id="5536" xr3:uid="{2C552CCC-65DD-4062-85F8-BAB1B7FB8B1B}" name="Column5512" dataDxfId="10873"/>
    <tableColumn id="5537" xr3:uid="{6E4761E6-77EF-45AD-B92E-520F5669D668}" name="Column5513" dataDxfId="10872"/>
    <tableColumn id="5538" xr3:uid="{7C8F6D75-89DB-4A6F-92E5-77FB69392D38}" name="Column5514" dataDxfId="10871"/>
    <tableColumn id="5539" xr3:uid="{A65EA003-C658-4331-8C9D-46E85329F6D0}" name="Column5515" dataDxfId="10870"/>
    <tableColumn id="5540" xr3:uid="{D1FB69FC-8892-4532-9D88-54085F0A3FD8}" name="Column5516" dataDxfId="10869"/>
    <tableColumn id="5541" xr3:uid="{1C304EBE-B320-43F6-BFA6-68FD15E484FD}" name="Column5517" dataDxfId="10868"/>
    <tableColumn id="5542" xr3:uid="{E23683BE-8F6A-482E-9952-FAD1AAD4B53C}" name="Column5518" dataDxfId="10867"/>
    <tableColumn id="5543" xr3:uid="{4DD8650B-A94F-42B3-A963-7CDFEB0D36ED}" name="Column5519" dataDxfId="10866"/>
    <tableColumn id="5544" xr3:uid="{71741D83-1769-445B-8700-3E69F6CB14C1}" name="Column5520" dataDxfId="10865"/>
    <tableColumn id="5545" xr3:uid="{A9EF37D0-D4D4-456D-A882-6A04B5DAE341}" name="Column5521" dataDxfId="10864"/>
    <tableColumn id="5546" xr3:uid="{9140C140-E0BA-493C-8E5F-175BED188461}" name="Column5522" dataDxfId="10863"/>
    <tableColumn id="5547" xr3:uid="{5F820FF3-4E1B-40FC-BE77-A88D196CE349}" name="Column5523" dataDxfId="10862"/>
    <tableColumn id="5548" xr3:uid="{FB7BC2BD-E703-4F33-8B53-D3BE662383AB}" name="Column5524" dataDxfId="10861"/>
    <tableColumn id="5549" xr3:uid="{51C79527-C032-4E76-B4F2-2D27791A204F}" name="Column5525" dataDxfId="10860"/>
    <tableColumn id="5550" xr3:uid="{0312C44F-591A-417E-ABF3-C9D6306CEE9F}" name="Column5526" dataDxfId="10859"/>
    <tableColumn id="5551" xr3:uid="{D86C1A94-53AB-4C15-8AD7-37333FFE34B1}" name="Column5527" dataDxfId="10858"/>
    <tableColumn id="5552" xr3:uid="{8675B4BA-159D-4CD5-8EE6-628994AE3030}" name="Column5528" dataDxfId="10857"/>
    <tableColumn id="5553" xr3:uid="{B3C2FD08-586A-4DF2-A330-8A7B34BEB985}" name="Column5529" dataDxfId="10856"/>
    <tableColumn id="5554" xr3:uid="{13FBACC9-D4AC-4AFA-AB60-6D4F4635FC8F}" name="Column5530" dataDxfId="10855"/>
    <tableColumn id="5555" xr3:uid="{0FB26B05-4B3C-46D9-8D93-5BEB074200E5}" name="Column5531" dataDxfId="10854"/>
    <tableColumn id="5556" xr3:uid="{6CDB3837-B6B7-455A-AD3B-0C47402B2A5C}" name="Column5532" dataDxfId="10853"/>
    <tableColumn id="5557" xr3:uid="{9E0EA675-0640-4865-9073-C4D3A7087D78}" name="Column5533" dataDxfId="10852"/>
    <tableColumn id="5558" xr3:uid="{CB6D9952-6BE2-4F15-8B02-7A182650043C}" name="Column5534" dataDxfId="10851"/>
    <tableColumn id="5559" xr3:uid="{09E7CCE8-8B01-436B-8F6B-2D6605FE61DD}" name="Column5535" dataDxfId="10850"/>
    <tableColumn id="5560" xr3:uid="{7E679FE4-FB9A-4C14-8866-0EB4EDF8487A}" name="Column5536" dataDxfId="10849"/>
    <tableColumn id="5561" xr3:uid="{040720E4-CEFD-45AF-8123-2B01E85B0455}" name="Column5537" dataDxfId="10848"/>
    <tableColumn id="5562" xr3:uid="{E940E533-4A8A-461E-9DFE-F3B12767F20C}" name="Column5538" dataDxfId="10847"/>
    <tableColumn id="5563" xr3:uid="{71457D19-39A7-486D-958B-9FB9F45260F8}" name="Column5539" dataDxfId="10846"/>
    <tableColumn id="5564" xr3:uid="{0A939179-2007-4F99-A778-87C9D0EF5D3C}" name="Column5540" dataDxfId="10845"/>
    <tableColumn id="5565" xr3:uid="{D4CDC715-C4C1-437E-B93A-6D1C63DB094C}" name="Column5541" dataDxfId="10844"/>
    <tableColumn id="5566" xr3:uid="{112B00BA-00B1-435D-87AC-4B543EA138C2}" name="Column5542" dataDxfId="10843"/>
    <tableColumn id="5567" xr3:uid="{39E89AB4-E968-403D-B59F-2246C71AA208}" name="Column5543" dataDxfId="10842"/>
    <tableColumn id="5568" xr3:uid="{228961A5-5E8C-4949-89CB-E3956E43F389}" name="Column5544" dataDxfId="10841"/>
    <tableColumn id="5569" xr3:uid="{A635C288-5D1A-47BA-96C8-F53DB61FF8B2}" name="Column5545" dataDxfId="10840"/>
    <tableColumn id="5570" xr3:uid="{8CCDBBFF-6362-4EF6-BD31-30222A52939D}" name="Column5546" dataDxfId="10839"/>
    <tableColumn id="5571" xr3:uid="{418BE766-0B20-4EB7-82AF-14AC51FE3C93}" name="Column5547" dataDxfId="10838"/>
    <tableColumn id="5572" xr3:uid="{8199EAF4-EE35-4D6C-AC97-D23CCB187956}" name="Column5548" dataDxfId="10837"/>
    <tableColumn id="5573" xr3:uid="{22229279-1304-4618-8D9C-4B1F4A3C21E6}" name="Column5549" dataDxfId="10836"/>
    <tableColumn id="5574" xr3:uid="{E2E18AA6-DEFC-4017-9790-F9D98CD3BAFC}" name="Column5550" dataDxfId="10835"/>
    <tableColumn id="5575" xr3:uid="{3EC3B23E-B308-427A-A47A-4BCDA2449AC9}" name="Column5551" dataDxfId="10834"/>
    <tableColumn id="5576" xr3:uid="{5920DE6C-0F90-40BC-9E26-91329DE9E5F0}" name="Column5552" dataDxfId="10833"/>
    <tableColumn id="5577" xr3:uid="{209D7A8F-C173-41A3-9E3F-659A93382198}" name="Column5553" dataDxfId="10832"/>
    <tableColumn id="5578" xr3:uid="{A687F045-4345-426A-A8DE-067B1535997A}" name="Column5554" dataDxfId="10831"/>
    <tableColumn id="5579" xr3:uid="{4F860C3E-A2C6-4091-811C-3A2C31705AC4}" name="Column5555" dataDxfId="10830"/>
    <tableColumn id="5580" xr3:uid="{CDA45434-0764-4DD1-B91A-0345F3CEC14F}" name="Column5556" dataDxfId="10829"/>
    <tableColumn id="5581" xr3:uid="{628F52E1-1344-4058-8A17-6C6DE91F4775}" name="Column5557" dataDxfId="10828"/>
    <tableColumn id="5582" xr3:uid="{97964CA7-EFD2-4965-8C8E-3AB24E38C6F4}" name="Column5558" dataDxfId="10827"/>
    <tableColumn id="5583" xr3:uid="{759BC255-E085-4561-A9F6-5105087AF4B5}" name="Column5559" dataDxfId="10826"/>
    <tableColumn id="5584" xr3:uid="{E98C1B2A-503E-4C08-B215-8C66FC201C4D}" name="Column5560" dataDxfId="10825"/>
    <tableColumn id="5585" xr3:uid="{DC273257-34E0-4676-A043-D747186CE02A}" name="Column5561" dataDxfId="10824"/>
    <tableColumn id="5586" xr3:uid="{CC3F92A3-80EE-4542-9A29-0D0E80212E06}" name="Column5562" dataDxfId="10823"/>
    <tableColumn id="5587" xr3:uid="{33A5866E-BE29-45BC-A361-7BD025AD1CEB}" name="Column5563" dataDxfId="10822"/>
    <tableColumn id="5588" xr3:uid="{7B1A707C-2025-4FB7-8865-3B53FB01209B}" name="Column5564" dataDxfId="10821"/>
    <tableColumn id="5589" xr3:uid="{F386B3EF-0504-43A8-B8AE-E39B70686B2E}" name="Column5565" dataDxfId="10820"/>
    <tableColumn id="5590" xr3:uid="{00E1EB87-49F2-4F74-A094-D93ECC5F8FA5}" name="Column5566" dataDxfId="10819"/>
    <tableColumn id="5591" xr3:uid="{D7279E6F-E5E9-4D04-919E-59E52703AFB3}" name="Column5567" dataDxfId="10818"/>
    <tableColumn id="5592" xr3:uid="{E3EB4552-4BC7-4369-BFBB-EE800CEB713B}" name="Column5568" dataDxfId="10817"/>
    <tableColumn id="5593" xr3:uid="{1B512C47-7F11-4023-9316-3683F7560C54}" name="Column5569" dataDxfId="10816"/>
    <tableColumn id="5594" xr3:uid="{66043808-125A-42CA-B4F3-2CCAEAE70DA5}" name="Column5570" dataDxfId="10815"/>
    <tableColumn id="5595" xr3:uid="{3C9C2B43-D4A9-4E9F-BE19-54D22EBD4A50}" name="Column5571" dataDxfId="10814"/>
    <tableColumn id="5596" xr3:uid="{07496038-1FCB-43F1-9924-C52145F4E0BA}" name="Column5572" dataDxfId="10813"/>
    <tableColumn id="5597" xr3:uid="{40D0496A-AC54-456D-8F91-2736FC9F56E4}" name="Column5573" dataDxfId="10812"/>
    <tableColumn id="5598" xr3:uid="{C9C43073-AEE9-4F78-A3D3-57A2F9833C0F}" name="Column5574" dataDxfId="10811"/>
    <tableColumn id="5599" xr3:uid="{2785BB10-6852-462A-A53F-C83EBA7DB087}" name="Column5575" dataDxfId="10810"/>
    <tableColumn id="5600" xr3:uid="{E02EA0C4-ECB2-4BFD-92D3-A4D6EF913FD0}" name="Column5576" dataDxfId="10809"/>
    <tableColumn id="5601" xr3:uid="{2931EDCE-39FF-4EF9-8446-31891F6236FB}" name="Column5577" dataDxfId="10808"/>
    <tableColumn id="5602" xr3:uid="{92A30F1F-2C77-445C-B847-6D20A0DB4A76}" name="Column5578" dataDxfId="10807"/>
    <tableColumn id="5603" xr3:uid="{A0626ECF-B80A-4BFA-8754-2395615F26D4}" name="Column5579" dataDxfId="10806"/>
    <tableColumn id="5604" xr3:uid="{1F1A1D71-4AA0-4452-B6EB-619D7B487273}" name="Column5580" dataDxfId="10805"/>
    <tableColumn id="5605" xr3:uid="{1CE607BB-B9A4-45EB-878E-E49143C3A4C6}" name="Column5581" dataDxfId="10804"/>
    <tableColumn id="5606" xr3:uid="{ADDD0C28-538E-4D02-9914-99184D4590CD}" name="Column5582" dataDxfId="10803"/>
    <tableColumn id="5607" xr3:uid="{D786A803-1FCB-4836-84B0-8E490CCBE11C}" name="Column5583" dataDxfId="10802"/>
    <tableColumn id="5608" xr3:uid="{EE700B47-EB4A-477F-B776-05D0361321D4}" name="Column5584" dataDxfId="10801"/>
    <tableColumn id="5609" xr3:uid="{58EE49AB-1A93-4252-BCA7-8EF750488CB6}" name="Column5585" dataDxfId="10800"/>
    <tableColumn id="5610" xr3:uid="{D01BD001-8DC5-47D4-BD57-7CA51591960C}" name="Column5586" dataDxfId="10799"/>
    <tableColumn id="5611" xr3:uid="{85FA2AD2-916E-4740-B7B9-B71672C52E2E}" name="Column5587" dataDxfId="10798"/>
    <tableColumn id="5612" xr3:uid="{1A4998CB-F490-48D6-B4D5-ACF56E607220}" name="Column5588" dataDxfId="10797"/>
    <tableColumn id="5613" xr3:uid="{BBF2B77D-B4EE-47F8-936C-22F72378AA54}" name="Column5589" dataDxfId="10796"/>
    <tableColumn id="5614" xr3:uid="{4E8A8237-1DCF-4FD9-81C7-1AB01A1020FB}" name="Column5590" dataDxfId="10795"/>
    <tableColumn id="5615" xr3:uid="{6F55FA30-CAE3-4168-B56A-A8B50A013255}" name="Column5591" dataDxfId="10794"/>
    <tableColumn id="5616" xr3:uid="{15989141-F318-4A0C-90E7-1EC6C677B264}" name="Column5592" dataDxfId="10793"/>
    <tableColumn id="5617" xr3:uid="{5E4B415E-384F-41AC-97E0-02871A469CBF}" name="Column5593" dataDxfId="10792"/>
    <tableColumn id="5618" xr3:uid="{CAC8CDD5-3148-4D2A-9B7B-16C87E3E2C36}" name="Column5594" dataDxfId="10791"/>
    <tableColumn id="5619" xr3:uid="{2D374D38-C0D5-4242-AA41-B0AF5CEEF527}" name="Column5595" dataDxfId="10790"/>
    <tableColumn id="5620" xr3:uid="{AFCE891C-F4E1-45C5-AD8A-A326EE0BAF81}" name="Column5596" dataDxfId="10789"/>
    <tableColumn id="5621" xr3:uid="{C5027EBC-A3F4-415E-A259-117D2E4EF75C}" name="Column5597" dataDxfId="10788"/>
    <tableColumn id="5622" xr3:uid="{BEE88FEF-04A1-450C-B51D-03FCD2D1AFD9}" name="Column5598" dataDxfId="10787"/>
    <tableColumn id="5623" xr3:uid="{ECCAE315-6E20-4713-9F08-531C564C9826}" name="Column5599" dataDxfId="10786"/>
    <tableColumn id="5624" xr3:uid="{581FEF44-EC9F-4B90-97D6-0D62949EFDD1}" name="Column5600" dataDxfId="10785"/>
    <tableColumn id="5625" xr3:uid="{8CE3521D-E166-417A-A34C-AA77C2B9F312}" name="Column5601" dataDxfId="10784"/>
    <tableColumn id="5626" xr3:uid="{54961C7C-1153-4057-A52E-4F8611697365}" name="Column5602" dataDxfId="10783"/>
    <tableColumn id="5627" xr3:uid="{1CD19155-012C-49ED-AE83-360562A28118}" name="Column5603" dataDxfId="10782"/>
    <tableColumn id="5628" xr3:uid="{5C2303A5-A485-4A56-8351-64C94871BB39}" name="Column5604" dataDxfId="10781"/>
    <tableColumn id="5629" xr3:uid="{0D55CCCB-FAFF-4C44-BFBC-9F3036429A0F}" name="Column5605" dataDxfId="10780"/>
    <tableColumn id="5630" xr3:uid="{4BC8D9FD-75AE-4920-A1F6-C81B4264F2B9}" name="Column5606" dataDxfId="10779"/>
    <tableColumn id="5631" xr3:uid="{DD3AB4AB-D1E6-486C-90ED-1A39ED687722}" name="Column5607" dataDxfId="10778"/>
    <tableColumn id="5632" xr3:uid="{7E0BA0B3-4CCB-4058-9096-9143E5FD4DD4}" name="Column5608" dataDxfId="10777"/>
    <tableColumn id="5633" xr3:uid="{191EAB51-919F-4B3A-A84D-AD1DB80135B2}" name="Column5609" dataDxfId="10776"/>
    <tableColumn id="5634" xr3:uid="{3CC71F50-901B-47F3-8AE6-BF79009E68D7}" name="Column5610" dataDxfId="10775"/>
    <tableColumn id="5635" xr3:uid="{7FDA2F97-75AC-473F-9B4E-28756A20CBC2}" name="Column5611" dataDxfId="10774"/>
    <tableColumn id="5636" xr3:uid="{D360EEED-9B36-4BE1-A69E-6CAD086B8D53}" name="Column5612" dataDxfId="10773"/>
    <tableColumn id="5637" xr3:uid="{913855C5-B0F3-4393-8697-3B6228B6EA49}" name="Column5613" dataDxfId="10772"/>
    <tableColumn id="5638" xr3:uid="{01F42484-A81F-41FF-94AD-BA3B4BF4901C}" name="Column5614" dataDxfId="10771"/>
    <tableColumn id="5639" xr3:uid="{728E2125-C30D-4CDD-AE3C-4A85254FE330}" name="Column5615" dataDxfId="10770"/>
    <tableColumn id="5640" xr3:uid="{D20122CF-F1D8-4518-B898-050309A233FB}" name="Column5616" dataDxfId="10769"/>
    <tableColumn id="5641" xr3:uid="{CE5BE7AB-2D2F-4574-8DAB-586ED0D17ECA}" name="Column5617" dataDxfId="10768"/>
    <tableColumn id="5642" xr3:uid="{745B0062-DB21-47B4-AC94-9AD1E97E00F4}" name="Column5618" dataDxfId="10767"/>
    <tableColumn id="5643" xr3:uid="{E86CAB21-B17C-45B8-9C48-E22270925228}" name="Column5619" dataDxfId="10766"/>
    <tableColumn id="5644" xr3:uid="{D5DF7361-1D8C-4207-BF8E-D4C512C0966A}" name="Column5620" dataDxfId="10765"/>
    <tableColumn id="5645" xr3:uid="{E0D772E5-33CA-47CC-AF40-F066FFB1B395}" name="Column5621" dataDxfId="10764"/>
    <tableColumn id="5646" xr3:uid="{DB273CA7-520D-42F9-A4C6-1628A50B5013}" name="Column5622" dataDxfId="10763"/>
    <tableColumn id="5647" xr3:uid="{F2E6536A-D511-4CE3-9FD2-3B8AF5FDC9E1}" name="Column5623" dataDxfId="10762"/>
    <tableColumn id="5648" xr3:uid="{CF524240-0D43-486D-91FE-0E1D848DE3D0}" name="Column5624" dataDxfId="10761"/>
    <tableColumn id="5649" xr3:uid="{6A17FAEA-03BF-4563-A670-286FE5FF8696}" name="Column5625" dataDxfId="10760"/>
    <tableColumn id="5650" xr3:uid="{82AD6578-DC87-4215-8DBF-164F1110A7C3}" name="Column5626" dataDxfId="10759"/>
    <tableColumn id="5651" xr3:uid="{53F4D747-EA23-467C-9155-48780F7F2A0A}" name="Column5627" dataDxfId="10758"/>
    <tableColumn id="5652" xr3:uid="{C7D82C46-AB33-41CD-BA34-5D8B6C50FF6B}" name="Column5628" dataDxfId="10757"/>
    <tableColumn id="5653" xr3:uid="{D0409D3C-D79A-4F79-B003-EAA81A639E49}" name="Column5629" dataDxfId="10756"/>
    <tableColumn id="5654" xr3:uid="{CB0D2410-88F6-48D5-A54D-1A1B2B90139C}" name="Column5630" dataDxfId="10755"/>
    <tableColumn id="5655" xr3:uid="{B9E27397-AD94-43EB-9E23-28C1D62DF5E5}" name="Column5631" dataDxfId="10754"/>
    <tableColumn id="5656" xr3:uid="{509FD43B-08CE-48E9-901F-A6896CE56B27}" name="Column5632" dataDxfId="10753"/>
    <tableColumn id="5657" xr3:uid="{8CB5FA90-8DB5-401F-AD83-55669AF5947A}" name="Column5633" dataDxfId="10752"/>
    <tableColumn id="5658" xr3:uid="{8FC4673B-73FE-423C-BA2C-32015243F9EE}" name="Column5634" dataDxfId="10751"/>
    <tableColumn id="5659" xr3:uid="{584D870A-F01B-4A40-A86B-49B96AD0E4B4}" name="Column5635" dataDxfId="10750"/>
    <tableColumn id="5660" xr3:uid="{04927E2F-D377-49BE-8416-7CD7372EFF5A}" name="Column5636" dataDxfId="10749"/>
    <tableColumn id="5661" xr3:uid="{E9097339-0FB6-444A-B8D2-734BDB44B973}" name="Column5637" dataDxfId="10748"/>
    <tableColumn id="5662" xr3:uid="{3ACA0193-94E9-43B9-BF90-084CA9487BEE}" name="Column5638" dataDxfId="10747"/>
    <tableColumn id="5663" xr3:uid="{49042761-E66F-4BA6-B32F-DDAAE0D1CB50}" name="Column5639" dataDxfId="10746"/>
    <tableColumn id="5664" xr3:uid="{BDB16C25-D116-4B4E-A308-33BB9E48C1CB}" name="Column5640" dataDxfId="10745"/>
    <tableColumn id="5665" xr3:uid="{01868DDB-D998-4E3E-B986-AA359FEB36FC}" name="Column5641" dataDxfId="10744"/>
    <tableColumn id="5666" xr3:uid="{8DF68693-862B-4F82-9CB0-33462FA00594}" name="Column5642" dataDxfId="10743"/>
    <tableColumn id="5667" xr3:uid="{A2DBDB15-E854-41D5-AF39-DF8F02AA3058}" name="Column5643" dataDxfId="10742"/>
    <tableColumn id="5668" xr3:uid="{A6AFF2B0-11FE-4B31-9B5D-4B64B1757AB4}" name="Column5644" dataDxfId="10741"/>
    <tableColumn id="5669" xr3:uid="{E1DF5815-803D-408D-A90A-8E5527DC8DC4}" name="Column5645" dataDxfId="10740"/>
    <tableColumn id="5670" xr3:uid="{E988F068-694C-456B-8A16-CE260E3B5A69}" name="Column5646" dataDxfId="10739"/>
    <tableColumn id="5671" xr3:uid="{251DB8B1-A8D2-4F9D-BE5D-91A88EBD08C5}" name="Column5647" dataDxfId="10738"/>
    <tableColumn id="5672" xr3:uid="{FFA946FF-0644-4162-BAD8-24E9A4B623D1}" name="Column5648" dataDxfId="10737"/>
    <tableColumn id="5673" xr3:uid="{0A07A30E-3310-4E29-A375-C7BD04FF8F7F}" name="Column5649" dataDxfId="10736"/>
    <tableColumn id="5674" xr3:uid="{35B32D54-694C-4B73-8FD6-197F8104B704}" name="Column5650" dataDxfId="10735"/>
    <tableColumn id="5675" xr3:uid="{00E8668E-D7BE-4804-948F-E35529571669}" name="Column5651" dataDxfId="10734"/>
    <tableColumn id="5676" xr3:uid="{CCF96976-10E4-47B2-93AF-036FCD2E18CF}" name="Column5652" dataDxfId="10733"/>
    <tableColumn id="5677" xr3:uid="{6E5BA9D0-3CFD-492D-AFD5-CE4FE3BF73F5}" name="Column5653" dataDxfId="10732"/>
    <tableColumn id="5678" xr3:uid="{C79088E1-EF16-435D-9978-127B37DB8286}" name="Column5654" dataDxfId="10731"/>
    <tableColumn id="5679" xr3:uid="{A88EDB45-3898-458C-86EE-E26C2944BCC0}" name="Column5655" dataDxfId="10730"/>
    <tableColumn id="5680" xr3:uid="{6359CFDD-245D-4B13-A8FC-BEBEEC29D38C}" name="Column5656" dataDxfId="10729"/>
    <tableColumn id="5681" xr3:uid="{E70CCFA1-1BB2-468D-9B89-8AE61E922117}" name="Column5657" dataDxfId="10728"/>
    <tableColumn id="5682" xr3:uid="{86FD2824-FACE-4646-9778-378D75CA175A}" name="Column5658" dataDxfId="10727"/>
    <tableColumn id="5683" xr3:uid="{0754DD0C-0CCB-4264-811C-DB1543989DB7}" name="Column5659" dataDxfId="10726"/>
    <tableColumn id="5684" xr3:uid="{0E39FB40-FF81-4F66-B879-1EDD006F75E5}" name="Column5660" dataDxfId="10725"/>
    <tableColumn id="5685" xr3:uid="{2C1EAF07-CF89-4BF2-9903-7583F3B777BB}" name="Column5661" dataDxfId="10724"/>
    <tableColumn id="5686" xr3:uid="{F58FEABD-BDE4-4B37-8D20-4E596E0D4A39}" name="Column5662" dataDxfId="10723"/>
    <tableColumn id="5687" xr3:uid="{DE1D5357-040F-4184-9075-8AD253A8C627}" name="Column5663" dataDxfId="10722"/>
    <tableColumn id="5688" xr3:uid="{8B6D7E12-2D5D-4439-99EE-1ECBDEA2D4E6}" name="Column5664" dataDxfId="10721"/>
    <tableColumn id="5689" xr3:uid="{BB210CA9-3F47-41EC-831E-B24542EE0B40}" name="Column5665" dataDxfId="10720"/>
    <tableColumn id="5690" xr3:uid="{3AB67C33-9057-4F48-B159-AF14ABB6DB94}" name="Column5666" dataDxfId="10719"/>
    <tableColumn id="5691" xr3:uid="{33392AE3-7CE3-4A1B-B138-D646C3B56769}" name="Column5667" dataDxfId="10718"/>
    <tableColumn id="5692" xr3:uid="{30DCE9D0-26AF-4E70-89E8-900BA515B251}" name="Column5668" dataDxfId="10717"/>
    <tableColumn id="5693" xr3:uid="{2141DA42-E582-42D1-8932-832953D58C77}" name="Column5669" dataDxfId="10716"/>
    <tableColumn id="5694" xr3:uid="{47942B01-17F4-454A-AAB4-EBEE19D34F2A}" name="Column5670" dataDxfId="10715"/>
    <tableColumn id="5695" xr3:uid="{8C1DED74-F389-4119-96C2-460C6A0CFC5A}" name="Column5671" dataDxfId="10714"/>
    <tableColumn id="5696" xr3:uid="{C31CB26B-C2B9-45A8-99EE-E9DBEA8DC656}" name="Column5672" dataDxfId="10713"/>
    <tableColumn id="5697" xr3:uid="{517E86D1-124B-4D76-B586-5E316BE76944}" name="Column5673" dataDxfId="10712"/>
    <tableColumn id="5698" xr3:uid="{85236424-C8F1-4EE6-BE5D-BF8316C360C9}" name="Column5674" dataDxfId="10711"/>
    <tableColumn id="5699" xr3:uid="{DD56DBE4-2012-422C-A715-7D9C9081D34A}" name="Column5675" dataDxfId="10710"/>
    <tableColumn id="5700" xr3:uid="{DED98C4C-E8A6-4230-BBE7-9DA50C00F795}" name="Column5676" dataDxfId="10709"/>
    <tableColumn id="5701" xr3:uid="{D98E3679-6A64-4106-999F-8F21F56FA934}" name="Column5677" dataDxfId="10708"/>
    <tableColumn id="5702" xr3:uid="{A31D39DC-B094-444A-A576-41265FC1598B}" name="Column5678" dataDxfId="10707"/>
    <tableColumn id="5703" xr3:uid="{CB8575D9-450C-40B8-B94C-DECBC6CA1D0D}" name="Column5679" dataDxfId="10706"/>
    <tableColumn id="5704" xr3:uid="{F1092F75-C1A4-49E9-8BC5-B8A212467A72}" name="Column5680" dataDxfId="10705"/>
    <tableColumn id="5705" xr3:uid="{E47BFBD9-71EC-4CEA-915E-1D3840AEB6C7}" name="Column5681" dataDxfId="10704"/>
    <tableColumn id="5706" xr3:uid="{905087B6-819C-49A3-B6CB-C490378ABAD8}" name="Column5682" dataDxfId="10703"/>
    <tableColumn id="5707" xr3:uid="{CDE15207-B835-47E0-B495-38BDA68B5EF6}" name="Column5683" dataDxfId="10702"/>
    <tableColumn id="5708" xr3:uid="{BB4216F8-F4F8-4BF5-969E-41485E971600}" name="Column5684" dataDxfId="10701"/>
    <tableColumn id="5709" xr3:uid="{E9D82BD8-5121-4A05-85F9-26385D080128}" name="Column5685" dataDxfId="10700"/>
    <tableColumn id="5710" xr3:uid="{15A27052-7558-46B2-851F-6C91B11AB6A8}" name="Column5686" dataDxfId="10699"/>
    <tableColumn id="5711" xr3:uid="{F3913A80-55A5-4721-B8ED-4DB8DC091349}" name="Column5687" dataDxfId="10698"/>
    <tableColumn id="5712" xr3:uid="{C13F1226-0DBE-4751-A1AB-C2F6D9F737AA}" name="Column5688" dataDxfId="10697"/>
    <tableColumn id="5713" xr3:uid="{33729503-29C7-4341-BAE5-BBA42F67613B}" name="Column5689" dataDxfId="10696"/>
    <tableColumn id="5714" xr3:uid="{F4878EA9-6D5B-4F97-B79C-7D2536CD0E98}" name="Column5690" dataDxfId="10695"/>
    <tableColumn id="5715" xr3:uid="{6F71586F-9B5A-4D41-84E5-9B9C8E02EF43}" name="Column5691" dataDxfId="10694"/>
    <tableColumn id="5716" xr3:uid="{ABAFEDEE-A691-45CB-AABF-4E56876B5F37}" name="Column5692" dataDxfId="10693"/>
    <tableColumn id="5717" xr3:uid="{AB7AD568-7DEF-47D7-A44B-4E64661E2B5F}" name="Column5693" dataDxfId="10692"/>
    <tableColumn id="5718" xr3:uid="{42D6262C-5372-4FF4-9B07-BBFAF4863F07}" name="Column5694" dataDxfId="10691"/>
    <tableColumn id="5719" xr3:uid="{ED4444ED-A6E4-4251-B7B5-83FE6F870742}" name="Column5695" dataDxfId="10690"/>
    <tableColumn id="5720" xr3:uid="{B92D1AF0-92E4-496E-8A86-6CC75CB8CDAF}" name="Column5696" dataDxfId="10689"/>
    <tableColumn id="5721" xr3:uid="{287D0000-EAF4-4C0D-9C9F-95457BFEDB08}" name="Column5697" dataDxfId="10688"/>
    <tableColumn id="5722" xr3:uid="{4B441635-0A88-4342-8E8D-4FE4B068EC68}" name="Column5698" dataDxfId="10687"/>
    <tableColumn id="5723" xr3:uid="{AFCF0ECF-460D-40EB-B7BE-EE83D40E1D4C}" name="Column5699" dataDxfId="10686"/>
    <tableColumn id="5724" xr3:uid="{5B81DF03-FDFC-465B-A654-24273150D8FB}" name="Column5700" dataDxfId="10685"/>
    <tableColumn id="5725" xr3:uid="{25500FE3-F49F-4D2C-ADBC-9F1B3A28F81F}" name="Column5701" dataDxfId="10684"/>
    <tableColumn id="5726" xr3:uid="{69B54FC0-77FA-4E11-AF76-2D96DD82BD36}" name="Column5702" dataDxfId="10683"/>
    <tableColumn id="5727" xr3:uid="{DE15B072-37A4-4B5F-9599-77C0D024D197}" name="Column5703" dataDxfId="10682"/>
    <tableColumn id="5728" xr3:uid="{0687DDD9-BE3A-4188-A6A4-D6D1A439B9D4}" name="Column5704" dataDxfId="10681"/>
    <tableColumn id="5729" xr3:uid="{6DCE8EBA-7190-4A29-843E-832DE04FAE08}" name="Column5705" dataDxfId="10680"/>
    <tableColumn id="5730" xr3:uid="{D3A1837C-EDF6-410F-826C-C609D11AF620}" name="Column5706" dataDxfId="10679"/>
    <tableColumn id="5731" xr3:uid="{69F2A5C3-9FA3-419B-A83F-0189B4002A39}" name="Column5707" dataDxfId="10678"/>
    <tableColumn id="5732" xr3:uid="{ADF737B8-271D-4E0A-8B8B-223204F6B142}" name="Column5708" dataDxfId="10677"/>
    <tableColumn id="5733" xr3:uid="{AFF741D9-26E3-49EE-A5A9-C87F418EBCB4}" name="Column5709" dataDxfId="10676"/>
    <tableColumn id="5734" xr3:uid="{AF0FF718-BD34-42BF-91EC-4985B033150C}" name="Column5710" dataDxfId="10675"/>
    <tableColumn id="5735" xr3:uid="{E74021BF-F58C-45B3-A755-BEA5E7A1D5EA}" name="Column5711" dataDxfId="10674"/>
    <tableColumn id="5736" xr3:uid="{EFAA9324-28F6-4257-A22C-A58F72EB072C}" name="Column5712" dataDxfId="10673"/>
    <tableColumn id="5737" xr3:uid="{03C26425-0928-43AD-8E2F-FC49465551B9}" name="Column5713" dataDxfId="10672"/>
    <tableColumn id="5738" xr3:uid="{A388367A-113C-44FC-8536-798886EEDF64}" name="Column5714" dataDxfId="10671"/>
    <tableColumn id="5739" xr3:uid="{97EB901B-E70F-4492-BBB6-FE54B6EDD850}" name="Column5715" dataDxfId="10670"/>
    <tableColumn id="5740" xr3:uid="{96ABA57D-A1F8-4F14-A952-F430EF002BC6}" name="Column5716" dataDxfId="10669"/>
    <tableColumn id="5741" xr3:uid="{A97A1197-AD7D-41E0-B6D3-FCA8987FDBB8}" name="Column5717" dataDxfId="10668"/>
    <tableColumn id="5742" xr3:uid="{8A2C9C0E-2877-4EAE-8206-B17B7D04AE1A}" name="Column5718" dataDxfId="10667"/>
    <tableColumn id="5743" xr3:uid="{E74F97C2-E13E-4EC2-9BE9-F224F4A63F86}" name="Column5719" dataDxfId="10666"/>
    <tableColumn id="5744" xr3:uid="{765C5EE0-CAFC-42F5-AC04-8D0EDF9427B9}" name="Column5720" dataDxfId="10665"/>
    <tableColumn id="5745" xr3:uid="{EB6F870A-EF59-434D-9664-9EBAED432909}" name="Column5721" dataDxfId="10664"/>
    <tableColumn id="5746" xr3:uid="{021833BB-B9BF-4C4D-9967-3F83ED46795F}" name="Column5722" dataDxfId="10663"/>
    <tableColumn id="5747" xr3:uid="{A3B701E4-4513-4390-B27D-4F1AA8A860C6}" name="Column5723" dataDxfId="10662"/>
    <tableColumn id="5748" xr3:uid="{B58610B9-8919-4E1D-8AC1-30AC1942B406}" name="Column5724" dataDxfId="10661"/>
    <tableColumn id="5749" xr3:uid="{0B62BB29-28FC-4B12-A70B-575CC489CB07}" name="Column5725" dataDxfId="10660"/>
    <tableColumn id="5750" xr3:uid="{3A6D83D9-894B-4D9A-8115-39E842C7EFE4}" name="Column5726" dataDxfId="10659"/>
    <tableColumn id="5751" xr3:uid="{7138D3A8-1E3A-488F-B039-A4CD4DC6D810}" name="Column5727" dataDxfId="10658"/>
    <tableColumn id="5752" xr3:uid="{BF68F33F-E88B-4134-B8FA-CF7F908F4B25}" name="Column5728" dataDxfId="10657"/>
    <tableColumn id="5753" xr3:uid="{63584F67-D6F2-4E07-AB73-3733C511CE59}" name="Column5729" dataDxfId="10656"/>
    <tableColumn id="5754" xr3:uid="{0C493F73-DF2B-4E04-B1ED-A314852E04EE}" name="Column5730" dataDxfId="10655"/>
    <tableColumn id="5755" xr3:uid="{A1C93128-0134-4E76-B437-B8F9BCA26723}" name="Column5731" dataDxfId="10654"/>
    <tableColumn id="5756" xr3:uid="{E51A5539-E4E6-4814-B7CF-9CAE0996E568}" name="Column5732" dataDxfId="10653"/>
    <tableColumn id="5757" xr3:uid="{1A808947-3095-4E13-A36E-6A9A2BF586BD}" name="Column5733" dataDxfId="10652"/>
    <tableColumn id="5758" xr3:uid="{38D972FA-CF5F-4E97-A31F-31738D52E361}" name="Column5734" dataDxfId="10651"/>
    <tableColumn id="5759" xr3:uid="{A8110D1E-2806-44F7-A972-2F9E07BE5F28}" name="Column5735" dataDxfId="10650"/>
    <tableColumn id="5760" xr3:uid="{3B2DEB1E-948A-4AD6-AF6B-9AFCEE04337B}" name="Column5736" dataDxfId="10649"/>
    <tableColumn id="5761" xr3:uid="{71BCCDD9-93B2-48E2-A33A-191119929769}" name="Column5737" dataDxfId="10648"/>
    <tableColumn id="5762" xr3:uid="{F2C24B52-B686-49EE-B67E-5967604781C0}" name="Column5738" dataDxfId="10647"/>
    <tableColumn id="5763" xr3:uid="{CE85482E-B0DE-4215-99CC-8A0DC5A56D2B}" name="Column5739" dataDxfId="10646"/>
    <tableColumn id="5764" xr3:uid="{85D86C2F-5D95-4CBB-B397-6500525AA2CF}" name="Column5740" dataDxfId="10645"/>
    <tableColumn id="5765" xr3:uid="{B4D88B8D-1A28-4BC0-832C-1E6FC89349B0}" name="Column5741" dataDxfId="10644"/>
    <tableColumn id="5766" xr3:uid="{95BA0CD7-95A3-44F9-94FA-190F5BF39233}" name="Column5742" dataDxfId="10643"/>
    <tableColumn id="5767" xr3:uid="{BEFC15AE-3CA5-49C2-A094-360B6DEC6989}" name="Column5743" dataDxfId="10642"/>
    <tableColumn id="5768" xr3:uid="{ABA4FF92-7C81-4EE4-A1E0-98DD2D69CDDF}" name="Column5744" dataDxfId="10641"/>
    <tableColumn id="5769" xr3:uid="{DD4C3A48-E736-4AA8-B7EE-08178EABA67E}" name="Column5745" dataDxfId="10640"/>
    <tableColumn id="5770" xr3:uid="{A552540E-CA63-427A-AEE1-A24574073CD2}" name="Column5746" dataDxfId="10639"/>
    <tableColumn id="5771" xr3:uid="{87F84E60-6970-4DE7-9A69-77B040F3EA92}" name="Column5747" dataDxfId="10638"/>
    <tableColumn id="5772" xr3:uid="{55CAC2E7-2C4D-4E3C-841B-632D23134315}" name="Column5748" dataDxfId="10637"/>
    <tableColumn id="5773" xr3:uid="{C2755078-FCA2-4B39-9D0F-B705C634DA46}" name="Column5749" dataDxfId="10636"/>
    <tableColumn id="5774" xr3:uid="{5C07785C-E3D9-4F90-99AA-8062C98E6A79}" name="Column5750" dataDxfId="10635"/>
    <tableColumn id="5775" xr3:uid="{7077BC41-CC98-45B6-8D23-0A2FBFBB137A}" name="Column5751" dataDxfId="10634"/>
    <tableColumn id="5776" xr3:uid="{409E8B42-DFE2-42AF-BB1E-B5D922B3CA52}" name="Column5752" dataDxfId="10633"/>
    <tableColumn id="5777" xr3:uid="{61E128CD-E8A1-4C0E-B2C8-DEBACAA1E7B4}" name="Column5753" dataDxfId="10632"/>
    <tableColumn id="5778" xr3:uid="{755B2D3D-E7DF-46CF-910D-A0E5E68C34E2}" name="Column5754" dataDxfId="10631"/>
    <tableColumn id="5779" xr3:uid="{FCE2BEEB-00B1-4D23-9DCC-2DFFC282520E}" name="Column5755" dataDxfId="10630"/>
    <tableColumn id="5780" xr3:uid="{F9759A5C-710C-4372-B14C-CF2A721C086B}" name="Column5756" dataDxfId="10629"/>
    <tableColumn id="5781" xr3:uid="{635408F5-CE9E-4DB4-B95A-E64804672162}" name="Column5757" dataDxfId="10628"/>
    <tableColumn id="5782" xr3:uid="{994D3734-5DBF-4EFE-B1F9-6D372DE4C76C}" name="Column5758" dataDxfId="10627"/>
    <tableColumn id="5783" xr3:uid="{1408382E-D995-493B-BC72-FA4893AB4AE9}" name="Column5759" dataDxfId="10626"/>
    <tableColumn id="5784" xr3:uid="{4D29F06D-6301-4DDE-9445-A8D05397BA4A}" name="Column5760" dataDxfId="10625"/>
    <tableColumn id="5785" xr3:uid="{CF088CD3-EDDB-4CE7-91B0-09D5A255B2C7}" name="Column5761" dataDxfId="10624"/>
    <tableColumn id="5786" xr3:uid="{C84FB536-DB3E-4BB4-A2E3-6C257B23774A}" name="Column5762" dataDxfId="10623"/>
    <tableColumn id="5787" xr3:uid="{02E46ABB-EF74-4A1B-A9A1-B67A5B4BB5D4}" name="Column5763" dataDxfId="10622"/>
    <tableColumn id="5788" xr3:uid="{38EA843E-2663-4DE7-BAD3-63DA20E06F55}" name="Column5764" dataDxfId="10621"/>
    <tableColumn id="5789" xr3:uid="{88E1B7A9-2B4F-4BE3-9C5E-F1451A1FEBCB}" name="Column5765" dataDxfId="10620"/>
    <tableColumn id="5790" xr3:uid="{1BC3CB87-07E1-4143-9BC0-C4CE043D4855}" name="Column5766" dataDxfId="10619"/>
    <tableColumn id="5791" xr3:uid="{41443815-DDE9-4350-B513-7610D8568D88}" name="Column5767" dataDxfId="10618"/>
    <tableColumn id="5792" xr3:uid="{89CF8B65-9420-44F6-8C7A-D2EC9EB647FA}" name="Column5768" dataDxfId="10617"/>
    <tableColumn id="5793" xr3:uid="{56F701E2-3BD9-4302-84EB-AA790CBFBC76}" name="Column5769" dataDxfId="10616"/>
    <tableColumn id="5794" xr3:uid="{F74E5E49-84D9-4EEB-94D1-28F2C479B9D6}" name="Column5770" dataDxfId="10615"/>
    <tableColumn id="5795" xr3:uid="{DCF9DA1E-EA02-4E5F-97DE-A5D5B5A1A718}" name="Column5771" dataDxfId="10614"/>
    <tableColumn id="5796" xr3:uid="{E4FB2BA0-5299-4315-A170-03DADF736909}" name="Column5772" dataDxfId="10613"/>
    <tableColumn id="5797" xr3:uid="{969FD0E9-C64E-40D5-935B-78A1CCB23730}" name="Column5773" dataDxfId="10612"/>
    <tableColumn id="5798" xr3:uid="{29FF87FE-1CC1-454C-9FA8-AC66350A148A}" name="Column5774" dataDxfId="10611"/>
    <tableColumn id="5799" xr3:uid="{609225EF-3D12-4B5F-BF85-499DFC6C4816}" name="Column5775" dataDxfId="10610"/>
    <tableColumn id="5800" xr3:uid="{78BD548E-54F8-4FFA-A9D4-6F7710BA0ABD}" name="Column5776" dataDxfId="10609"/>
    <tableColumn id="5801" xr3:uid="{6124F347-3865-4FE6-B015-0CE3B1F22140}" name="Column5777" dataDxfId="10608"/>
    <tableColumn id="5802" xr3:uid="{B4E25E76-5EAF-4B3B-A3BF-BB9BD9AED50E}" name="Column5778" dataDxfId="10607"/>
    <tableColumn id="5803" xr3:uid="{1D0B62C5-08E6-47F9-8EF7-575D85939CB7}" name="Column5779" dataDxfId="10606"/>
    <tableColumn id="5804" xr3:uid="{C8A8FF5D-FE08-4B05-92D7-B90A46F0728A}" name="Column5780" dataDxfId="10605"/>
    <tableColumn id="5805" xr3:uid="{1B6E49B6-3B2B-439E-8475-90A31872CBAB}" name="Column5781" dataDxfId="10604"/>
    <tableColumn id="5806" xr3:uid="{F5B64388-03BA-409F-85E9-957785AF0BEF}" name="Column5782" dataDxfId="10603"/>
    <tableColumn id="5807" xr3:uid="{FBC205E7-AF95-4DDD-A701-98307C688ECA}" name="Column5783" dataDxfId="10602"/>
    <tableColumn id="5808" xr3:uid="{2D1AAC69-B6D2-498C-8BA1-061BC9CC3E3B}" name="Column5784" dataDxfId="10601"/>
    <tableColumn id="5809" xr3:uid="{A4FAF7F4-90D4-4126-940C-54280C1A0D12}" name="Column5785" dataDxfId="10600"/>
    <tableColumn id="5810" xr3:uid="{6BB0DEFF-6ECA-49E0-871A-48F7BD65BE19}" name="Column5786" dataDxfId="10599"/>
    <tableColumn id="5811" xr3:uid="{467E7EF9-7983-4210-A20C-BE7237A62B60}" name="Column5787" dataDxfId="10598"/>
    <tableColumn id="5812" xr3:uid="{57A85061-5E26-4FC0-9448-D942801B7961}" name="Column5788" dataDxfId="10597"/>
    <tableColumn id="5813" xr3:uid="{AFFB58EA-19A6-41B4-ACE9-9D9FD02C3FF3}" name="Column5789" dataDxfId="10596"/>
    <tableColumn id="5814" xr3:uid="{B2147A10-2965-4984-8A37-6F3364F5B6AD}" name="Column5790" dataDxfId="10595"/>
    <tableColumn id="5815" xr3:uid="{6CDE0E5F-280D-429B-8070-5F8F911FD8F6}" name="Column5791" dataDxfId="10594"/>
    <tableColumn id="5816" xr3:uid="{434D04F1-9908-4144-93D6-E8A436469B47}" name="Column5792" dataDxfId="10593"/>
    <tableColumn id="5817" xr3:uid="{EDA1FAA7-3F6E-45D1-B624-58B049990F3E}" name="Column5793" dataDxfId="10592"/>
    <tableColumn id="5818" xr3:uid="{0217D989-3359-401B-89D6-F19B93744C11}" name="Column5794" dataDxfId="10591"/>
    <tableColumn id="5819" xr3:uid="{B4C1E1B9-D594-4BBD-94EB-E4727D478180}" name="Column5795" dataDxfId="10590"/>
    <tableColumn id="5820" xr3:uid="{643041B2-C783-4CE0-A0DC-BFCBA607B9E0}" name="Column5796" dataDxfId="10589"/>
    <tableColumn id="5821" xr3:uid="{7FB8E00A-DF9E-438E-944F-DDE4D67CDFE4}" name="Column5797" dataDxfId="10588"/>
    <tableColumn id="5822" xr3:uid="{74936EE2-263F-4C89-9BB0-76296116EE81}" name="Column5798" dataDxfId="10587"/>
    <tableColumn id="5823" xr3:uid="{0FFE89B2-517D-4B58-9D48-19539317ACD1}" name="Column5799" dataDxfId="10586"/>
    <tableColumn id="5824" xr3:uid="{609F31CD-8D73-4835-B781-BC83E0C4475A}" name="Column5800" dataDxfId="10585"/>
    <tableColumn id="5825" xr3:uid="{142E221E-D7E6-4A4A-89EB-9349839F9C7F}" name="Column5801" dataDxfId="10584"/>
    <tableColumn id="5826" xr3:uid="{2F6CEFBE-DEF5-4239-B514-8AE712FDF675}" name="Column5802" dataDxfId="10583"/>
    <tableColumn id="5827" xr3:uid="{241A898F-AEA7-40C0-BD76-19C9F5B25023}" name="Column5803" dataDxfId="10582"/>
    <tableColumn id="5828" xr3:uid="{3138A0EB-8DE5-4558-85FD-60166714A526}" name="Column5804" dataDxfId="10581"/>
    <tableColumn id="5829" xr3:uid="{DDB5C01C-172F-4EAF-8DF3-19F47C80788D}" name="Column5805" dataDxfId="10580"/>
    <tableColumn id="5830" xr3:uid="{8770A63C-C2B2-44ED-ACCB-E11E8C64D1FF}" name="Column5806" dataDxfId="10579"/>
    <tableColumn id="5831" xr3:uid="{243142E2-5E63-4FD9-ADC3-044C89131D35}" name="Column5807" dataDxfId="10578"/>
    <tableColumn id="5832" xr3:uid="{19A816C6-E15B-49C2-93BB-BA98B8277561}" name="Column5808" dataDxfId="10577"/>
    <tableColumn id="5833" xr3:uid="{BFE44C61-D07D-4D8A-BA2E-24A6ECD09497}" name="Column5809" dataDxfId="10576"/>
    <tableColumn id="5834" xr3:uid="{8B4ECDD1-6E4B-44D3-9C7C-8A64011E110D}" name="Column5810" dataDxfId="10575"/>
    <tableColumn id="5835" xr3:uid="{12FB9F4F-DC61-439C-8123-499C92943BAA}" name="Column5811" dataDxfId="10574"/>
    <tableColumn id="5836" xr3:uid="{BCC3DE58-9E2F-4012-A112-A4B9967B9C03}" name="Column5812" dataDxfId="10573"/>
    <tableColumn id="5837" xr3:uid="{05BBC5D4-BF64-4B3D-8A76-A6575C602168}" name="Column5813" dataDxfId="10572"/>
    <tableColumn id="5838" xr3:uid="{A307A2A3-A0CF-46E9-A6E4-1E58DC6C5BB9}" name="Column5814" dataDxfId="10571"/>
    <tableColumn id="5839" xr3:uid="{DF618E11-5A1D-4B7E-A50F-446283D6E6C5}" name="Column5815" dataDxfId="10570"/>
    <tableColumn id="5840" xr3:uid="{0C8D3DBC-1EE3-4FD6-AA0A-8D0F08406793}" name="Column5816" dataDxfId="10569"/>
    <tableColumn id="5841" xr3:uid="{8B4880CA-10F0-4D2F-9183-43A612200EB1}" name="Column5817" dataDxfId="10568"/>
    <tableColumn id="5842" xr3:uid="{D373EA7B-46C0-4A6C-BA18-31C8451C74C4}" name="Column5818" dataDxfId="10567"/>
    <tableColumn id="5843" xr3:uid="{618516B7-0507-4A57-84FF-07F3D457B057}" name="Column5819" dataDxfId="10566"/>
    <tableColumn id="5844" xr3:uid="{4551A4FA-E894-4C71-BD30-1C221121856A}" name="Column5820" dataDxfId="10565"/>
    <tableColumn id="5845" xr3:uid="{7A0B981C-A99F-430A-838D-4B8E6E84B813}" name="Column5821" dataDxfId="10564"/>
    <tableColumn id="5846" xr3:uid="{F652F7C6-69F4-4E56-832D-1DF28FF19216}" name="Column5822" dataDxfId="10563"/>
    <tableColumn id="5847" xr3:uid="{5D40BE32-D6D4-4D06-A4BE-2C80CE519A81}" name="Column5823" dataDxfId="10562"/>
    <tableColumn id="5848" xr3:uid="{69FF7C5E-E6E8-417F-B3DD-79D02E74C1C3}" name="Column5824" dataDxfId="10561"/>
    <tableColumn id="5849" xr3:uid="{820A6779-9EEB-466B-A6B0-95E7FDA8139B}" name="Column5825" dataDxfId="10560"/>
    <tableColumn id="5850" xr3:uid="{56FEE114-8068-42F5-8B86-A08AEC174AA0}" name="Column5826" dataDxfId="10559"/>
    <tableColumn id="5851" xr3:uid="{F8368DEE-775C-435C-91D1-EC8A28AE55B4}" name="Column5827" dataDxfId="10558"/>
    <tableColumn id="5852" xr3:uid="{9C23817E-A17A-4281-A08D-ADCCD61F9E33}" name="Column5828" dataDxfId="10557"/>
    <tableColumn id="5853" xr3:uid="{4913B5FD-8538-4E0A-93E7-3A6C188ED4CB}" name="Column5829" dataDxfId="10556"/>
    <tableColumn id="5854" xr3:uid="{C490CBBD-BE7A-4114-B63A-70E0B81C94FC}" name="Column5830" dataDxfId="10555"/>
    <tableColumn id="5855" xr3:uid="{4F164D8D-A256-4219-B4FA-6A260A233759}" name="Column5831" dataDxfId="10554"/>
    <tableColumn id="5856" xr3:uid="{D29A906E-A794-4533-BDE3-42C8338F8794}" name="Column5832" dataDxfId="10553"/>
    <tableColumn id="5857" xr3:uid="{54694E85-F44B-4EC6-B8AB-81E1CE2E2B3B}" name="Column5833" dataDxfId="10552"/>
    <tableColumn id="5858" xr3:uid="{AD98E5B2-95D2-4203-894E-32EED2A54FF1}" name="Column5834" dataDxfId="10551"/>
    <tableColumn id="5859" xr3:uid="{34C3493B-EBC7-452D-93B7-EC6C26975635}" name="Column5835" dataDxfId="10550"/>
    <tableColumn id="5860" xr3:uid="{8964A2C9-9290-4894-BA0E-F61C768787D3}" name="Column5836" dataDxfId="10549"/>
    <tableColumn id="5861" xr3:uid="{4778DC09-B03A-4948-ADDA-BCD03099D427}" name="Column5837" dataDxfId="10548"/>
    <tableColumn id="5862" xr3:uid="{FBF3F2BE-A776-48D9-B92C-319EB749064B}" name="Column5838" dataDxfId="10547"/>
    <tableColumn id="5863" xr3:uid="{34A88AF2-E099-4267-AA46-E129A818AA08}" name="Column5839" dataDxfId="10546"/>
    <tableColumn id="5864" xr3:uid="{0A728636-57EA-44CE-85FF-08E612B43E43}" name="Column5840" dataDxfId="10545"/>
    <tableColumn id="5865" xr3:uid="{87BA0F75-8743-4F48-B8E4-0D224AA2ECFF}" name="Column5841" dataDxfId="10544"/>
    <tableColumn id="5866" xr3:uid="{441D29E7-9818-459A-802D-7C9693B3511A}" name="Column5842" dataDxfId="10543"/>
    <tableColumn id="5867" xr3:uid="{FF1A872B-D411-4630-A85B-8EF03D4F6E95}" name="Column5843" dataDxfId="10542"/>
    <tableColumn id="5868" xr3:uid="{EE54E202-A083-4C45-AD4A-DDDE2E107197}" name="Column5844" dataDxfId="10541"/>
    <tableColumn id="5869" xr3:uid="{931DCD17-6F94-4E6D-ACEC-3AFB9D2A3E6B}" name="Column5845" dataDxfId="10540"/>
    <tableColumn id="5870" xr3:uid="{ED96C3EB-EF63-464F-9B76-7B2BFE144A46}" name="Column5846" dataDxfId="10539"/>
    <tableColumn id="5871" xr3:uid="{049635F4-744C-4778-9B16-E0F2AF0D8141}" name="Column5847" dataDxfId="10538"/>
    <tableColumn id="5872" xr3:uid="{D2B23553-956E-4B49-9077-DA7EAA45A17E}" name="Column5848" dataDxfId="10537"/>
    <tableColumn id="5873" xr3:uid="{BF125D4B-E153-42AA-993A-39AFF7720796}" name="Column5849" dataDxfId="10536"/>
    <tableColumn id="5874" xr3:uid="{18CE33E5-F309-41F1-96B0-E2A86186FB1D}" name="Column5850" dataDxfId="10535"/>
    <tableColumn id="5875" xr3:uid="{63BA12FF-DD73-4DC8-891F-7E3AD96FCA78}" name="Column5851" dataDxfId="10534"/>
    <tableColumn id="5876" xr3:uid="{8DA09B84-F5F9-49C6-8026-1303BC28B855}" name="Column5852" dataDxfId="10533"/>
    <tableColumn id="5877" xr3:uid="{75A21E0F-6531-4364-B8FE-389585FCA41F}" name="Column5853" dataDxfId="10532"/>
    <tableColumn id="5878" xr3:uid="{BE5FA77F-70AB-4E40-8851-6E8E66A6CE8D}" name="Column5854" dataDxfId="10531"/>
    <tableColumn id="5879" xr3:uid="{1FA93624-E573-4473-9AAC-C4C168B560AB}" name="Column5855" dataDxfId="10530"/>
    <tableColumn id="5880" xr3:uid="{325BB63F-EDC6-421A-882D-A9D7F6329B33}" name="Column5856" dataDxfId="10529"/>
    <tableColumn id="5881" xr3:uid="{4E137C7D-8B9E-4CD7-9D46-177F217B49F9}" name="Column5857" dataDxfId="10528"/>
    <tableColumn id="5882" xr3:uid="{3B6A0157-A0CA-4E38-A90C-3AAF9D816A9C}" name="Column5858" dataDxfId="10527"/>
    <tableColumn id="5883" xr3:uid="{5F5E18B0-8C71-44DD-A462-F3CB4AA8947C}" name="Column5859" dataDxfId="10526"/>
    <tableColumn id="5884" xr3:uid="{D544F740-5D3C-4E5E-813B-A79F1716CB7E}" name="Column5860" dataDxfId="10525"/>
    <tableColumn id="5885" xr3:uid="{6D4C5B0C-493C-4C5D-A702-FDAC16902B5A}" name="Column5861" dataDxfId="10524"/>
    <tableColumn id="5886" xr3:uid="{4B0FB6EE-968C-4D9C-897E-406945623C94}" name="Column5862" dataDxfId="10523"/>
    <tableColumn id="5887" xr3:uid="{FE1FA2D7-2C28-4528-BC98-2267FE836BE6}" name="Column5863" dataDxfId="10522"/>
    <tableColumn id="5888" xr3:uid="{8E5BAC38-9A1F-4985-87C0-3CF057BF09BC}" name="Column5864" dataDxfId="10521"/>
    <tableColumn id="5889" xr3:uid="{E3B49804-7AF6-46A6-91D4-6DB32168ECD2}" name="Column5865" dataDxfId="10520"/>
    <tableColumn id="5890" xr3:uid="{6301F80F-649C-4C6E-AB4E-7BC7ED4F1BE8}" name="Column5866" dataDxfId="10519"/>
    <tableColumn id="5891" xr3:uid="{8ABDE01C-73BB-436C-80FB-A7F924A85E5A}" name="Column5867" dataDxfId="10518"/>
    <tableColumn id="5892" xr3:uid="{12FC78B9-1168-4E40-8580-E3B70A621CAF}" name="Column5868" dataDxfId="10517"/>
    <tableColumn id="5893" xr3:uid="{99163967-B6DF-45C5-853E-087BC6DB0788}" name="Column5869" dataDxfId="10516"/>
    <tableColumn id="5894" xr3:uid="{79E6767F-164E-4C7B-9249-57285A3C1BE0}" name="Column5870" dataDxfId="10515"/>
    <tableColumn id="5895" xr3:uid="{65B79D9F-9D91-4C76-B5A4-FDD484CDD82F}" name="Column5871" dataDxfId="10514"/>
    <tableColumn id="5896" xr3:uid="{8D997377-910E-42C6-BFB1-4AE3C6C0939D}" name="Column5872" dataDxfId="10513"/>
    <tableColumn id="5897" xr3:uid="{D77A6C01-949E-4A2C-8FAA-CD494987EFE4}" name="Column5873" dataDxfId="10512"/>
    <tableColumn id="5898" xr3:uid="{C3C06A4D-D092-4654-9A61-4DDD9CCC4880}" name="Column5874" dataDxfId="10511"/>
    <tableColumn id="5899" xr3:uid="{E0BBC331-5D7B-4EB1-9B8D-3C8E93A531FC}" name="Column5875" dataDxfId="10510"/>
    <tableColumn id="5900" xr3:uid="{55D6CFCF-2EBC-46B5-8F26-B14F3710982C}" name="Column5876" dataDxfId="10509"/>
    <tableColumn id="5901" xr3:uid="{6CC6A8DF-D6AC-45D3-9F92-595C79E1506A}" name="Column5877" dataDxfId="10508"/>
    <tableColumn id="5902" xr3:uid="{5591F1EC-830F-478C-AA48-95C4EFE671CB}" name="Column5878" dataDxfId="10507"/>
    <tableColumn id="5903" xr3:uid="{E3182D26-A62D-4129-BEDB-C53D27D7A8DB}" name="Column5879" dataDxfId="10506"/>
    <tableColumn id="5904" xr3:uid="{8398862E-61A7-4BB4-8934-EF32958F6D11}" name="Column5880" dataDxfId="10505"/>
    <tableColumn id="5905" xr3:uid="{3902066C-EA8D-4F0C-B0F5-90AA9AEDE87A}" name="Column5881" dataDxfId="10504"/>
    <tableColumn id="5906" xr3:uid="{A0B4AC54-8B34-468C-BDDD-C6E4752DB5AA}" name="Column5882" dataDxfId="10503"/>
    <tableColumn id="5907" xr3:uid="{B8B5099D-EC58-4C91-8E01-DDA85E5253F0}" name="Column5883" dataDxfId="10502"/>
    <tableColumn id="5908" xr3:uid="{222E25E7-C3E3-465A-BCF7-03AA7E99BF57}" name="Column5884" dataDxfId="10501"/>
    <tableColumn id="5909" xr3:uid="{45E95F71-7A96-4F31-BFCB-AB89F3821987}" name="Column5885" dataDxfId="10500"/>
    <tableColumn id="5910" xr3:uid="{4D28A101-17B0-4DCD-B34B-1FFCDE7F31E3}" name="Column5886" dataDxfId="10499"/>
    <tableColumn id="5911" xr3:uid="{8CF7B120-C0C6-49AC-86C4-271325FAC5AA}" name="Column5887" dataDxfId="10498"/>
    <tableColumn id="5912" xr3:uid="{CA67AF95-F19F-4AA9-91A0-4F890D116FA9}" name="Column5888" dataDxfId="10497"/>
    <tableColumn id="5913" xr3:uid="{09D31AD5-73A9-4D1A-ACBB-7E517C447100}" name="Column5889" dataDxfId="10496"/>
    <tableColumn id="5914" xr3:uid="{DCF9CEBF-FAB7-4918-A750-2B9FD4F9231B}" name="Column5890" dataDxfId="10495"/>
    <tableColumn id="5915" xr3:uid="{7B7898F6-2967-4334-98CF-19DE399015D4}" name="Column5891" dataDxfId="10494"/>
    <tableColumn id="5916" xr3:uid="{C4542644-048C-483F-8590-27F329A8FF4A}" name="Column5892" dataDxfId="10493"/>
    <tableColumn id="5917" xr3:uid="{CBD25D05-6D28-4D34-AD9D-4462025B7C14}" name="Column5893" dataDxfId="10492"/>
    <tableColumn id="5918" xr3:uid="{CAF000BA-BD36-4770-A684-09E938325E87}" name="Column5894" dataDxfId="10491"/>
    <tableColumn id="5919" xr3:uid="{62BA1D34-9077-4D1D-AE1A-04809A36A865}" name="Column5895" dataDxfId="10490"/>
    <tableColumn id="5920" xr3:uid="{B20C902C-F3C3-489C-A302-8E59BBB0CED2}" name="Column5896" dataDxfId="10489"/>
    <tableColumn id="5921" xr3:uid="{7F1D415F-E7D4-43D2-B845-EFD2A9B549BD}" name="Column5897" dataDxfId="10488"/>
    <tableColumn id="5922" xr3:uid="{F6C1994D-87A7-470A-B890-4F898D7D91CC}" name="Column5898" dataDxfId="10487"/>
    <tableColumn id="5923" xr3:uid="{5F157B4F-1A4E-4659-A225-771FCE6B9E21}" name="Column5899" dataDxfId="10486"/>
    <tableColumn id="5924" xr3:uid="{25039240-C820-482D-90D7-02D0B638C8E9}" name="Column5900" dataDxfId="10485"/>
    <tableColumn id="5925" xr3:uid="{5D8B4CFF-F840-480A-A22C-2CD007C3A014}" name="Column5901" dataDxfId="10484"/>
    <tableColumn id="5926" xr3:uid="{410C8BC0-F454-4C44-86FB-FB98C36FA18C}" name="Column5902" dataDxfId="10483"/>
    <tableColumn id="5927" xr3:uid="{EDA735C3-29F6-475A-80B9-24167AE191ED}" name="Column5903" dataDxfId="10482"/>
    <tableColumn id="5928" xr3:uid="{FB417768-467C-4672-9BBB-6BC27F8EDCAC}" name="Column5904" dataDxfId="10481"/>
    <tableColumn id="5929" xr3:uid="{C317C66C-D42A-4DB5-B76D-E2BBF228D778}" name="Column5905" dataDxfId="10480"/>
    <tableColumn id="5930" xr3:uid="{0E4D97E2-6331-4B4A-A246-5CFAC5AA58FD}" name="Column5906" dataDxfId="10479"/>
    <tableColumn id="5931" xr3:uid="{69EA6D15-F47A-4106-9096-9B95A9B7C555}" name="Column5907" dataDxfId="10478"/>
    <tableColumn id="5932" xr3:uid="{6F3B82EB-4D67-4602-B225-BDAA8529BE31}" name="Column5908" dataDxfId="10477"/>
    <tableColumn id="5933" xr3:uid="{DDE4A223-FDE9-419F-A2F2-94C257F6426C}" name="Column5909" dataDxfId="10476"/>
    <tableColumn id="5934" xr3:uid="{E55FE3F0-E80E-4066-B423-5C534A2B5438}" name="Column5910" dataDxfId="10475"/>
    <tableColumn id="5935" xr3:uid="{EA5D5B13-B84F-4B66-84F3-A6C16F99AF94}" name="Column5911" dataDxfId="10474"/>
    <tableColumn id="5936" xr3:uid="{43FF1841-EE34-4E60-A1E2-3404466AA935}" name="Column5912" dataDxfId="10473"/>
    <tableColumn id="5937" xr3:uid="{C5A2C40D-5F9B-4221-9210-7E32040845E5}" name="Column5913" dataDxfId="10472"/>
    <tableColumn id="5938" xr3:uid="{ADCC7B76-A083-4D14-8334-33C9CC168E06}" name="Column5914" dataDxfId="10471"/>
    <tableColumn id="5939" xr3:uid="{0FAF118D-5B98-413E-A2DE-CFDAF43BFC37}" name="Column5915" dataDxfId="10470"/>
    <tableColumn id="5940" xr3:uid="{81BD4BE1-B18F-42DB-9CFC-0442CBDF69AA}" name="Column5916" dataDxfId="10469"/>
    <tableColumn id="5941" xr3:uid="{DBC8F6C2-B7CA-4F1B-86A1-31A1E9CC2DEF}" name="Column5917" dataDxfId="10468"/>
    <tableColumn id="5942" xr3:uid="{A353F4D3-0759-4830-A300-59141A925275}" name="Column5918" dataDxfId="10467"/>
    <tableColumn id="5943" xr3:uid="{48B3D311-39E3-4AFA-A827-410FACF05D53}" name="Column5919" dataDxfId="10466"/>
    <tableColumn id="5944" xr3:uid="{13983200-09BD-43F5-90B6-46145DB59AEA}" name="Column5920" dataDxfId="10465"/>
    <tableColumn id="5945" xr3:uid="{5B965572-8E4C-4F1A-8761-5D0C9D88FB41}" name="Column5921" dataDxfId="10464"/>
    <tableColumn id="5946" xr3:uid="{1280E9A9-7C0E-4B6E-B786-5043CF788A28}" name="Column5922" dataDxfId="10463"/>
    <tableColumn id="5947" xr3:uid="{1D468F11-4602-4358-B7CD-804461D24C34}" name="Column5923" dataDxfId="10462"/>
    <tableColumn id="5948" xr3:uid="{39A78CC1-F67C-4132-9B37-5574D244BA8F}" name="Column5924" dataDxfId="10461"/>
    <tableColumn id="5949" xr3:uid="{8DA49906-9694-4150-BB61-71A93C8FBFE9}" name="Column5925" dataDxfId="10460"/>
    <tableColumn id="5950" xr3:uid="{FC5A0B08-6B97-49FA-B8BF-AB25DFF6F7AE}" name="Column5926" dataDxfId="10459"/>
    <tableColumn id="5951" xr3:uid="{A8140DD9-CA04-413D-A2FB-9FADD68544D5}" name="Column5927" dataDxfId="10458"/>
    <tableColumn id="5952" xr3:uid="{38F3ACD1-F35A-4958-B5D9-6A3F40E096AF}" name="Column5928" dataDxfId="10457"/>
    <tableColumn id="5953" xr3:uid="{6ED7A190-5886-443C-97C0-3A516866D858}" name="Column5929" dataDxfId="10456"/>
    <tableColumn id="5954" xr3:uid="{958DBB39-169B-452D-BA09-140028E8B763}" name="Column5930" dataDxfId="10455"/>
    <tableColumn id="5955" xr3:uid="{1BDB8828-B4E1-48A8-B4B6-B87F99F8B077}" name="Column5931" dataDxfId="10454"/>
    <tableColumn id="5956" xr3:uid="{5D51D8E2-F5E3-4211-ACA4-5F2F9ADBF73C}" name="Column5932" dataDxfId="10453"/>
    <tableColumn id="5957" xr3:uid="{80997869-472F-4260-91A9-2D2FB7C564BC}" name="Column5933" dataDxfId="10452"/>
    <tableColumn id="5958" xr3:uid="{C0318225-C5AD-4788-B304-F8461FB81465}" name="Column5934" dataDxfId="10451"/>
    <tableColumn id="5959" xr3:uid="{7D1926D3-4175-4CD1-AD8A-7053CB3CD03B}" name="Column5935" dataDxfId="10450"/>
    <tableColumn id="5960" xr3:uid="{6832FCAA-578F-4EBA-AB39-40CFC69352E1}" name="Column5936" dataDxfId="10449"/>
    <tableColumn id="5961" xr3:uid="{DFC56E1B-09FE-4EE3-A2E2-930878AD2BE5}" name="Column5937" dataDxfId="10448"/>
    <tableColumn id="5962" xr3:uid="{3455F557-9754-499A-965B-CFE56ED51CB9}" name="Column5938" dataDxfId="10447"/>
    <tableColumn id="5963" xr3:uid="{37573A56-EB91-49D9-84B0-6AC60BB4276E}" name="Column5939" dataDxfId="10446"/>
    <tableColumn id="5964" xr3:uid="{C804F59A-EFDA-444E-8D17-9CF4FCD29CB0}" name="Column5940" dataDxfId="10445"/>
    <tableColumn id="5965" xr3:uid="{507585AD-A49B-4CA5-9C50-22831A86030A}" name="Column5941" dataDxfId="10444"/>
    <tableColumn id="5966" xr3:uid="{7BD2CB38-A1FD-41B4-88FD-C73B1B03B80D}" name="Column5942" dataDxfId="10443"/>
    <tableColumn id="5967" xr3:uid="{82C5E59C-DAE6-4EF7-839F-9FBD882AE871}" name="Column5943" dataDxfId="10442"/>
    <tableColumn id="5968" xr3:uid="{AC73CC11-D668-42F7-BC35-4DEDD2A5D9A7}" name="Column5944" dataDxfId="10441"/>
    <tableColumn id="5969" xr3:uid="{B5FE5A2E-411D-4CBA-A360-5A5D1217CDA6}" name="Column5945" dataDxfId="10440"/>
    <tableColumn id="5970" xr3:uid="{4195DDFD-8281-44DC-9CA2-3D2157197A98}" name="Column5946" dataDxfId="10439"/>
    <tableColumn id="5971" xr3:uid="{08963A13-0E8D-4636-96A8-9E089C72DE4A}" name="Column5947" dataDxfId="10438"/>
    <tableColumn id="5972" xr3:uid="{4D7977AA-6C15-47ED-A213-A4E9DBD765DB}" name="Column5948" dataDxfId="10437"/>
    <tableColumn id="5973" xr3:uid="{A22A6BE5-A65A-480D-A5BA-4F6CD04EEFE7}" name="Column5949" dataDxfId="10436"/>
    <tableColumn id="5974" xr3:uid="{0542D359-BB3E-42B7-B1FD-BEB95489226C}" name="Column5950" dataDxfId="10435"/>
    <tableColumn id="5975" xr3:uid="{480D69A3-C18F-46AC-B7CD-97DFB6D7E50B}" name="Column5951" dataDxfId="10434"/>
    <tableColumn id="5976" xr3:uid="{46286DE3-14D5-48FD-8812-87A568DD3654}" name="Column5952" dataDxfId="10433"/>
    <tableColumn id="5977" xr3:uid="{4E4E1887-5E05-41F1-9492-1FB85FC8AE24}" name="Column5953" dataDxfId="10432"/>
    <tableColumn id="5978" xr3:uid="{54906D4D-CB6F-4E88-BA8E-65B9D77A419E}" name="Column5954" dataDxfId="10431"/>
    <tableColumn id="5979" xr3:uid="{3FC7525F-D62D-4BE0-B052-B904EF5309B4}" name="Column5955" dataDxfId="10430"/>
    <tableColumn id="5980" xr3:uid="{26D1B98F-8441-49AD-9920-5165ECC4B1A4}" name="Column5956" dataDxfId="10429"/>
    <tableColumn id="5981" xr3:uid="{5B808284-AB7B-4635-A5CB-29A4884B2C77}" name="Column5957" dataDxfId="10428"/>
    <tableColumn id="5982" xr3:uid="{9B0FFCF0-902B-40A0-945A-37CC01ADFDE7}" name="Column5958" dataDxfId="10427"/>
    <tableColumn id="5983" xr3:uid="{4930A151-0C01-420A-9229-24351FC3F59A}" name="Column5959" dataDxfId="10426"/>
    <tableColumn id="5984" xr3:uid="{DE8FB594-1002-443E-BEF2-AE69BF7AB739}" name="Column5960" dataDxfId="10425"/>
    <tableColumn id="5985" xr3:uid="{1F0F9443-6042-4CEE-9FB5-15E9485E4EF5}" name="Column5961" dataDxfId="10424"/>
    <tableColumn id="5986" xr3:uid="{272DCABE-7F6B-443D-A7AF-5CF11B129154}" name="Column5962" dataDxfId="10423"/>
    <tableColumn id="5987" xr3:uid="{ED84F73A-5571-41B9-80C2-0371D56BA445}" name="Column5963" dataDxfId="10422"/>
    <tableColumn id="5988" xr3:uid="{616889E9-AD82-4015-8522-DFF78360FA4B}" name="Column5964" dataDxfId="10421"/>
    <tableColumn id="5989" xr3:uid="{52107C8D-842E-48EB-BFF7-AFAAFF67A503}" name="Column5965" dataDxfId="10420"/>
    <tableColumn id="5990" xr3:uid="{B10468D9-D171-4AA4-AB23-EE742032F79F}" name="Column5966" dataDxfId="10419"/>
    <tableColumn id="5991" xr3:uid="{E7B4FBD5-3DE3-4475-9876-C24ACD8D9A8C}" name="Column5967" dataDxfId="10418"/>
    <tableColumn id="5992" xr3:uid="{C2BA9B86-8352-484A-B1E8-ED1DDBF955BE}" name="Column5968" dataDxfId="10417"/>
    <tableColumn id="5993" xr3:uid="{D74DA895-19DA-436F-9262-B25AA781D83B}" name="Column5969" dataDxfId="10416"/>
    <tableColumn id="5994" xr3:uid="{899008FC-34AF-465F-9744-2990BD2C85BC}" name="Column5970" dataDxfId="10415"/>
    <tableColumn id="5995" xr3:uid="{A3EC77DD-A79A-4909-BB7D-FFC4889980DE}" name="Column5971" dataDxfId="10414"/>
    <tableColumn id="5996" xr3:uid="{56821B7B-C12D-418E-ABCA-4A3A887230C9}" name="Column5972" dataDxfId="10413"/>
    <tableColumn id="5997" xr3:uid="{F8843621-F030-45C6-B337-81D70CEC994A}" name="Column5973" dataDxfId="10412"/>
    <tableColumn id="5998" xr3:uid="{9D6CED76-226C-4294-ABF8-ECDC7CC038F8}" name="Column5974" dataDxfId="10411"/>
    <tableColumn id="5999" xr3:uid="{2EFE6A81-EA3E-4E1F-9149-C414EBD832A2}" name="Column5975" dataDxfId="10410"/>
    <tableColumn id="6000" xr3:uid="{8C1AAA8C-5C82-48D3-B26C-8A03D3EA3F69}" name="Column5976" dataDxfId="10409"/>
    <tableColumn id="6001" xr3:uid="{2EA90A1A-01BB-4D8D-B456-A868DA0D4437}" name="Column5977" dataDxfId="10408"/>
    <tableColumn id="6002" xr3:uid="{209AA53D-0229-46B9-B05F-A7E4B57CD47F}" name="Column5978" dataDxfId="10407"/>
    <tableColumn id="6003" xr3:uid="{B38B32F9-1031-4BC9-BE95-96451B544725}" name="Column5979" dataDxfId="10406"/>
    <tableColumn id="6004" xr3:uid="{EF3881C6-BC3F-43FD-BB16-977D82171A27}" name="Column5980" dataDxfId="10405"/>
    <tableColumn id="6005" xr3:uid="{4010ACA1-F7B7-4D50-A015-6833D82E4DDA}" name="Column5981" dataDxfId="10404"/>
    <tableColumn id="6006" xr3:uid="{4109C9FC-DE01-4577-A41D-336898A2BEC6}" name="Column5982" dataDxfId="10403"/>
    <tableColumn id="6007" xr3:uid="{CF10A607-6C11-43FD-A67E-9C7143F4D58C}" name="Column5983" dataDxfId="10402"/>
    <tableColumn id="6008" xr3:uid="{50277B01-BF08-4B3E-90D0-025CA35AF65A}" name="Column5984" dataDxfId="10401"/>
    <tableColumn id="6009" xr3:uid="{B44E759D-29FD-41DC-8BCC-5A51965DEEAA}" name="Column5985" dataDxfId="10400"/>
    <tableColumn id="6010" xr3:uid="{DFFF1247-D575-4301-844B-0C14896748C1}" name="Column5986" dataDxfId="10399"/>
    <tableColumn id="6011" xr3:uid="{CBC12219-6312-4B9D-A1C4-6E7E68D3F47E}" name="Column5987" dataDxfId="10398"/>
    <tableColumn id="6012" xr3:uid="{12C3A193-4910-4286-94C7-0E22B2C00D6A}" name="Column5988" dataDxfId="10397"/>
    <tableColumn id="6013" xr3:uid="{2C01F84D-24AB-4ED0-81A4-269F2A9B4FFC}" name="Column5989" dataDxfId="10396"/>
    <tableColumn id="6014" xr3:uid="{B122D88F-CCFA-4C4D-9DEC-86ACD21CE453}" name="Column5990" dataDxfId="10395"/>
    <tableColumn id="6015" xr3:uid="{F3CAACAA-AF80-4EA2-8A62-44BB56E8268C}" name="Column5991" dataDxfId="10394"/>
    <tableColumn id="6016" xr3:uid="{70FED943-BC13-41B0-B8DF-96CEC554C712}" name="Column5992" dataDxfId="10393"/>
    <tableColumn id="6017" xr3:uid="{F21EF877-06E5-4461-8E75-17E52A3D0C6B}" name="Column5993" dataDxfId="10392"/>
    <tableColumn id="6018" xr3:uid="{E98ADA41-F6CF-417F-A1DB-DA69079734C7}" name="Column5994" dataDxfId="10391"/>
    <tableColumn id="6019" xr3:uid="{F91126BE-A12E-4308-B990-1683B8BA1B12}" name="Column5995" dataDxfId="10390"/>
    <tableColumn id="6020" xr3:uid="{F72F9377-85D9-4DA2-A307-57373064608B}" name="Column5996" dataDxfId="10389"/>
    <tableColumn id="6021" xr3:uid="{A235850C-C784-4103-8326-3956F8A9ED0A}" name="Column5997" dataDxfId="10388"/>
    <tableColumn id="6022" xr3:uid="{EE22CDDD-A060-46FB-9130-15ED6E4FEC9A}" name="Column5998" dataDxfId="10387"/>
    <tableColumn id="6023" xr3:uid="{AB9621E4-D775-420D-BE94-15B0286C6AF9}" name="Column5999" dataDxfId="10386"/>
    <tableColumn id="6024" xr3:uid="{0CF48316-8A47-46DD-B4A3-B5CF4E68982A}" name="Column6000" dataDxfId="10385"/>
    <tableColumn id="6025" xr3:uid="{9D4BCEAB-481F-4AF8-BF15-0A6E86EE1138}" name="Column6001" dataDxfId="10384"/>
    <tableColumn id="6026" xr3:uid="{41967819-841F-4B65-9543-0ADECA7E8169}" name="Column6002" dataDxfId="10383"/>
    <tableColumn id="6027" xr3:uid="{15D534BA-70D0-4FDD-94CE-5EDF06A4D170}" name="Column6003" dataDxfId="10382"/>
    <tableColumn id="6028" xr3:uid="{8BE8D5F3-3162-45D5-8D74-6E0AA2CE23CF}" name="Column6004" dataDxfId="10381"/>
    <tableColumn id="6029" xr3:uid="{40590DBC-23BA-4282-A96D-EE874DD584F1}" name="Column6005" dataDxfId="10380"/>
    <tableColumn id="6030" xr3:uid="{739E07FC-7084-488A-92C3-C71AEF1612C2}" name="Column6006" dataDxfId="10379"/>
    <tableColumn id="6031" xr3:uid="{FC619258-25A2-4919-9DC4-07D71B7B9CB1}" name="Column6007" dataDxfId="10378"/>
    <tableColumn id="6032" xr3:uid="{DFE419DB-DEF4-4AE2-9939-24B20F735B9C}" name="Column6008" dataDxfId="10377"/>
    <tableColumn id="6033" xr3:uid="{DDD91F62-0818-4217-9780-53F1352CC7E3}" name="Column6009" dataDxfId="10376"/>
    <tableColumn id="6034" xr3:uid="{35CECD3E-FEB2-4C34-BEAA-A1DD8654D65F}" name="Column6010" dataDxfId="10375"/>
    <tableColumn id="6035" xr3:uid="{09C1B260-C219-4609-84D7-8BEDDADF461C}" name="Column6011" dataDxfId="10374"/>
    <tableColumn id="6036" xr3:uid="{57467545-F23A-4D0A-8D45-E233B05AF26B}" name="Column6012" dataDxfId="10373"/>
    <tableColumn id="6037" xr3:uid="{A3B2B407-E5D4-49EC-889E-82015BE0310C}" name="Column6013" dataDxfId="10372"/>
    <tableColumn id="6038" xr3:uid="{41B3CFA7-B8F6-4654-966D-6AE3984F6D83}" name="Column6014" dataDxfId="10371"/>
    <tableColumn id="6039" xr3:uid="{3F883D63-5F6B-4F36-88A5-E9FA2BCC564F}" name="Column6015" dataDxfId="10370"/>
    <tableColumn id="6040" xr3:uid="{68A31CC5-DF3E-4E60-A9BE-6C08DF2E58A9}" name="Column6016" dataDxfId="10369"/>
    <tableColumn id="6041" xr3:uid="{7346234D-2939-4E86-A177-B7137DA5FB02}" name="Column6017" dataDxfId="10368"/>
    <tableColumn id="6042" xr3:uid="{E40C0A64-9590-4B80-A7E0-C0EF52B60164}" name="Column6018" dataDxfId="10367"/>
    <tableColumn id="6043" xr3:uid="{89CF8EF2-CD29-4DC1-8D4A-14B233AAA935}" name="Column6019" dataDxfId="10366"/>
    <tableColumn id="6044" xr3:uid="{9BB8018A-8EF5-48CB-8743-F09851963994}" name="Column6020" dataDxfId="10365"/>
    <tableColumn id="6045" xr3:uid="{99B72E24-C16E-4DEE-8DC7-819DEB3159B1}" name="Column6021" dataDxfId="10364"/>
    <tableColumn id="6046" xr3:uid="{6B1FB327-C73B-48E8-9FD4-3A78E484A363}" name="Column6022" dataDxfId="10363"/>
    <tableColumn id="6047" xr3:uid="{8BF9401F-5ADD-4EFA-8957-C0224EAB1167}" name="Column6023" dataDxfId="10362"/>
    <tableColumn id="6048" xr3:uid="{B6C96341-2427-4FDE-9C7E-F7B15B63638E}" name="Column6024" dataDxfId="10361"/>
    <tableColumn id="6049" xr3:uid="{0716BF1F-A5FA-4BF4-94FA-F13F0FDF8B5B}" name="Column6025" dataDxfId="10360"/>
    <tableColumn id="6050" xr3:uid="{CC697498-2CEE-4BAC-87BA-6715F3EF8A9F}" name="Column6026" dataDxfId="10359"/>
    <tableColumn id="6051" xr3:uid="{12179ECB-49D2-4782-8EA7-197BBC0B1154}" name="Column6027" dataDxfId="10358"/>
    <tableColumn id="6052" xr3:uid="{8888E5E4-86C5-451F-B469-954FAE19066C}" name="Column6028" dataDxfId="10357"/>
    <tableColumn id="6053" xr3:uid="{C3D9C26E-901D-4D7D-B760-2A9B25AD4AAF}" name="Column6029" dataDxfId="10356"/>
    <tableColumn id="6054" xr3:uid="{C76BE638-D103-4A78-935F-F96EDF290A54}" name="Column6030" dataDxfId="10355"/>
    <tableColumn id="6055" xr3:uid="{3CD868E5-4D07-419F-96DE-CD963490798C}" name="Column6031" dataDxfId="10354"/>
    <tableColumn id="6056" xr3:uid="{D0830BED-5071-4A04-A05A-E01B917AE126}" name="Column6032" dataDxfId="10353"/>
    <tableColumn id="6057" xr3:uid="{5E988286-8B5D-4071-8BF0-5798A1B577AA}" name="Column6033" dataDxfId="10352"/>
    <tableColumn id="6058" xr3:uid="{79F280ED-528A-48FA-860E-3B2079CDDE19}" name="Column6034" dataDxfId="10351"/>
    <tableColumn id="6059" xr3:uid="{C11AFB20-DF0C-4E9F-844C-0D399B4456A4}" name="Column6035" dataDxfId="10350"/>
    <tableColumn id="6060" xr3:uid="{54925D42-0EBB-42DD-8237-CD8EC0E4B52D}" name="Column6036" dataDxfId="10349"/>
    <tableColumn id="6061" xr3:uid="{BE6861AC-6234-4031-B6A2-3D4CE75D7A90}" name="Column6037" dataDxfId="10348"/>
    <tableColumn id="6062" xr3:uid="{32018E09-E64D-484D-A47A-8EF851E17BE4}" name="Column6038" dataDxfId="10347"/>
    <tableColumn id="6063" xr3:uid="{DD54210C-973F-42A1-B6A7-3E1407F52CC7}" name="Column6039" dataDxfId="10346"/>
    <tableColumn id="6064" xr3:uid="{F98B6783-BF7D-4D58-8C69-BD5E4A8FDF9F}" name="Column6040" dataDxfId="10345"/>
    <tableColumn id="6065" xr3:uid="{EE66BFE8-EC54-4671-BC87-2156BF9C1FCC}" name="Column6041" dataDxfId="10344"/>
    <tableColumn id="6066" xr3:uid="{8685758A-BA7F-4047-AB66-A9B5E2DA30BE}" name="Column6042" dataDxfId="10343"/>
    <tableColumn id="6067" xr3:uid="{94244BB5-AA7D-4D84-AF4B-9BD4A02F2BE6}" name="Column6043" dataDxfId="10342"/>
    <tableColumn id="6068" xr3:uid="{78EB2110-C783-4DEC-A4A8-F80B3403A82E}" name="Column6044" dataDxfId="10341"/>
    <tableColumn id="6069" xr3:uid="{2F5BBD6A-0C34-417B-87AF-CC8EA3582E6D}" name="Column6045" dataDxfId="10340"/>
    <tableColumn id="6070" xr3:uid="{01417077-CE39-42EB-AB3E-AF9ABF271403}" name="Column6046" dataDxfId="10339"/>
    <tableColumn id="6071" xr3:uid="{26AD82A4-243E-41B9-AF2F-B716A895C4FE}" name="Column6047" dataDxfId="10338"/>
    <tableColumn id="6072" xr3:uid="{AA234095-10BF-4E69-A7E9-D050EF566FFE}" name="Column6048" dataDxfId="10337"/>
    <tableColumn id="6073" xr3:uid="{DB8B46F5-E67B-4826-9887-0DA32C6483E6}" name="Column6049" dataDxfId="10336"/>
    <tableColumn id="6074" xr3:uid="{2D1F7604-ACBC-449C-B113-BD648689EA56}" name="Column6050" dataDxfId="10335"/>
    <tableColumn id="6075" xr3:uid="{733D2412-9AF6-469D-8DF3-A6E242D92437}" name="Column6051" dataDxfId="10334"/>
    <tableColumn id="6076" xr3:uid="{AF31D279-CF9E-4CD1-8558-A0111DAE8C81}" name="Column6052" dataDxfId="10333"/>
    <tableColumn id="6077" xr3:uid="{0E61200A-DA25-44FF-B94E-ED5393968485}" name="Column6053" dataDxfId="10332"/>
    <tableColumn id="6078" xr3:uid="{8AC5F53D-C782-4C5E-9CD3-BA8E6DE67C42}" name="Column6054" dataDxfId="10331"/>
    <tableColumn id="6079" xr3:uid="{1D3AD45C-F077-410A-8EBE-2E7887DD800E}" name="Column6055" dataDxfId="10330"/>
    <tableColumn id="6080" xr3:uid="{DED76FD4-85E8-4A00-BC09-585C6F60617B}" name="Column6056" dataDxfId="10329"/>
    <tableColumn id="6081" xr3:uid="{60439BF0-EF21-4967-BDC2-C07EA86873BA}" name="Column6057" dataDxfId="10328"/>
    <tableColumn id="6082" xr3:uid="{6FF09FC6-47F3-4E9A-9A10-DAE109C808B5}" name="Column6058" dataDxfId="10327"/>
    <tableColumn id="6083" xr3:uid="{911F47C7-47C7-416B-B43C-7911A2588AAE}" name="Column6059" dataDxfId="10326"/>
    <tableColumn id="6084" xr3:uid="{C43E3DB4-978F-4DCD-BCF3-8AB480A2709B}" name="Column6060" dataDxfId="10325"/>
    <tableColumn id="6085" xr3:uid="{CE9C048E-3752-4289-A5F1-899370CDF505}" name="Column6061" dataDxfId="10324"/>
    <tableColumn id="6086" xr3:uid="{8404B857-264A-4F0B-BD79-40EF01C70084}" name="Column6062" dataDxfId="10323"/>
    <tableColumn id="6087" xr3:uid="{C7433050-4A82-4E95-A3D6-6DDC37BA7848}" name="Column6063" dataDxfId="10322"/>
    <tableColumn id="6088" xr3:uid="{3492272B-1FD9-4E10-8520-4EA38D5D2C0E}" name="Column6064" dataDxfId="10321"/>
    <tableColumn id="6089" xr3:uid="{25875315-42A7-4EC8-9E2F-106BB985D409}" name="Column6065" dataDxfId="10320"/>
    <tableColumn id="6090" xr3:uid="{FD9A5FE8-E144-4D70-AAB1-DE4C891A652C}" name="Column6066" dataDxfId="10319"/>
    <tableColumn id="6091" xr3:uid="{F99D2B5A-73E1-4477-82B7-E3574F64C832}" name="Column6067" dataDxfId="10318"/>
    <tableColumn id="6092" xr3:uid="{547619ED-DC9C-464A-B571-CB16800C786D}" name="Column6068" dataDxfId="10317"/>
    <tableColumn id="6093" xr3:uid="{CC5C9AC0-9085-4144-924F-4433295FDD56}" name="Column6069" dataDxfId="10316"/>
    <tableColumn id="6094" xr3:uid="{B53D08C9-2DE0-4F61-BA99-723F21585A3D}" name="Column6070" dataDxfId="10315"/>
    <tableColumn id="6095" xr3:uid="{D41765ED-0061-4E1E-B325-589FCF966AA3}" name="Column6071" dataDxfId="10314"/>
    <tableColumn id="6096" xr3:uid="{45710A73-92A1-4E81-BB1C-A29553B10800}" name="Column6072" dataDxfId="10313"/>
    <tableColumn id="6097" xr3:uid="{34AE0F9A-FE66-4ECD-86E6-2385D8A32EFC}" name="Column6073" dataDxfId="10312"/>
    <tableColumn id="6098" xr3:uid="{9ADDFED4-61C1-4E67-B1E4-4EC116D53E1F}" name="Column6074" dataDxfId="10311"/>
    <tableColumn id="6099" xr3:uid="{7B681668-E9C0-41C2-BDD2-AD5AD98C7492}" name="Column6075" dataDxfId="10310"/>
    <tableColumn id="6100" xr3:uid="{DCF6228B-28C3-46DF-A1F4-9B38A956E86C}" name="Column6076" dataDxfId="10309"/>
    <tableColumn id="6101" xr3:uid="{76E81FC7-91B4-4508-8AFB-070265CD4B3D}" name="Column6077" dataDxfId="10308"/>
    <tableColumn id="6102" xr3:uid="{3AB5EC98-2A34-49BD-ABFE-EE457A212BF2}" name="Column6078" dataDxfId="10307"/>
    <tableColumn id="6103" xr3:uid="{64A7A42B-23C4-47DF-9466-144B426462E2}" name="Column6079" dataDxfId="10306"/>
    <tableColumn id="6104" xr3:uid="{5175C38B-FE3C-4AB8-975A-8EEFFAB86239}" name="Column6080" dataDxfId="10305"/>
    <tableColumn id="6105" xr3:uid="{096E85F6-5685-42F1-B324-C0D9CD742FFC}" name="Column6081" dataDxfId="10304"/>
    <tableColumn id="6106" xr3:uid="{540892D0-F402-440E-87B5-1C0274636222}" name="Column6082" dataDxfId="10303"/>
    <tableColumn id="6107" xr3:uid="{9E563141-F55B-4E60-B2E2-8B8ACD5A98E5}" name="Column6083" dataDxfId="10302"/>
    <tableColumn id="6108" xr3:uid="{704BE301-D5EC-4C07-AF68-B802BB29505A}" name="Column6084" dataDxfId="10301"/>
    <tableColumn id="6109" xr3:uid="{5477C6EE-61AC-4558-AD71-3AFC471D81E3}" name="Column6085" dataDxfId="10300"/>
    <tableColumn id="6110" xr3:uid="{8913033F-4B2A-4DBF-8D82-9DD2FA700184}" name="Column6086" dataDxfId="10299"/>
    <tableColumn id="6111" xr3:uid="{F12F09EE-8992-4D5E-936B-ADDBF34785A9}" name="Column6087" dataDxfId="10298"/>
    <tableColumn id="6112" xr3:uid="{7F867C6E-59B7-4360-B2C2-FEB42D8FCD75}" name="Column6088" dataDxfId="10297"/>
    <tableColumn id="6113" xr3:uid="{0D283C8A-2734-42A5-B223-7446F82E2A39}" name="Column6089" dataDxfId="10296"/>
    <tableColumn id="6114" xr3:uid="{0414FA39-4091-4E65-883B-5F61D0F1899B}" name="Column6090" dataDxfId="10295"/>
    <tableColumn id="6115" xr3:uid="{6D7C5C16-1ED3-46A8-BA98-0D398AC8631A}" name="Column6091" dataDxfId="10294"/>
    <tableColumn id="6116" xr3:uid="{B66D916E-D49D-4312-8F77-D9C988EBB1DE}" name="Column6092" dataDxfId="10293"/>
    <tableColumn id="6117" xr3:uid="{B4877178-D992-448F-80C0-03491A1DA5AF}" name="Column6093" dataDxfId="10292"/>
    <tableColumn id="6118" xr3:uid="{08054171-D4C1-4DEC-B8E0-3D5668C9FCAF}" name="Column6094" dataDxfId="10291"/>
    <tableColumn id="6119" xr3:uid="{162D8EC1-C211-429D-971E-A6A236F63B30}" name="Column6095" dataDxfId="10290"/>
    <tableColumn id="6120" xr3:uid="{15A23838-3626-411F-AA83-A1B4B1A405C0}" name="Column6096" dataDxfId="10289"/>
    <tableColumn id="6121" xr3:uid="{0A4803FB-80DC-46DD-BFF9-0D08267976B7}" name="Column6097" dataDxfId="10288"/>
    <tableColumn id="6122" xr3:uid="{C7B5CEF1-D37F-49CE-BB8C-BB553D9F79A1}" name="Column6098" dataDxfId="10287"/>
    <tableColumn id="6123" xr3:uid="{8A6B559D-902B-4FE6-B545-8627E115719A}" name="Column6099" dataDxfId="10286"/>
    <tableColumn id="6124" xr3:uid="{698286B0-4046-401D-834A-F597958DBBB6}" name="Column6100" dataDxfId="10285"/>
    <tableColumn id="6125" xr3:uid="{30D2A105-FFF1-47E6-9872-764831E8B868}" name="Column6101" dataDxfId="10284"/>
    <tableColumn id="6126" xr3:uid="{BE818889-31E8-4412-9E91-FFA3767637E1}" name="Column6102" dataDxfId="10283"/>
    <tableColumn id="6127" xr3:uid="{DFEA2A1B-50A3-4CF1-B2DD-23AAED677052}" name="Column6103" dataDxfId="10282"/>
    <tableColumn id="6128" xr3:uid="{B67C54B1-AB24-4D6A-8802-4F7B7AE52045}" name="Column6104" dataDxfId="10281"/>
    <tableColumn id="6129" xr3:uid="{5061BF28-004F-4AD6-A30E-70755C3F153A}" name="Column6105" dataDxfId="10280"/>
    <tableColumn id="6130" xr3:uid="{C4F63C6A-5662-4589-87A0-5FF39533A0B0}" name="Column6106" dataDxfId="10279"/>
    <tableColumn id="6131" xr3:uid="{358E0224-8A20-45E9-9216-61A7E4BD10B6}" name="Column6107" dataDxfId="10278"/>
    <tableColumn id="6132" xr3:uid="{9563FC09-F15A-4F6B-9995-46321CC1D853}" name="Column6108" dataDxfId="10277"/>
    <tableColumn id="6133" xr3:uid="{DFECB2F4-86A9-4578-B8B6-5250B3D9C380}" name="Column6109" dataDxfId="10276"/>
    <tableColumn id="6134" xr3:uid="{12B9306A-DCD3-41D0-A038-457E554EB698}" name="Column6110" dataDxfId="10275"/>
    <tableColumn id="6135" xr3:uid="{FC636FFB-B052-4E47-BA2E-CB1A8124F3D6}" name="Column6111" dataDxfId="10274"/>
    <tableColumn id="6136" xr3:uid="{1EC58E27-DEBB-4851-BA5B-5A6E5ED9EDEA}" name="Column6112" dataDxfId="10273"/>
    <tableColumn id="6137" xr3:uid="{520CBD84-2F89-4BCB-952B-54C0C06DC0EB}" name="Column6113" dataDxfId="10272"/>
    <tableColumn id="6138" xr3:uid="{C5F82635-2A00-4871-8D16-FB16D8FB1B15}" name="Column6114" dataDxfId="10271"/>
    <tableColumn id="6139" xr3:uid="{FD95CC34-D070-462B-B849-B7CD42FFC3E8}" name="Column6115" dataDxfId="10270"/>
    <tableColumn id="6140" xr3:uid="{153C9A9E-C21C-4D29-A9CF-D8D030C41339}" name="Column6116" dataDxfId="10269"/>
    <tableColumn id="6141" xr3:uid="{A4597D64-63B8-4144-862D-D6B0A62BCE61}" name="Column6117" dataDxfId="10268"/>
    <tableColumn id="6142" xr3:uid="{0E7C16B7-B517-464A-B7FD-63B005E50BBB}" name="Column6118" dataDxfId="10267"/>
    <tableColumn id="6143" xr3:uid="{B84BC367-80F2-4895-9A16-1AA529A366C1}" name="Column6119" dataDxfId="10266"/>
    <tableColumn id="6144" xr3:uid="{652C2727-4F7E-4B27-9A1C-F232162BFCC7}" name="Column6120" dataDxfId="10265"/>
    <tableColumn id="6145" xr3:uid="{88328C22-1AC6-4AB3-9E2A-9CE9926E7B9E}" name="Column6121" dataDxfId="10264"/>
    <tableColumn id="6146" xr3:uid="{59FAB0E4-B9B3-4E53-8BF3-F967D1C99CAB}" name="Column6122" dataDxfId="10263"/>
    <tableColumn id="6147" xr3:uid="{11ABA08E-C199-48C2-A3FF-7F29AA915C0E}" name="Column6123" dataDxfId="10262"/>
    <tableColumn id="6148" xr3:uid="{85B1121F-95D7-4045-8AD5-A4C00E128FDF}" name="Column6124" dataDxfId="10261"/>
    <tableColumn id="6149" xr3:uid="{7B8109F3-9B2A-4ACE-BEB4-9105C89F7C32}" name="Column6125" dataDxfId="10260"/>
    <tableColumn id="6150" xr3:uid="{1A8C7553-3268-4AE7-A5FD-387E2579C4D6}" name="Column6126" dataDxfId="10259"/>
    <tableColumn id="6151" xr3:uid="{AA9E0F91-C402-4DF2-8FC0-C0FDD50C1D53}" name="Column6127" dataDxfId="10258"/>
    <tableColumn id="6152" xr3:uid="{C528472A-FD1B-4239-A97F-B35DD376EE6D}" name="Column6128" dataDxfId="10257"/>
    <tableColumn id="6153" xr3:uid="{06B3BB75-970B-45C0-B158-E5E9896F8AF4}" name="Column6129" dataDxfId="10256"/>
    <tableColumn id="6154" xr3:uid="{8DB8EBF0-FF0B-4A84-9628-BF8662501F4F}" name="Column6130" dataDxfId="10255"/>
    <tableColumn id="6155" xr3:uid="{4BFCF450-D80A-4A64-8363-BE7FB3F6B488}" name="Column6131" dataDxfId="10254"/>
    <tableColumn id="6156" xr3:uid="{6D135F3C-CEC0-411D-A5EA-FF8333240BF9}" name="Column6132" dataDxfId="10253"/>
    <tableColumn id="6157" xr3:uid="{031A1ACD-C5DE-4CA0-98EC-6CFBC52EBB48}" name="Column6133" dataDxfId="10252"/>
    <tableColumn id="6158" xr3:uid="{00F36EE8-50FD-4FD1-9DC8-1FCD693A983F}" name="Column6134" dataDxfId="10251"/>
    <tableColumn id="6159" xr3:uid="{07AD6AA9-B659-4BC4-8995-D4CEFBB63E27}" name="Column6135" dataDxfId="10250"/>
    <tableColumn id="6160" xr3:uid="{8A8B31DE-2D1B-4971-9786-27BF6914B375}" name="Column6136" dataDxfId="10249"/>
    <tableColumn id="6161" xr3:uid="{87834897-5FA9-4EFE-A8CE-678235D207BD}" name="Column6137" dataDxfId="10248"/>
    <tableColumn id="6162" xr3:uid="{224EC993-CD89-4698-822D-9655A523C195}" name="Column6138" dataDxfId="10247"/>
    <tableColumn id="6163" xr3:uid="{E876384A-0850-4148-8684-89CF6FB0526E}" name="Column6139" dataDxfId="10246"/>
    <tableColumn id="6164" xr3:uid="{4F7F7C7B-BC34-4A0C-ADDB-15202983B772}" name="Column6140" dataDxfId="10245"/>
    <tableColumn id="6165" xr3:uid="{9611BDC4-EA16-4160-A38A-4CCA1D454188}" name="Column6141" dataDxfId="10244"/>
    <tableColumn id="6166" xr3:uid="{9AF2DDDF-E19A-4F65-B198-AAF628C58077}" name="Column6142" dataDxfId="10243"/>
    <tableColumn id="6167" xr3:uid="{A4C314C5-BA60-4ED7-87B2-F60C7A341BC7}" name="Column6143" dataDxfId="10242"/>
    <tableColumn id="6168" xr3:uid="{98A1DFF1-DA1C-47A6-A4A1-17069EE0C03A}" name="Column6144" dataDxfId="10241"/>
    <tableColumn id="6169" xr3:uid="{068F78FD-D3BC-4858-A5A1-01C22CA59C5E}" name="Column6145" dataDxfId="10240"/>
    <tableColumn id="6170" xr3:uid="{703E9F77-FB13-4F3D-8E89-1A2EFC476D01}" name="Column6146" dataDxfId="10239"/>
    <tableColumn id="6171" xr3:uid="{5FA30E7B-75AC-4C3D-B0D9-644486889549}" name="Column6147" dataDxfId="10238"/>
    <tableColumn id="6172" xr3:uid="{52C0E694-5D5B-4C0D-B9B9-B9E388B0A498}" name="Column6148" dataDxfId="10237"/>
    <tableColumn id="6173" xr3:uid="{D69E03D1-3F5F-4205-BE7E-DDFAC79FAE72}" name="Column6149" dataDxfId="10236"/>
    <tableColumn id="6174" xr3:uid="{02E4BEFB-E99C-4F95-975C-1F8789C5FCE0}" name="Column6150" dataDxfId="10235"/>
    <tableColumn id="6175" xr3:uid="{624D96E9-F9F7-4F6F-AD7B-4A537DE49C86}" name="Column6151" dataDxfId="10234"/>
    <tableColumn id="6176" xr3:uid="{2B07FBB2-2BF7-486F-A21C-C6D7BFEA0960}" name="Column6152" dataDxfId="10233"/>
    <tableColumn id="6177" xr3:uid="{1D747F6C-1F06-4732-8A03-8F1586168267}" name="Column6153" dataDxfId="10232"/>
    <tableColumn id="6178" xr3:uid="{5BCB00BB-59F8-43BF-9665-74AF76151E55}" name="Column6154" dataDxfId="10231"/>
    <tableColumn id="6179" xr3:uid="{844E5664-0415-4F65-BC64-A01597A415D7}" name="Column6155" dataDxfId="10230"/>
    <tableColumn id="6180" xr3:uid="{D1F19868-FAFF-4B80-8C09-D09D201D85E8}" name="Column6156" dataDxfId="10229"/>
    <tableColumn id="6181" xr3:uid="{292779CC-1CCC-41E6-A253-D9A8823A45B8}" name="Column6157" dataDxfId="10228"/>
    <tableColumn id="6182" xr3:uid="{C2BC4EA9-BF73-47F1-9E68-1824681C9C5A}" name="Column6158" dataDxfId="10227"/>
    <tableColumn id="6183" xr3:uid="{EBBD8DE9-B181-4687-AF65-D7028FE6A8CB}" name="Column6159" dataDxfId="10226"/>
    <tableColumn id="6184" xr3:uid="{B0ADB6D3-10B2-4E53-923C-445F68DEF6B0}" name="Column6160" dataDxfId="10225"/>
    <tableColumn id="6185" xr3:uid="{8B1CAB18-F38C-4A54-9822-EF56A243C0F7}" name="Column6161" dataDxfId="10224"/>
    <tableColumn id="6186" xr3:uid="{5EA75236-65F1-43F3-938F-51F573850239}" name="Column6162" dataDxfId="10223"/>
    <tableColumn id="6187" xr3:uid="{C892CCA4-F1ED-44AB-970A-07DA30CA4492}" name="Column6163" dataDxfId="10222"/>
    <tableColumn id="6188" xr3:uid="{D3CA9F03-6792-47D5-BD75-CA4B965C84B0}" name="Column6164" dataDxfId="10221"/>
    <tableColumn id="6189" xr3:uid="{4112351A-D917-4866-A123-7C75E32C6309}" name="Column6165" dataDxfId="10220"/>
    <tableColumn id="6190" xr3:uid="{1113F779-2CF7-4AFB-9A33-163390982D29}" name="Column6166" dataDxfId="10219"/>
    <tableColumn id="6191" xr3:uid="{7C37D82A-FCD1-49AC-AC5F-4353367EE7BB}" name="Column6167" dataDxfId="10218"/>
    <tableColumn id="6192" xr3:uid="{F207820A-0879-456D-9FB3-B504C6A30F14}" name="Column6168" dataDxfId="10217"/>
    <tableColumn id="6193" xr3:uid="{2EEA9529-5D8A-4403-B62B-1FCAE4DBB399}" name="Column6169" dataDxfId="10216"/>
    <tableColumn id="6194" xr3:uid="{8FC14503-40E9-4FEE-B09B-F5DFFC36C719}" name="Column6170" dataDxfId="10215"/>
    <tableColumn id="6195" xr3:uid="{AE8895DD-EA12-46CD-9FF3-66F82AEB108A}" name="Column6171" dataDxfId="10214"/>
    <tableColumn id="6196" xr3:uid="{F2EEE23F-A94F-4E38-918B-9E105761FC41}" name="Column6172" dataDxfId="10213"/>
    <tableColumn id="6197" xr3:uid="{82218B28-B6C3-4A69-9BFC-A8E733F41ED5}" name="Column6173" dataDxfId="10212"/>
    <tableColumn id="6198" xr3:uid="{75EB2B34-D096-4502-A9DE-ED9D69277B3A}" name="Column6174" dataDxfId="10211"/>
    <tableColumn id="6199" xr3:uid="{299E76E9-7C22-4F8D-8A8D-429D9AB9E07B}" name="Column6175" dataDxfId="10210"/>
    <tableColumn id="6200" xr3:uid="{1AD4CDA5-66A1-4744-B835-877599EDA281}" name="Column6176" dataDxfId="10209"/>
    <tableColumn id="6201" xr3:uid="{6689DB6B-0721-4EF8-90AA-35F7BD54917D}" name="Column6177" dataDxfId="10208"/>
    <tableColumn id="6202" xr3:uid="{F8201ECB-AD27-4CFB-B926-F934D7D5C6F9}" name="Column6178" dataDxfId="10207"/>
    <tableColumn id="6203" xr3:uid="{5A64DD1F-F19C-4343-97B2-651E0B9EA7C9}" name="Column6179" dataDxfId="10206"/>
    <tableColumn id="6204" xr3:uid="{61BA645C-1757-402B-84A4-C3E6E9F4AB0B}" name="Column6180" dataDxfId="10205"/>
    <tableColumn id="6205" xr3:uid="{69DE85B3-AFA8-46C3-BAE8-EE670295FE6D}" name="Column6181" dataDxfId="10204"/>
    <tableColumn id="6206" xr3:uid="{5FC4CB4F-7F76-4704-9196-FD4576FF410B}" name="Column6182" dataDxfId="10203"/>
    <tableColumn id="6207" xr3:uid="{B8D87BD4-1F9B-4071-B4C7-41459E1E1BAD}" name="Column6183" dataDxfId="10202"/>
    <tableColumn id="6208" xr3:uid="{745EFC9B-E75A-49CB-A4A6-EF5CC7758408}" name="Column6184" dataDxfId="10201"/>
    <tableColumn id="6209" xr3:uid="{A84E64A4-EF1D-48E8-BF97-AFB8B494AC89}" name="Column6185" dataDxfId="10200"/>
    <tableColumn id="6210" xr3:uid="{0A8B24F9-83FD-4850-8132-B5F4F4100E1F}" name="Column6186" dataDxfId="10199"/>
    <tableColumn id="6211" xr3:uid="{BDB90B47-F698-4A95-8D8D-8B2A93AC36B7}" name="Column6187" dataDxfId="10198"/>
    <tableColumn id="6212" xr3:uid="{961BEBDA-95F7-460D-9BC6-8CB370B76690}" name="Column6188" dataDxfId="10197"/>
    <tableColumn id="6213" xr3:uid="{332F3826-CD58-4BC8-80AC-254446418926}" name="Column6189" dataDxfId="10196"/>
    <tableColumn id="6214" xr3:uid="{977E5B24-203B-47E0-8DDF-97C151F7006B}" name="Column6190" dataDxfId="10195"/>
    <tableColumn id="6215" xr3:uid="{5FBF75A3-3982-400E-BD25-854B95E0FA1F}" name="Column6191" dataDxfId="10194"/>
    <tableColumn id="6216" xr3:uid="{539BF7CB-4065-42C6-BA28-CD32DA3B538A}" name="Column6192" dataDxfId="10193"/>
    <tableColumn id="6217" xr3:uid="{5A3ED604-DEA6-4F48-94CA-A6A850C4F07A}" name="Column6193" dataDxfId="10192"/>
    <tableColumn id="6218" xr3:uid="{C76DE563-1421-419E-AF80-B3344E08A226}" name="Column6194" dataDxfId="10191"/>
    <tableColumn id="6219" xr3:uid="{2DFC94BD-AF8A-4032-84E5-67F0C62887D3}" name="Column6195" dataDxfId="10190"/>
    <tableColumn id="6220" xr3:uid="{6F94FF7D-B124-4C9F-BE0E-4AD60D6F9168}" name="Column6196" dataDxfId="10189"/>
    <tableColumn id="6221" xr3:uid="{4BCDD521-1514-4135-972E-8C48EB287085}" name="Column6197" dataDxfId="10188"/>
    <tableColumn id="6222" xr3:uid="{12E69378-3B80-466E-82F1-4A1219EB1316}" name="Column6198" dataDxfId="10187"/>
    <tableColumn id="6223" xr3:uid="{749A463B-F132-4160-9C4B-17E5D564FC13}" name="Column6199" dataDxfId="10186"/>
    <tableColumn id="6224" xr3:uid="{9DEFF404-1C9E-4B79-B678-CFE8F023DADB}" name="Column6200" dataDxfId="10185"/>
    <tableColumn id="6225" xr3:uid="{C494784A-F520-47DE-87C4-6C54B84ACE9A}" name="Column6201" dataDxfId="10184"/>
    <tableColumn id="6226" xr3:uid="{D21AF99B-53BB-46DD-8348-0014CA6E1D25}" name="Column6202" dataDxfId="10183"/>
    <tableColumn id="6227" xr3:uid="{057597B9-8DEC-4A30-A4DA-FDECC30C20ED}" name="Column6203" dataDxfId="10182"/>
    <tableColumn id="6228" xr3:uid="{F938398A-8424-4FE9-8B4C-1A7DDB29B752}" name="Column6204" dataDxfId="10181"/>
    <tableColumn id="6229" xr3:uid="{86D0BBF1-693A-4414-A2C7-3D7F929EEBE1}" name="Column6205" dataDxfId="10180"/>
    <tableColumn id="6230" xr3:uid="{A300C1D7-9284-48C1-9904-1F227A0233A4}" name="Column6206" dataDxfId="10179"/>
    <tableColumn id="6231" xr3:uid="{BD8E36A0-951C-4506-A99A-348A1D7ABABD}" name="Column6207" dataDxfId="10178"/>
    <tableColumn id="6232" xr3:uid="{A9B0F7F2-0FC8-4AB0-84F8-A6A59FE70985}" name="Column6208" dataDxfId="10177"/>
    <tableColumn id="6233" xr3:uid="{5A11670C-600E-448B-B4B6-F9B704584FB9}" name="Column6209" dataDxfId="10176"/>
    <tableColumn id="6234" xr3:uid="{4F27C2A2-3516-4866-BD29-4CB57C8E3FC0}" name="Column6210" dataDxfId="10175"/>
    <tableColumn id="6235" xr3:uid="{A4589C38-F755-454A-AD2C-3417A3947B5A}" name="Column6211" dataDxfId="10174"/>
    <tableColumn id="6236" xr3:uid="{54743C16-F17C-46B2-8D70-F5D5AD9D8F66}" name="Column6212" dataDxfId="10173"/>
    <tableColumn id="6237" xr3:uid="{BB93F25A-C264-4C5D-8F7A-6A319C2BD403}" name="Column6213" dataDxfId="10172"/>
    <tableColumn id="6238" xr3:uid="{FCF4882A-0AA2-4D68-9332-57BECCDCAC87}" name="Column6214" dataDxfId="10171"/>
    <tableColumn id="6239" xr3:uid="{661DE2FB-5FD7-483D-B5FE-B7FFF51693A3}" name="Column6215" dataDxfId="10170"/>
    <tableColumn id="6240" xr3:uid="{CB7F6770-E344-4FEF-A2C1-BBFDF57F7EBB}" name="Column6216" dataDxfId="10169"/>
    <tableColumn id="6241" xr3:uid="{1B73EBAE-BC4A-4D8B-A3FC-6D68C72D9A09}" name="Column6217" dataDxfId="10168"/>
    <tableColumn id="6242" xr3:uid="{28DAC1CC-9D58-48ED-B65F-A388B2986940}" name="Column6218" dataDxfId="10167"/>
    <tableColumn id="6243" xr3:uid="{9DA594EE-1E88-4456-9048-4F8EF6F69B5E}" name="Column6219" dataDxfId="10166"/>
    <tableColumn id="6244" xr3:uid="{653A1BB5-9CE9-44FA-90C3-F397452FA15D}" name="Column6220" dataDxfId="10165"/>
    <tableColumn id="6245" xr3:uid="{7CC5AE7B-F880-41D3-B8C3-BA1726E57058}" name="Column6221" dataDxfId="10164"/>
    <tableColumn id="6246" xr3:uid="{F6BD5EE1-C622-48D7-8D1D-995A89936DCD}" name="Column6222" dataDxfId="10163"/>
    <tableColumn id="6247" xr3:uid="{8314BC6C-C7F5-4AEA-9D68-1788058C9752}" name="Column6223" dataDxfId="10162"/>
    <tableColumn id="6248" xr3:uid="{D0A44499-15EB-4A60-B6E4-0FB32685ADF0}" name="Column6224" dataDxfId="10161"/>
    <tableColumn id="6249" xr3:uid="{C26EF78D-76DA-445B-BC85-5E4213286A00}" name="Column6225" dataDxfId="10160"/>
    <tableColumn id="6250" xr3:uid="{2791CD16-293A-41ED-BAF9-A4227F5B87B9}" name="Column6226" dataDxfId="10159"/>
    <tableColumn id="6251" xr3:uid="{5CE31A3F-69F3-4222-AB5C-B3BE0D668D59}" name="Column6227" dataDxfId="10158"/>
    <tableColumn id="6252" xr3:uid="{675EBA62-CD96-42D3-9E35-6475F80AC2A6}" name="Column6228" dataDxfId="10157"/>
    <tableColumn id="6253" xr3:uid="{3278145D-8FA8-45BA-98A8-9EE207548A45}" name="Column6229" dataDxfId="10156"/>
    <tableColumn id="6254" xr3:uid="{C42904AA-DD90-4BA6-B524-3CABAE0E0EF9}" name="Column6230" dataDxfId="10155"/>
    <tableColumn id="6255" xr3:uid="{E9A109D6-DF7D-41EB-9838-4D2F8B82A994}" name="Column6231" dataDxfId="10154"/>
    <tableColumn id="6256" xr3:uid="{A740E09D-9199-434E-95C4-2A79B66C926B}" name="Column6232" dataDxfId="10153"/>
    <tableColumn id="6257" xr3:uid="{D64769DD-DEAE-4D47-9891-179281F6BF84}" name="Column6233" dataDxfId="10152"/>
    <tableColumn id="6258" xr3:uid="{AAD6958A-252A-416A-A2B2-101ACB0EE4F9}" name="Column6234" dataDxfId="10151"/>
    <tableColumn id="6259" xr3:uid="{FF0A4343-DF2A-47BD-BC2B-DDF9FB399552}" name="Column6235" dataDxfId="10150"/>
    <tableColumn id="6260" xr3:uid="{198990D6-4FA3-4595-9C19-E6F2135A0A6F}" name="Column6236" dataDxfId="10149"/>
    <tableColumn id="6261" xr3:uid="{3144F40C-95D5-4AF2-BD51-64FB04A70ECC}" name="Column6237" dataDxfId="10148"/>
    <tableColumn id="6262" xr3:uid="{7C9ACB8C-A5A5-4F12-A341-E3B79716C47B}" name="Column6238" dataDxfId="10147"/>
    <tableColumn id="6263" xr3:uid="{506DB015-DBDB-4D78-AC1C-F0AC0F478DD4}" name="Column6239" dataDxfId="10146"/>
    <tableColumn id="6264" xr3:uid="{584E0B85-E701-4184-A2AF-2C3A5B833E0F}" name="Column6240" dataDxfId="10145"/>
    <tableColumn id="6265" xr3:uid="{F9C2085D-87E6-490D-ACCB-73E9DB81148C}" name="Column6241" dataDxfId="10144"/>
    <tableColumn id="6266" xr3:uid="{94598513-84D0-42A5-8130-055BD34E376E}" name="Column6242" dataDxfId="10143"/>
    <tableColumn id="6267" xr3:uid="{AEDE64CA-F064-4C42-94CE-4FC7999CBC9A}" name="Column6243" dataDxfId="10142"/>
    <tableColumn id="6268" xr3:uid="{8307F88C-1A8D-4BBC-A6FD-0B0C1A0E8442}" name="Column6244" dataDxfId="10141"/>
    <tableColumn id="6269" xr3:uid="{0A3EAF5E-94CE-4C3F-BE38-EE6186ED3EF6}" name="Column6245" dataDxfId="10140"/>
    <tableColumn id="6270" xr3:uid="{4130D82A-4E93-4ADC-8345-E194930E8CFB}" name="Column6246" dataDxfId="10139"/>
    <tableColumn id="6271" xr3:uid="{9C652DFF-E4AB-4C2C-99A0-2FC0DCF91A21}" name="Column6247" dataDxfId="10138"/>
    <tableColumn id="6272" xr3:uid="{1358B644-FFAE-47CB-8F21-37EA2AF41667}" name="Column6248" dataDxfId="10137"/>
    <tableColumn id="6273" xr3:uid="{19C9A46B-B051-4332-B661-9CC460461FBD}" name="Column6249" dataDxfId="10136"/>
    <tableColumn id="6274" xr3:uid="{5454EA99-374D-468D-9E6B-90753F29E959}" name="Column6250" dataDxfId="10135"/>
    <tableColumn id="6275" xr3:uid="{5354CAD0-5663-4CD9-9039-8CE82EB3CF28}" name="Column6251" dataDxfId="10134"/>
    <tableColumn id="6276" xr3:uid="{DF4C9A69-454B-4969-8811-A4681A35F3CE}" name="Column6252" dataDxfId="10133"/>
    <tableColumn id="6277" xr3:uid="{83EC587B-3404-433E-BB0C-BFB93170059C}" name="Column6253" dataDxfId="10132"/>
    <tableColumn id="6278" xr3:uid="{2DEAECB2-C55F-4B6B-9E21-32D5E332990D}" name="Column6254" dataDxfId="10131"/>
    <tableColumn id="6279" xr3:uid="{93290CB4-481A-45F4-B83F-2F88DCDFBD44}" name="Column6255" dataDxfId="10130"/>
    <tableColumn id="6280" xr3:uid="{0BD6D1D7-264B-4328-AB46-6C84D00B55BB}" name="Column6256" dataDxfId="10129"/>
    <tableColumn id="6281" xr3:uid="{A110D66A-1B99-4BC1-BCC0-63BA0D72059F}" name="Column6257" dataDxfId="10128"/>
    <tableColumn id="6282" xr3:uid="{C2C97D65-B84E-4190-AF97-D81559E63534}" name="Column6258" dataDxfId="10127"/>
    <tableColumn id="6283" xr3:uid="{11A6B659-88CE-46C6-BF39-EBA408009652}" name="Column6259" dataDxfId="10126"/>
    <tableColumn id="6284" xr3:uid="{C1D2B609-98A1-4030-961A-FB4DA5E36948}" name="Column6260" dataDxfId="10125"/>
    <tableColumn id="6285" xr3:uid="{CC8C7E84-C01C-4847-B0EE-2B488EF35209}" name="Column6261" dataDxfId="10124"/>
    <tableColumn id="6286" xr3:uid="{DAC3F6B1-EE9F-4484-AE61-B89E3D850FD9}" name="Column6262" dataDxfId="10123"/>
    <tableColumn id="6287" xr3:uid="{698B1550-4394-4EA4-B3BB-94E0CDB34F73}" name="Column6263" dataDxfId="10122"/>
    <tableColumn id="6288" xr3:uid="{A3F085DF-084E-4563-B171-C96474FDB4AF}" name="Column6264" dataDxfId="10121"/>
    <tableColumn id="6289" xr3:uid="{A9328704-7A42-4F74-9CD5-A8A3BF9DCA63}" name="Column6265" dataDxfId="10120"/>
    <tableColumn id="6290" xr3:uid="{F2676855-14C4-40CD-85FD-D60F175F0137}" name="Column6266" dataDxfId="10119"/>
    <tableColumn id="6291" xr3:uid="{A6C68EE0-1844-4629-B9D3-94E047197580}" name="Column6267" dataDxfId="10118"/>
    <tableColumn id="6292" xr3:uid="{F5852155-186F-4B77-B4FB-C0E289F8E020}" name="Column6268" dataDxfId="10117"/>
    <tableColumn id="6293" xr3:uid="{C69D0F13-FDB6-45DB-8C7B-14BF560F6B02}" name="Column6269" dataDxfId="10116"/>
    <tableColumn id="6294" xr3:uid="{B99A40BC-32FF-4E8E-B10A-6FAC9D5D9C03}" name="Column6270" dataDxfId="10115"/>
    <tableColumn id="6295" xr3:uid="{6E207F03-1BA1-4E60-800A-A99F463B5C3A}" name="Column6271" dataDxfId="10114"/>
    <tableColumn id="6296" xr3:uid="{D4F56D74-BD57-4490-808A-2C509122A403}" name="Column6272" dataDxfId="10113"/>
    <tableColumn id="6297" xr3:uid="{8721BCC9-F29A-4977-B552-B11631F259A3}" name="Column6273" dataDxfId="10112"/>
    <tableColumn id="6298" xr3:uid="{9B594F02-4E56-434B-A921-9DFA8478EA13}" name="Column6274" dataDxfId="10111"/>
    <tableColumn id="6299" xr3:uid="{2E666D0E-B5A2-419C-84C1-F95EE01D8995}" name="Column6275" dataDxfId="10110"/>
    <tableColumn id="6300" xr3:uid="{5D18D555-F62C-428D-BEB8-D92552E95068}" name="Column6276" dataDxfId="10109"/>
    <tableColumn id="6301" xr3:uid="{56A9344D-413C-422E-8CBE-61BC5CC6B2CE}" name="Column6277" dataDxfId="10108"/>
    <tableColumn id="6302" xr3:uid="{8DA1EE7A-873F-474A-AD6D-D2DCEB3C40FF}" name="Column6278" dataDxfId="10107"/>
    <tableColumn id="6303" xr3:uid="{4DF065C9-07D5-4531-892C-E9DC99F13802}" name="Column6279" dataDxfId="10106"/>
    <tableColumn id="6304" xr3:uid="{BFBD694A-5A38-44EF-811C-059FE99C4BF4}" name="Column6280" dataDxfId="10105"/>
    <tableColumn id="6305" xr3:uid="{1ADC9394-7B25-4081-9805-60E17B98F2AC}" name="Column6281" dataDxfId="10104"/>
    <tableColumn id="6306" xr3:uid="{F78479DB-B8A9-458C-8069-B4270F1429BA}" name="Column6282" dataDxfId="10103"/>
    <tableColumn id="6307" xr3:uid="{FC6FC7BB-821B-4F37-99E8-8EE52B16FE83}" name="Column6283" dataDxfId="10102"/>
    <tableColumn id="6308" xr3:uid="{75F36FC8-0E02-4C0B-88A7-620834DBA887}" name="Column6284" dataDxfId="10101"/>
    <tableColumn id="6309" xr3:uid="{4E9993B2-91D5-46AE-B85D-9B4343464D75}" name="Column6285" dataDxfId="10100"/>
    <tableColumn id="6310" xr3:uid="{A0C31CA8-811F-4C56-ABC8-D457E55D47C5}" name="Column6286" dataDxfId="10099"/>
    <tableColumn id="6311" xr3:uid="{AEDC840A-3802-478C-A6DB-A9819889512F}" name="Column6287" dataDxfId="10098"/>
    <tableColumn id="6312" xr3:uid="{F793C31B-D7A1-4C3A-A0C4-032BF6CDD543}" name="Column6288" dataDxfId="10097"/>
    <tableColumn id="6313" xr3:uid="{1AFD6422-5D08-49C5-8C93-E5A61569FFD8}" name="Column6289" dataDxfId="10096"/>
    <tableColumn id="6314" xr3:uid="{9C9DD5E5-9420-4413-ACDC-E51BCF727B39}" name="Column6290" dataDxfId="10095"/>
    <tableColumn id="6315" xr3:uid="{A098A16E-D256-47C3-A3B5-858F9DBF376B}" name="Column6291" dataDxfId="10094"/>
    <tableColumn id="6316" xr3:uid="{4DF4DEC7-EC88-4C1C-998F-D5192D2B6A70}" name="Column6292" dataDxfId="10093"/>
    <tableColumn id="6317" xr3:uid="{9C3DC0F1-2C14-4C28-A29F-01FB96807EF7}" name="Column6293" dataDxfId="10092"/>
    <tableColumn id="6318" xr3:uid="{19BA6FC8-F22A-49AA-9305-4951CE3DD28A}" name="Column6294" dataDxfId="10091"/>
    <tableColumn id="6319" xr3:uid="{B8ADDB83-2423-4AAA-A37C-9033795940B1}" name="Column6295" dataDxfId="10090"/>
    <tableColumn id="6320" xr3:uid="{E71A72C9-039D-4FA5-A81C-5D3A04669D87}" name="Column6296" dataDxfId="10089"/>
    <tableColumn id="6321" xr3:uid="{FE5192B7-848D-4D1B-893E-66D0C82CAC78}" name="Column6297" dataDxfId="10088"/>
    <tableColumn id="6322" xr3:uid="{1D8FECB1-863F-4312-9BF2-D7F8CFFCC2ED}" name="Column6298" dataDxfId="10087"/>
    <tableColumn id="6323" xr3:uid="{984D80EA-0483-4D01-A15B-BF0CBB490CF1}" name="Column6299" dataDxfId="10086"/>
    <tableColumn id="6324" xr3:uid="{E1D4356E-4F9D-4300-A3B5-70B364BD9293}" name="Column6300" dataDxfId="10085"/>
    <tableColumn id="6325" xr3:uid="{915E3BFC-1E13-4A93-8794-9767460A2859}" name="Column6301" dataDxfId="10084"/>
    <tableColumn id="6326" xr3:uid="{0D23A3FA-AA85-4767-AF5C-7374421BD937}" name="Column6302" dataDxfId="10083"/>
    <tableColumn id="6327" xr3:uid="{6B9CDA44-69A7-477C-8537-418B88F2424A}" name="Column6303" dataDxfId="10082"/>
    <tableColumn id="6328" xr3:uid="{6E1359CE-2170-4941-9365-079EBF1A4702}" name="Column6304" dataDxfId="10081"/>
    <tableColumn id="6329" xr3:uid="{36BBC806-CDEA-4CF1-A2C0-DE63452BC8D6}" name="Column6305" dataDxfId="10080"/>
    <tableColumn id="6330" xr3:uid="{9DA87B77-5FBE-41C7-91C0-193AE384D32C}" name="Column6306" dataDxfId="10079"/>
    <tableColumn id="6331" xr3:uid="{168ED985-682D-40E5-8D8F-48C64853F63D}" name="Column6307" dataDxfId="10078"/>
    <tableColumn id="6332" xr3:uid="{979F159D-DD83-42A6-A7D0-5339805435A6}" name="Column6308" dataDxfId="10077"/>
    <tableColumn id="6333" xr3:uid="{7C796220-7E34-413D-951C-ADD5008A98C2}" name="Column6309" dataDxfId="10076"/>
    <tableColumn id="6334" xr3:uid="{FB511CBC-C8B4-4266-BAFB-F3831D910C49}" name="Column6310" dataDxfId="10075"/>
    <tableColumn id="6335" xr3:uid="{F0A5269E-9F6D-4918-85B9-C4D5F4857151}" name="Column6311" dataDxfId="10074"/>
    <tableColumn id="6336" xr3:uid="{D71DF2F5-AD2E-4272-A06C-4A7DD3A020F6}" name="Column6312" dataDxfId="10073"/>
    <tableColumn id="6337" xr3:uid="{3876FBC6-73E4-45E7-98A4-B22D1A047F50}" name="Column6313" dataDxfId="10072"/>
    <tableColumn id="6338" xr3:uid="{788BEC1A-1DE4-4D66-8ADD-844DE6DF7087}" name="Column6314" dataDxfId="10071"/>
    <tableColumn id="6339" xr3:uid="{5E604BFB-A760-4309-90B0-7198C634D07D}" name="Column6315" dataDxfId="10070"/>
    <tableColumn id="6340" xr3:uid="{344FAEEF-FB36-4794-AAEA-4E0F23911EE1}" name="Column6316" dataDxfId="10069"/>
    <tableColumn id="6341" xr3:uid="{EB8E99E9-2D97-4753-AC31-5130CEE9BB15}" name="Column6317" dataDxfId="10068"/>
    <tableColumn id="6342" xr3:uid="{0433D519-3AB6-47BB-A630-BB8E7CDDB866}" name="Column6318" dataDxfId="10067"/>
    <tableColumn id="6343" xr3:uid="{4E954CA3-F51F-4A35-8CEB-CB7EF89F1843}" name="Column6319" dataDxfId="10066"/>
    <tableColumn id="6344" xr3:uid="{2A7B3CF7-8871-4EB8-A3CD-67495A0D94C3}" name="Column6320" dataDxfId="10065"/>
    <tableColumn id="6345" xr3:uid="{58F01B31-A0DE-4C4E-9C06-F0CDDDEA00A4}" name="Column6321" dataDxfId="10064"/>
    <tableColumn id="6346" xr3:uid="{93AC791D-CB31-4432-AC33-6834B2C314F4}" name="Column6322" dataDxfId="10063"/>
    <tableColumn id="6347" xr3:uid="{5AB676E3-C185-4B1A-893C-1B767747BD6B}" name="Column6323" dataDxfId="10062"/>
    <tableColumn id="6348" xr3:uid="{F32F10D4-5504-49DA-A253-32B801DBCD5E}" name="Column6324" dataDxfId="10061"/>
    <tableColumn id="6349" xr3:uid="{AC571C83-705F-46EA-9B6F-CDADBC71CCD6}" name="Column6325" dataDxfId="10060"/>
    <tableColumn id="6350" xr3:uid="{5062975C-75F1-48A6-8DCB-466289A689D1}" name="Column6326" dataDxfId="10059"/>
    <tableColumn id="6351" xr3:uid="{40370E18-FD65-4FFE-9913-99E230983069}" name="Column6327" dataDxfId="10058"/>
    <tableColumn id="6352" xr3:uid="{9BC8FA89-2937-4D87-ACC0-752E3BEE6B5F}" name="Column6328" dataDxfId="10057"/>
    <tableColumn id="6353" xr3:uid="{AF2FC072-2262-4E6E-ADA1-EAE6F59EA081}" name="Column6329" dataDxfId="10056"/>
    <tableColumn id="6354" xr3:uid="{C7B8B524-7E0D-4B7C-B000-266352E712C0}" name="Column6330" dataDxfId="10055"/>
    <tableColumn id="6355" xr3:uid="{E6240C59-297D-42E3-AE6E-0C80E0587F63}" name="Column6331" dataDxfId="10054"/>
    <tableColumn id="6356" xr3:uid="{3CC449BF-4E62-431C-8F8E-BAA732D576BC}" name="Column6332" dataDxfId="10053"/>
    <tableColumn id="6357" xr3:uid="{491FD41B-8372-465A-9E2D-08BD4EBA71DD}" name="Column6333" dataDxfId="10052"/>
    <tableColumn id="6358" xr3:uid="{EE307216-4C91-40B3-B817-304AD5BBCF66}" name="Column6334" dataDxfId="10051"/>
    <tableColumn id="6359" xr3:uid="{8F769B7E-33B4-4A62-97BE-2501F1790F01}" name="Column6335" dataDxfId="10050"/>
    <tableColumn id="6360" xr3:uid="{34E224F4-B833-4144-8664-BC0D5182F3A4}" name="Column6336" dataDxfId="10049"/>
    <tableColumn id="6361" xr3:uid="{14DA9EEF-C735-41AA-99CA-D31F6FA1AADF}" name="Column6337" dataDxfId="10048"/>
    <tableColumn id="6362" xr3:uid="{75EAF956-F2A1-458B-906D-18994D62BA0F}" name="Column6338" dataDxfId="10047"/>
    <tableColumn id="6363" xr3:uid="{95AD8047-D89A-4240-990D-EF9D1B9445E7}" name="Column6339" dataDxfId="10046"/>
    <tableColumn id="6364" xr3:uid="{FE31948B-0094-4102-8E0A-F53838EF1D89}" name="Column6340" dataDxfId="10045"/>
    <tableColumn id="6365" xr3:uid="{1A0556E2-EFEA-4639-888C-5D40F3A0BBA6}" name="Column6341" dataDxfId="10044"/>
    <tableColumn id="6366" xr3:uid="{F9BEC4DF-9139-4BE1-B8CF-684A3D986302}" name="Column6342" dataDxfId="10043"/>
    <tableColumn id="6367" xr3:uid="{5B0EFF4E-FE5C-408C-85FE-A800F2BB790E}" name="Column6343" dataDxfId="10042"/>
    <tableColumn id="6368" xr3:uid="{3584BA96-49A9-4955-B3F2-EE9D4CAB5C3C}" name="Column6344" dataDxfId="10041"/>
    <tableColumn id="6369" xr3:uid="{5038B81A-2687-48EE-A9BB-ECDD178AE816}" name="Column6345" dataDxfId="10040"/>
    <tableColumn id="6370" xr3:uid="{4A6F1505-947D-4890-AF5F-3E6BD5260514}" name="Column6346" dataDxfId="10039"/>
    <tableColumn id="6371" xr3:uid="{1AA6AA10-EB54-4195-B0E3-A09CD39FAB8E}" name="Column6347" dataDxfId="10038"/>
    <tableColumn id="6372" xr3:uid="{047FD5BB-DA1B-4769-B81A-E2B5EB5BD442}" name="Column6348" dataDxfId="10037"/>
    <tableColumn id="6373" xr3:uid="{D1D182D5-6DAA-47FA-85B7-2129A9B0A52D}" name="Column6349" dataDxfId="10036"/>
    <tableColumn id="6374" xr3:uid="{50ECE2FB-8D3C-4F8B-908D-68E9A01D937F}" name="Column6350" dataDxfId="10035"/>
    <tableColumn id="6375" xr3:uid="{E5DBB08C-76D6-4BB9-9445-1B583544424B}" name="Column6351" dataDxfId="10034"/>
    <tableColumn id="6376" xr3:uid="{17936D8D-9C4D-4136-B76F-F4FE6563DEA5}" name="Column6352" dataDxfId="10033"/>
    <tableColumn id="6377" xr3:uid="{F48C2474-3521-4C9B-84C4-CACD974910B5}" name="Column6353" dataDxfId="10032"/>
    <tableColumn id="6378" xr3:uid="{FAC85107-41B9-49BC-985F-404925687C70}" name="Column6354" dataDxfId="10031"/>
    <tableColumn id="6379" xr3:uid="{65FBF25D-9B4D-41BF-B965-417FA57D907A}" name="Column6355" dataDxfId="10030"/>
    <tableColumn id="6380" xr3:uid="{CBB29484-04BB-4E8B-8CEF-A07F00334AC8}" name="Column6356" dataDxfId="10029"/>
    <tableColumn id="6381" xr3:uid="{89CA8016-179D-493C-87C6-5DAD4642817E}" name="Column6357" dataDxfId="10028"/>
    <tableColumn id="6382" xr3:uid="{EDB6E7B4-FA6A-4D05-B9AD-8286A194FD60}" name="Column6358" dataDxfId="10027"/>
    <tableColumn id="6383" xr3:uid="{F9B51B66-C678-4E50-8E2C-D639EFBFBF70}" name="Column6359" dataDxfId="10026"/>
    <tableColumn id="6384" xr3:uid="{E2A72737-9EB6-4100-B0AB-86DC3067C728}" name="Column6360" dataDxfId="10025"/>
    <tableColumn id="6385" xr3:uid="{D9BF456B-1FC6-401E-A655-DC3F7867FDAC}" name="Column6361" dataDxfId="10024"/>
    <tableColumn id="6386" xr3:uid="{7D64F2A9-5CF6-4F5C-9D4B-F456BD441252}" name="Column6362" dataDxfId="10023"/>
    <tableColumn id="6387" xr3:uid="{5CB00EB5-FE54-4AC2-A7E4-9F6AE97F0457}" name="Column6363" dataDxfId="10022"/>
    <tableColumn id="6388" xr3:uid="{0070B984-F0E6-460C-AE10-D78EF0FE963C}" name="Column6364" dataDxfId="10021"/>
    <tableColumn id="6389" xr3:uid="{DFE8D3CE-22F8-4450-9793-91B1671D1BEA}" name="Column6365" dataDxfId="10020"/>
    <tableColumn id="6390" xr3:uid="{C124395D-477C-41A9-8B72-954B9CA182F5}" name="Column6366" dataDxfId="10019"/>
    <tableColumn id="6391" xr3:uid="{A1012EA0-7084-4471-A70C-91034189738C}" name="Column6367" dataDxfId="10018"/>
    <tableColumn id="6392" xr3:uid="{9A159032-EBC9-48D4-9452-BF42514AA2BC}" name="Column6368" dataDxfId="10017"/>
    <tableColumn id="6393" xr3:uid="{9C9DB5A5-E7D4-45D2-A56C-1389E7FF11BA}" name="Column6369" dataDxfId="10016"/>
    <tableColumn id="6394" xr3:uid="{2877485B-887D-45D4-9942-E6D15745A2F7}" name="Column6370" dataDxfId="10015"/>
    <tableColumn id="6395" xr3:uid="{FA171D2F-BACF-49D1-8917-6195658FC578}" name="Column6371" dataDxfId="10014"/>
    <tableColumn id="6396" xr3:uid="{0813A030-9AD0-40D0-8565-3E11C9113CC1}" name="Column6372" dataDxfId="10013"/>
    <tableColumn id="6397" xr3:uid="{C0E5A6CB-E224-4173-9642-E57633451F2F}" name="Column6373" dataDxfId="10012"/>
    <tableColumn id="6398" xr3:uid="{B5F184C3-CF7A-4BEA-B910-CD7FECCDFCC8}" name="Column6374" dataDxfId="10011"/>
    <tableColumn id="6399" xr3:uid="{41A000D0-A6A7-47DC-9562-F589E827DA4C}" name="Column6375" dataDxfId="10010"/>
    <tableColumn id="6400" xr3:uid="{E01A627C-0430-4D78-B54C-EEB250025E08}" name="Column6376" dataDxfId="10009"/>
    <tableColumn id="6401" xr3:uid="{F48E6908-F679-4C36-8351-2D2D79BCFFBA}" name="Column6377" dataDxfId="10008"/>
    <tableColumn id="6402" xr3:uid="{9E2AFC29-6916-42E8-B5F8-87380D2496C2}" name="Column6378" dataDxfId="10007"/>
    <tableColumn id="6403" xr3:uid="{67074CDF-A27E-42E3-85E2-129B2835D8F0}" name="Column6379" dataDxfId="10006"/>
    <tableColumn id="6404" xr3:uid="{1DE13B4C-79F1-49A9-A18B-BB2383D7ED4B}" name="Column6380" dataDxfId="10005"/>
    <tableColumn id="6405" xr3:uid="{F063F062-F274-4968-8C50-A073607D72BE}" name="Column6381" dataDxfId="10004"/>
    <tableColumn id="6406" xr3:uid="{F20519F8-CC81-4E2F-A6DA-741D892B2FF5}" name="Column6382" dataDxfId="10003"/>
    <tableColumn id="6407" xr3:uid="{F42AC388-B856-4FCE-B0A8-49890A24C376}" name="Column6383" dataDxfId="10002"/>
    <tableColumn id="6408" xr3:uid="{CAB884C0-F04E-4C7D-BFB5-AA4EFB6D08B2}" name="Column6384" dataDxfId="10001"/>
    <tableColumn id="6409" xr3:uid="{7664ED47-66FC-4A8E-8C6C-A584246D5F22}" name="Column6385" dataDxfId="10000"/>
    <tableColumn id="6410" xr3:uid="{6DFC56F0-8E5A-4899-B6B4-926E27BFB158}" name="Column6386" dataDxfId="9999"/>
    <tableColumn id="6411" xr3:uid="{E7AFC4E1-82C0-4B32-A816-DAB29F5DD186}" name="Column6387" dataDxfId="9998"/>
    <tableColumn id="6412" xr3:uid="{206E6F1C-4A37-41FB-A078-7CF31FF38A0E}" name="Column6388" dataDxfId="9997"/>
    <tableColumn id="6413" xr3:uid="{F5A6A2F9-0D5F-4C36-80E5-C8145734C939}" name="Column6389" dataDxfId="9996"/>
    <tableColumn id="6414" xr3:uid="{A4D49153-6E6B-459F-8C79-C14345F4F0D1}" name="Column6390" dataDxfId="9995"/>
    <tableColumn id="6415" xr3:uid="{126436B1-04D7-45FD-ADA0-888C43F2D63B}" name="Column6391" dataDxfId="9994"/>
    <tableColumn id="6416" xr3:uid="{21881906-43C0-41F4-A334-FD0C64AFB599}" name="Column6392" dataDxfId="9993"/>
    <tableColumn id="6417" xr3:uid="{F7753F47-7C7E-42D8-A083-C4A19EF18611}" name="Column6393" dataDxfId="9992"/>
    <tableColumn id="6418" xr3:uid="{6969F4E7-2CE2-4558-91B6-AAE8C1D5F990}" name="Column6394" dataDxfId="9991"/>
    <tableColumn id="6419" xr3:uid="{FB1B9986-EF02-4F00-85A0-0B484F6E6324}" name="Column6395" dataDxfId="9990"/>
    <tableColumn id="6420" xr3:uid="{E11D0BD9-CCEF-4C78-8881-9A0F5F6E131F}" name="Column6396" dataDxfId="9989"/>
    <tableColumn id="6421" xr3:uid="{6F0749E5-391D-4255-B0F8-98DD8FC07B24}" name="Column6397" dataDxfId="9988"/>
    <tableColumn id="6422" xr3:uid="{16F31044-CC21-492E-8AE4-63B1730DE7B2}" name="Column6398" dataDxfId="9987"/>
    <tableColumn id="6423" xr3:uid="{DA6249B1-40B0-459B-8436-B742A75FDBB4}" name="Column6399" dataDxfId="9986"/>
    <tableColumn id="6424" xr3:uid="{3E3D9AF7-8306-4217-8C40-F0D1444BE838}" name="Column6400" dataDxfId="9985"/>
    <tableColumn id="6425" xr3:uid="{8FBC8B08-AD2E-4FFC-9B4F-204C351ECE86}" name="Column6401" dataDxfId="9984"/>
    <tableColumn id="6426" xr3:uid="{924E0AC2-3F46-493F-A3CE-8054AE5640E9}" name="Column6402" dataDxfId="9983"/>
    <tableColumn id="6427" xr3:uid="{152759B0-C470-4E21-AE2E-2B44BC21D580}" name="Column6403" dataDxfId="9982"/>
    <tableColumn id="6428" xr3:uid="{8A644F58-D4D7-461E-A492-903B6DB16AA0}" name="Column6404" dataDxfId="9981"/>
    <tableColumn id="6429" xr3:uid="{A2873E91-6CF5-470F-A907-BF65759F7578}" name="Column6405" dataDxfId="9980"/>
    <tableColumn id="6430" xr3:uid="{15EB7F3B-6DEE-4404-A040-82EA2269160E}" name="Column6406" dataDxfId="9979"/>
    <tableColumn id="6431" xr3:uid="{91353E0C-3FE1-4DA9-ADC4-E31649587836}" name="Column6407" dataDxfId="9978"/>
    <tableColumn id="6432" xr3:uid="{3830BA58-E530-4B1C-8C8B-C96B1C63D72F}" name="Column6408" dataDxfId="9977"/>
    <tableColumn id="6433" xr3:uid="{D9D494C2-B255-4877-B3E1-0430D6B6B3A3}" name="Column6409" dataDxfId="9976"/>
    <tableColumn id="6434" xr3:uid="{865E8766-CC92-4D60-8C1C-EF4F8A96C983}" name="Column6410" dataDxfId="9975"/>
    <tableColumn id="6435" xr3:uid="{73AE3A8A-3952-4D02-B746-DD867BBA7715}" name="Column6411" dataDxfId="9974"/>
    <tableColumn id="6436" xr3:uid="{E57A919F-A4D6-4643-8936-B235C2D70CC3}" name="Column6412" dataDxfId="9973"/>
    <tableColumn id="6437" xr3:uid="{4AD90796-BD41-493A-AFDC-00734FEA3224}" name="Column6413" dataDxfId="9972"/>
    <tableColumn id="6438" xr3:uid="{5A9350E3-F2F1-4A88-962F-EF48C3C538A6}" name="Column6414" dataDxfId="9971"/>
    <tableColumn id="6439" xr3:uid="{0CFD810C-A8FE-42B8-A184-02C26C560102}" name="Column6415" dataDxfId="9970"/>
    <tableColumn id="6440" xr3:uid="{F945A150-BF85-420F-9898-BB601A30C027}" name="Column6416" dataDxfId="9969"/>
    <tableColumn id="6441" xr3:uid="{B6EE96CE-E9D4-4A46-B458-3419CBFADAD1}" name="Column6417" dataDxfId="9968"/>
    <tableColumn id="6442" xr3:uid="{027D93E6-5F74-42A1-B548-09CFA04B0676}" name="Column6418" dataDxfId="9967"/>
    <tableColumn id="6443" xr3:uid="{2EE8719C-CF68-435D-8878-5159E9868176}" name="Column6419" dataDxfId="9966"/>
    <tableColumn id="6444" xr3:uid="{34238E3A-7677-48EF-BDF3-A04251038266}" name="Column6420" dataDxfId="9965"/>
    <tableColumn id="6445" xr3:uid="{AEFF33C8-EAAB-49A5-9BFC-B936541A1539}" name="Column6421" dataDxfId="9964"/>
    <tableColumn id="6446" xr3:uid="{F769B928-47F2-433E-9248-A2FF3E13D284}" name="Column6422" dataDxfId="9963"/>
    <tableColumn id="6447" xr3:uid="{E2426C02-B51D-4251-B33B-F8C104A2CF44}" name="Column6423" dataDxfId="9962"/>
    <tableColumn id="6448" xr3:uid="{688A8AEF-A4D5-4172-AAED-A1FB3F427776}" name="Column6424" dataDxfId="9961"/>
    <tableColumn id="6449" xr3:uid="{794D53D5-737F-49FA-8BB3-D30848BC763D}" name="Column6425" dataDxfId="9960"/>
    <tableColumn id="6450" xr3:uid="{FC559A7E-6A1B-48BC-8515-97009B7E8939}" name="Column6426" dataDxfId="9959"/>
    <tableColumn id="6451" xr3:uid="{15B2449F-A276-409F-99EA-B5149888A01A}" name="Column6427" dataDxfId="9958"/>
    <tableColumn id="6452" xr3:uid="{1A2D8578-F386-4065-A13F-6083DB806F70}" name="Column6428" dataDxfId="9957"/>
    <tableColumn id="6453" xr3:uid="{C8BFCD7C-970A-48EE-96AE-A4AF12E45F7B}" name="Column6429" dataDxfId="9956"/>
    <tableColumn id="6454" xr3:uid="{E9619D25-8B19-4321-8166-3F838AC13E02}" name="Column6430" dataDxfId="9955"/>
    <tableColumn id="6455" xr3:uid="{79E9866E-C291-4CD7-9639-B80444671F62}" name="Column6431" dataDxfId="9954"/>
    <tableColumn id="6456" xr3:uid="{1AD1BC43-F4B8-40EF-8740-9A73C625C3E2}" name="Column6432" dataDxfId="9953"/>
    <tableColumn id="6457" xr3:uid="{3F962500-0715-43F1-A3F7-A49B2D121E6D}" name="Column6433" dataDxfId="9952"/>
    <tableColumn id="6458" xr3:uid="{DD049A3B-2F30-472A-A587-017381057F6B}" name="Column6434" dataDxfId="9951"/>
    <tableColumn id="6459" xr3:uid="{D1540382-F50F-4A74-A2F4-71250E1D70EC}" name="Column6435" dataDxfId="9950"/>
    <tableColumn id="6460" xr3:uid="{FD5D5F04-F052-4C6A-B86E-A659E7240FC4}" name="Column6436" dataDxfId="9949"/>
    <tableColumn id="6461" xr3:uid="{CBF72159-4B3B-4C77-B2A8-08BEED4E2CD8}" name="Column6437" dataDxfId="9948"/>
    <tableColumn id="6462" xr3:uid="{5820C799-1A7F-48FF-AA6C-4B0D22727D3D}" name="Column6438" dataDxfId="9947"/>
    <tableColumn id="6463" xr3:uid="{5675FF35-06DD-4D56-8CEF-E328862D14B3}" name="Column6439" dataDxfId="9946"/>
    <tableColumn id="6464" xr3:uid="{93B1CC21-2D2D-4E12-B6B8-8B49FB7D9E44}" name="Column6440" dataDxfId="9945"/>
    <tableColumn id="6465" xr3:uid="{2B86CEA3-61AB-479E-8D9E-EA4A2C30F9E3}" name="Column6441" dataDxfId="9944"/>
    <tableColumn id="6466" xr3:uid="{7F190F96-3A1C-4DF8-874E-54DF1C8118E3}" name="Column6442" dataDxfId="9943"/>
    <tableColumn id="6467" xr3:uid="{142E9F8A-C796-4D11-BCA7-5D94C44DE8BE}" name="Column6443" dataDxfId="9942"/>
    <tableColumn id="6468" xr3:uid="{B5E11E7C-819D-4485-8B9E-AEFB1096FA40}" name="Column6444" dataDxfId="9941"/>
    <tableColumn id="6469" xr3:uid="{E984ECB3-3C66-4989-8831-9BD4DFB21B75}" name="Column6445" dataDxfId="9940"/>
    <tableColumn id="6470" xr3:uid="{3E4E7ED2-8BEA-4475-81CA-C7991CFC0F81}" name="Column6446" dataDxfId="9939"/>
    <tableColumn id="6471" xr3:uid="{30E655DF-C5F4-4380-A8DD-4E62721A162E}" name="Column6447" dataDxfId="9938"/>
    <tableColumn id="6472" xr3:uid="{A206ED0D-33DD-4A59-90C7-E1E36BAD3304}" name="Column6448" dataDxfId="9937"/>
    <tableColumn id="6473" xr3:uid="{77EEFBD9-A4F5-4B58-BA16-6B38EB0A3211}" name="Column6449" dataDxfId="9936"/>
    <tableColumn id="6474" xr3:uid="{2A4B2B51-E39A-45D0-B10E-5D234C567809}" name="Column6450" dataDxfId="9935"/>
    <tableColumn id="6475" xr3:uid="{A5122A5C-A36A-46D8-ABF2-CEB4091BF77C}" name="Column6451" dataDxfId="9934"/>
    <tableColumn id="6476" xr3:uid="{60E825CF-98C8-4DD0-B775-AE4615400593}" name="Column6452" dataDxfId="9933"/>
    <tableColumn id="6477" xr3:uid="{4D78E654-8DE5-4B65-A48A-4A252429E535}" name="Column6453" dataDxfId="9932"/>
    <tableColumn id="6478" xr3:uid="{243AEAC4-3A2F-4564-978B-F05195241A10}" name="Column6454" dataDxfId="9931"/>
    <tableColumn id="6479" xr3:uid="{6F293704-778D-46BC-9EDA-2319DBC0064A}" name="Column6455" dataDxfId="9930"/>
    <tableColumn id="6480" xr3:uid="{D91F1F8D-BC06-4869-92A5-626DE9909D18}" name="Column6456" dataDxfId="9929"/>
    <tableColumn id="6481" xr3:uid="{2DD258D5-7B73-4491-8E6E-E791299D20C7}" name="Column6457" dataDxfId="9928"/>
    <tableColumn id="6482" xr3:uid="{3AB37C33-D5C7-496D-967F-FA41CEE62FF0}" name="Column6458" dataDxfId="9927"/>
    <tableColumn id="6483" xr3:uid="{D1C5AF8D-474C-4738-9B4F-A87B83327417}" name="Column6459" dataDxfId="9926"/>
    <tableColumn id="6484" xr3:uid="{93BEB751-3D0E-4A21-A310-986F2886D06D}" name="Column6460" dataDxfId="9925"/>
    <tableColumn id="6485" xr3:uid="{F9893EFB-65E9-45DF-AFCC-B8EDBF7C7D04}" name="Column6461" dataDxfId="9924"/>
    <tableColumn id="6486" xr3:uid="{BD7DACA9-97E9-41D0-B3A6-2C190AB2E34E}" name="Column6462" dataDxfId="9923"/>
    <tableColumn id="6487" xr3:uid="{A626B330-F30E-4B1D-BD3D-6147F1E9FB36}" name="Column6463" dataDxfId="9922"/>
    <tableColumn id="6488" xr3:uid="{185AAB7B-1EAF-4714-896B-7220C7892F00}" name="Column6464" dataDxfId="9921"/>
    <tableColumn id="6489" xr3:uid="{0E583E71-0BC2-4008-96FF-E10DAA2284B0}" name="Column6465" dataDxfId="9920"/>
    <tableColumn id="6490" xr3:uid="{AE2A399C-7014-49FC-B953-26A931F50393}" name="Column6466" dataDxfId="9919"/>
    <tableColumn id="6491" xr3:uid="{AE1C311B-EE47-498E-8108-9CE11FE51E7B}" name="Column6467" dataDxfId="9918"/>
    <tableColumn id="6492" xr3:uid="{5771F237-FEF8-40F2-81F4-B051EA29653A}" name="Column6468" dataDxfId="9917"/>
    <tableColumn id="6493" xr3:uid="{F00B5F43-2277-421E-8AF8-AA735E804F0B}" name="Column6469" dataDxfId="9916"/>
    <tableColumn id="6494" xr3:uid="{5153B6A7-2CB3-4498-9F6A-6B65B7B26D5F}" name="Column6470" dataDxfId="9915"/>
    <tableColumn id="6495" xr3:uid="{7EF12D7B-2BB5-4ECF-AF14-F819F8C6983E}" name="Column6471" dataDxfId="9914"/>
    <tableColumn id="6496" xr3:uid="{EC13989C-2BFD-49CD-9473-234ACEEA24F0}" name="Column6472" dataDxfId="9913"/>
    <tableColumn id="6497" xr3:uid="{DB073A0B-FFD3-4ED7-AF3A-C5AB551A3427}" name="Column6473" dataDxfId="9912"/>
    <tableColumn id="6498" xr3:uid="{08687F9A-A093-4E98-9D26-99A625F817D7}" name="Column6474" dataDxfId="9911"/>
    <tableColumn id="6499" xr3:uid="{15215A78-F18A-45D9-9534-B045B467C5CB}" name="Column6475" dataDxfId="9910"/>
    <tableColumn id="6500" xr3:uid="{5F3EF3BA-83D2-4398-8DCE-2E73F1F8136A}" name="Column6476" dataDxfId="9909"/>
    <tableColumn id="6501" xr3:uid="{8F2EA989-87C5-45A2-9E66-C13CE3D74597}" name="Column6477" dataDxfId="9908"/>
    <tableColumn id="6502" xr3:uid="{775E560C-341E-44CD-82CB-FC0C22080E04}" name="Column6478" dataDxfId="9907"/>
    <tableColumn id="6503" xr3:uid="{38E4D351-054D-465C-8439-390C843CF0F5}" name="Column6479" dataDxfId="9906"/>
    <tableColumn id="6504" xr3:uid="{52CF3E0A-ABC8-40E9-95CD-00712AD79D7D}" name="Column6480" dataDxfId="9905"/>
    <tableColumn id="6505" xr3:uid="{A487BE4C-B857-4B00-A0B2-1D8E9192D4C3}" name="Column6481" dataDxfId="9904"/>
    <tableColumn id="6506" xr3:uid="{DE7BE908-E9D5-474B-AE85-A14E99D807C1}" name="Column6482" dataDxfId="9903"/>
    <tableColumn id="6507" xr3:uid="{001C44BB-CC73-4A74-8B88-66A15190ABB8}" name="Column6483" dataDxfId="9902"/>
    <tableColumn id="6508" xr3:uid="{CB242DAE-46EF-4B31-A22C-2571EABAD6F3}" name="Column6484" dataDxfId="9901"/>
    <tableColumn id="6509" xr3:uid="{7CE5DD7F-38E3-4974-B0AB-FABDB55AEE97}" name="Column6485" dataDxfId="9900"/>
    <tableColumn id="6510" xr3:uid="{77558841-71CF-48D4-A250-5164504647B5}" name="Column6486" dataDxfId="9899"/>
    <tableColumn id="6511" xr3:uid="{DC485158-DB1C-4DBD-94F2-47D88483AE49}" name="Column6487" dataDxfId="9898"/>
    <tableColumn id="6512" xr3:uid="{B16AFA48-38E1-4317-AE60-B4C8011611A8}" name="Column6488" dataDxfId="9897"/>
    <tableColumn id="6513" xr3:uid="{DF271840-4287-4767-A944-C00756D8A14E}" name="Column6489" dataDxfId="9896"/>
    <tableColumn id="6514" xr3:uid="{6AE69D5B-B929-4BEB-805F-531A41ED6273}" name="Column6490" dataDxfId="9895"/>
    <tableColumn id="6515" xr3:uid="{BDE305E7-AF19-4BE3-8E50-04CB946F7CB9}" name="Column6491" dataDxfId="9894"/>
    <tableColumn id="6516" xr3:uid="{80005230-B1CC-45F9-99BD-60B6A1AFB5F7}" name="Column6492" dataDxfId="9893"/>
    <tableColumn id="6517" xr3:uid="{CAE835A8-B753-4FAE-8261-683D112AC2B9}" name="Column6493" dataDxfId="9892"/>
    <tableColumn id="6518" xr3:uid="{238F1674-7DC1-4F46-BE86-0C11C987671E}" name="Column6494" dataDxfId="9891"/>
    <tableColumn id="6519" xr3:uid="{578E374C-0408-4BA1-B250-EB144876E6E8}" name="Column6495" dataDxfId="9890"/>
    <tableColumn id="6520" xr3:uid="{E801E0BA-3E57-4B05-9E62-A211F4EB693C}" name="Column6496" dataDxfId="9889"/>
    <tableColumn id="6521" xr3:uid="{A99BF9D1-48A5-4D71-833F-FAEDCCEBF41A}" name="Column6497" dataDxfId="9888"/>
    <tableColumn id="6522" xr3:uid="{5B37DE6F-D3CA-4A4D-8E29-BDE61E356019}" name="Column6498" dataDxfId="9887"/>
    <tableColumn id="6523" xr3:uid="{753BA88A-9909-4EED-93C9-D41382C80CD3}" name="Column6499" dataDxfId="9886"/>
    <tableColumn id="6524" xr3:uid="{EB969B62-3E55-465E-A7C4-320ED3CE7790}" name="Column6500" dataDxfId="9885"/>
    <tableColumn id="6525" xr3:uid="{16203319-D613-47DF-8BB6-3871A5FE87C7}" name="Column6501" dataDxfId="9884"/>
    <tableColumn id="6526" xr3:uid="{060F96AC-C3A0-4506-BCFB-50FAEB058AD8}" name="Column6502" dataDxfId="9883"/>
    <tableColumn id="6527" xr3:uid="{EBFBCCEF-E6E1-4E8A-B930-2D5677F2F586}" name="Column6503" dataDxfId="9882"/>
    <tableColumn id="6528" xr3:uid="{B1AB7DC9-8399-4173-B74B-6E98C6C55154}" name="Column6504" dataDxfId="9881"/>
    <tableColumn id="6529" xr3:uid="{FA44C3C6-6075-4D0B-8CC0-1F2FC2B09516}" name="Column6505" dataDxfId="9880"/>
    <tableColumn id="6530" xr3:uid="{8E8173D3-0068-4760-901C-57F31CAEB543}" name="Column6506" dataDxfId="9879"/>
    <tableColumn id="6531" xr3:uid="{9710BE22-7811-4BB4-8B08-7E3941C95E25}" name="Column6507" dataDxfId="9878"/>
    <tableColumn id="6532" xr3:uid="{7E6AEB94-B4D1-46C9-8954-E6BA3FE7BD30}" name="Column6508" dataDxfId="9877"/>
    <tableColumn id="6533" xr3:uid="{E728EF45-AED4-44C3-BB77-4C31DD4DFF98}" name="Column6509" dataDxfId="9876"/>
    <tableColumn id="6534" xr3:uid="{AF06BAFD-27A9-4B4B-894C-915A86031C69}" name="Column6510" dataDxfId="9875"/>
    <tableColumn id="6535" xr3:uid="{5B62758B-C89A-4C77-AC92-EBC53131AACF}" name="Column6511" dataDxfId="9874"/>
    <tableColumn id="6536" xr3:uid="{D935DFA8-EE16-4BDD-A047-B6080E5EDFD5}" name="Column6512" dataDxfId="9873"/>
    <tableColumn id="6537" xr3:uid="{35B03D1D-0520-43D6-8427-9A7E3D020721}" name="Column6513" dataDxfId="9872"/>
    <tableColumn id="6538" xr3:uid="{96BC7B7E-A9C9-45B9-ADED-0107D5C487D5}" name="Column6514" dataDxfId="9871"/>
    <tableColumn id="6539" xr3:uid="{641E0569-75D8-4726-8C68-F632DFC24376}" name="Column6515" dataDxfId="9870"/>
    <tableColumn id="6540" xr3:uid="{0980C1CC-6E17-43DE-8AED-7F2CD7F10B53}" name="Column6516" dataDxfId="9869"/>
    <tableColumn id="6541" xr3:uid="{694EBE3C-B0BD-422F-9066-ACE2D221D396}" name="Column6517" dataDxfId="9868"/>
    <tableColumn id="6542" xr3:uid="{9D5347DB-81C5-4C06-9651-EF0560957A72}" name="Column6518" dataDxfId="9867"/>
    <tableColumn id="6543" xr3:uid="{46DFFE8F-71D4-47F9-985C-554FFEEEBE70}" name="Column6519" dataDxfId="9866"/>
    <tableColumn id="6544" xr3:uid="{373D4AAA-CB3D-418B-84EC-FADA8F461037}" name="Column6520" dataDxfId="9865"/>
    <tableColumn id="6545" xr3:uid="{02613715-62C7-453E-ADB8-920B5D5856C4}" name="Column6521" dataDxfId="9864"/>
    <tableColumn id="6546" xr3:uid="{C3FA040D-3E70-4FD0-AF1E-4619B6090E9F}" name="Column6522" dataDxfId="9863"/>
    <tableColumn id="6547" xr3:uid="{48297F9C-5E04-42B7-B56E-670A866E81E9}" name="Column6523" dataDxfId="9862"/>
    <tableColumn id="6548" xr3:uid="{4DA17CD8-1112-4D68-8684-EC41304C9BF2}" name="Column6524" dataDxfId="9861"/>
    <tableColumn id="6549" xr3:uid="{DFF101AC-7A4D-4E8D-BD59-05368FB48584}" name="Column6525" dataDxfId="9860"/>
    <tableColumn id="6550" xr3:uid="{FF785F28-135D-4C26-A8EB-DD21C7443430}" name="Column6526" dataDxfId="9859"/>
    <tableColumn id="6551" xr3:uid="{CBEC341E-66C8-487D-9917-D20F7739458B}" name="Column6527" dataDxfId="9858"/>
    <tableColumn id="6552" xr3:uid="{6F4F3AF6-5897-4DF5-B155-949C7E067E3F}" name="Column6528" dataDxfId="9857"/>
    <tableColumn id="6553" xr3:uid="{313DF971-494C-490F-A41F-8EB597EC7C75}" name="Column6529" dataDxfId="9856"/>
    <tableColumn id="6554" xr3:uid="{DEDB2458-1891-4A34-8A24-4675675BC123}" name="Column6530" dataDxfId="9855"/>
    <tableColumn id="6555" xr3:uid="{6F4BC5EF-2FD1-484A-918A-5B5062A65638}" name="Column6531" dataDxfId="9854"/>
    <tableColumn id="6556" xr3:uid="{93E6B995-B943-4499-BC86-E627A7DD46DA}" name="Column6532" dataDxfId="9853"/>
    <tableColumn id="6557" xr3:uid="{9E3D563B-5212-4E03-B6C2-F3995B1B0D1F}" name="Column6533" dataDxfId="9852"/>
    <tableColumn id="6558" xr3:uid="{7951C747-CDF1-42E9-9973-CC07E8FF794D}" name="Column6534" dataDxfId="9851"/>
    <tableColumn id="6559" xr3:uid="{7CFBD809-709D-4B5A-894B-02A6189F7C24}" name="Column6535" dataDxfId="9850"/>
    <tableColumn id="6560" xr3:uid="{6EC43519-10E7-416B-8499-BD525EAA997B}" name="Column6536" dataDxfId="9849"/>
    <tableColumn id="6561" xr3:uid="{9FBE3DC8-F122-4782-99B0-05CE6598A5F9}" name="Column6537" dataDxfId="9848"/>
    <tableColumn id="6562" xr3:uid="{12AC7BED-08B7-40DC-9108-9C9C8F93D726}" name="Column6538" dataDxfId="9847"/>
    <tableColumn id="6563" xr3:uid="{1E750242-672E-4E75-A40A-B60BDF73579C}" name="Column6539" dataDxfId="9846"/>
    <tableColumn id="6564" xr3:uid="{CAA62AD4-79BF-4D9B-ADFF-9408FAB8345C}" name="Column6540" dataDxfId="9845"/>
    <tableColumn id="6565" xr3:uid="{DA5D4841-8BBA-4759-8C71-EC3F53C8E33C}" name="Column6541" dataDxfId="9844"/>
    <tableColumn id="6566" xr3:uid="{BFF1039B-9BD0-4F60-BE32-0F61FF6DE58C}" name="Column6542" dataDxfId="9843"/>
    <tableColumn id="6567" xr3:uid="{B3FBBC3F-80B5-4ABE-ABC7-05E505C6DAE7}" name="Column6543" dataDxfId="9842"/>
    <tableColumn id="6568" xr3:uid="{CB4E7C65-BA25-4181-83D1-F8991591A77D}" name="Column6544" dataDxfId="9841"/>
    <tableColumn id="6569" xr3:uid="{3F4FBFF6-50D4-4780-812D-5B196FCB3DBE}" name="Column6545" dataDxfId="9840"/>
    <tableColumn id="6570" xr3:uid="{D1E00EE1-810B-40E7-BFD2-CAC9ED1079FE}" name="Column6546" dataDxfId="9839"/>
    <tableColumn id="6571" xr3:uid="{08877603-BC65-4CF8-89B4-6D6537CAF4B3}" name="Column6547" dataDxfId="9838"/>
    <tableColumn id="6572" xr3:uid="{2719ED6D-DA6F-4E0C-9E98-2737F3E50E11}" name="Column6548" dataDxfId="9837"/>
    <tableColumn id="6573" xr3:uid="{6DE2570C-9607-4A56-A263-BD83FE230C12}" name="Column6549" dataDxfId="9836"/>
    <tableColumn id="6574" xr3:uid="{C87C6B1D-014C-4C55-8EAE-A189DE0121BF}" name="Column6550" dataDxfId="9835"/>
    <tableColumn id="6575" xr3:uid="{1C792666-7599-45AC-867B-82EA47726E0B}" name="Column6551" dataDxfId="9834"/>
    <tableColumn id="6576" xr3:uid="{4480A086-69FF-423C-ADE3-37B5C4B6A99E}" name="Column6552" dataDxfId="9833"/>
    <tableColumn id="6577" xr3:uid="{AEC1A20E-0FC7-4E5E-8598-583F1EF7E052}" name="Column6553" dataDxfId="9832"/>
    <tableColumn id="6578" xr3:uid="{7C8638C3-6805-40BF-845D-7DDA0A8C1A1E}" name="Column6554" dataDxfId="9831"/>
    <tableColumn id="6579" xr3:uid="{D195DF74-664A-4B4D-A398-14D6D9ED5D36}" name="Column6555" dataDxfId="9830"/>
    <tableColumn id="6580" xr3:uid="{7D63293A-973B-4659-ADB6-A41BDECBA6D7}" name="Column6556" dataDxfId="9829"/>
    <tableColumn id="6581" xr3:uid="{0CAB39CE-E2F0-4F3A-8A0A-747B73FB3046}" name="Column6557" dataDxfId="9828"/>
    <tableColumn id="6582" xr3:uid="{E5AFF2A0-561E-4BB2-97B0-CA571DE92379}" name="Column6558" dataDxfId="9827"/>
    <tableColumn id="6583" xr3:uid="{55763D01-C87B-41F5-986B-DEFFF3723C6A}" name="Column6559" dataDxfId="9826"/>
    <tableColumn id="6584" xr3:uid="{D8630BF1-28B1-4181-9C4E-650E139EA319}" name="Column6560" dataDxfId="9825"/>
    <tableColumn id="6585" xr3:uid="{AA4136AA-BFD5-42D6-B47E-7F83DC7E06FC}" name="Column6561" dataDxfId="9824"/>
    <tableColumn id="6586" xr3:uid="{620C46ED-09A8-4A98-B72D-F1ED685E3892}" name="Column6562" dataDxfId="9823"/>
    <tableColumn id="6587" xr3:uid="{113132DC-84A5-4E1B-96DD-BFB02C8B63C1}" name="Column6563" dataDxfId="9822"/>
    <tableColumn id="6588" xr3:uid="{F31C4113-4B13-41F8-AF11-297ECB0DC1BF}" name="Column6564" dataDxfId="9821"/>
    <tableColumn id="6589" xr3:uid="{739750DB-4EE3-4A97-8253-21E7E2631879}" name="Column6565" dataDxfId="9820"/>
    <tableColumn id="6590" xr3:uid="{4314CA82-279A-45C2-9FA8-A5280FC5E189}" name="Column6566" dataDxfId="9819"/>
    <tableColumn id="6591" xr3:uid="{48C8F343-C9CC-423E-BB00-58EE9BCF1286}" name="Column6567" dataDxfId="9818"/>
    <tableColumn id="6592" xr3:uid="{20B0D7F0-96BD-4173-ACF0-A5F9A4A58D1E}" name="Column6568" dataDxfId="9817"/>
    <tableColumn id="6593" xr3:uid="{1CC9E377-CC3E-45C9-98F6-ACBD1ED921E5}" name="Column6569" dataDxfId="9816"/>
    <tableColumn id="6594" xr3:uid="{B4C265D5-6DC7-4606-8115-2CC8F5E9114C}" name="Column6570" dataDxfId="9815"/>
    <tableColumn id="6595" xr3:uid="{715F6E3F-B233-43A2-9C12-221F2353B138}" name="Column6571" dataDxfId="9814"/>
    <tableColumn id="6596" xr3:uid="{E5F19AE1-B53A-489C-B35E-9749FD261025}" name="Column6572" dataDxfId="9813"/>
    <tableColumn id="6597" xr3:uid="{4E9C7E5C-032F-492D-A282-2DE7E18C3AEA}" name="Column6573" dataDxfId="9812"/>
    <tableColumn id="6598" xr3:uid="{13803303-149F-4442-9FCF-B7357E99D4EA}" name="Column6574" dataDxfId="9811"/>
    <tableColumn id="6599" xr3:uid="{80EFA75D-ED71-42E2-8F94-3C970E861D5A}" name="Column6575" dataDxfId="9810"/>
    <tableColumn id="6600" xr3:uid="{ACE2817F-EAD3-40D1-95F0-7A9F6B3961E9}" name="Column6576" dataDxfId="9809"/>
    <tableColumn id="6601" xr3:uid="{8CE41BC9-5FA1-4B02-8CB4-2AEB970E9C9D}" name="Column6577" dataDxfId="9808"/>
    <tableColumn id="6602" xr3:uid="{A3E4D279-5459-437C-851F-2D00E001FF0E}" name="Column6578" dataDxfId="9807"/>
    <tableColumn id="6603" xr3:uid="{4496FA2B-AC13-4AA6-B0E9-BB85C0128D73}" name="Column6579" dataDxfId="9806"/>
    <tableColumn id="6604" xr3:uid="{93B1B7F4-623F-4993-8EC5-F253FD26C88E}" name="Column6580" dataDxfId="9805"/>
    <tableColumn id="6605" xr3:uid="{45E92C11-6F17-43E4-9601-FBCC9904B2CD}" name="Column6581" dataDxfId="9804"/>
    <tableColumn id="6606" xr3:uid="{DE455A9B-543D-4F1A-B2D2-F753C81BA533}" name="Column6582" dataDxfId="9803"/>
    <tableColumn id="6607" xr3:uid="{846B38D5-219A-422D-B396-E44268AB504F}" name="Column6583" dataDxfId="9802"/>
    <tableColumn id="6608" xr3:uid="{C83AC696-4286-4ECC-9EB4-2D5D1CFF3852}" name="Column6584" dataDxfId="9801"/>
    <tableColumn id="6609" xr3:uid="{E1EAEFF2-0E11-4BEA-A78B-093F09690147}" name="Column6585" dataDxfId="9800"/>
    <tableColumn id="6610" xr3:uid="{9E6E84DC-A5CA-4CEB-A2B8-2FA282E48588}" name="Column6586" dataDxfId="9799"/>
    <tableColumn id="6611" xr3:uid="{7C8DCD05-D0B7-4496-B2D1-063C1F8332CD}" name="Column6587" dataDxfId="9798"/>
    <tableColumn id="6612" xr3:uid="{4C6008BB-D61A-4CE3-812F-5CC68C120342}" name="Column6588" dataDxfId="9797"/>
    <tableColumn id="6613" xr3:uid="{36960E25-2232-4641-AD6C-464FA01C2C54}" name="Column6589" dataDxfId="9796"/>
    <tableColumn id="6614" xr3:uid="{4194E5A8-91DA-46E4-AF50-BD19FA0BDE33}" name="Column6590" dataDxfId="9795"/>
    <tableColumn id="6615" xr3:uid="{A24A1219-5C71-4E06-835C-69A496D5C6AE}" name="Column6591" dataDxfId="9794"/>
    <tableColumn id="6616" xr3:uid="{4484FA68-D9CA-46B1-AC12-8375630F153C}" name="Column6592" dataDxfId="9793"/>
    <tableColumn id="6617" xr3:uid="{BD5F3A42-EF1D-460C-AB84-68C20AB3821E}" name="Column6593" dataDxfId="9792"/>
    <tableColumn id="6618" xr3:uid="{B8F5F6F3-BBD2-44A6-B788-0B1BDAB9BC71}" name="Column6594" dataDxfId="9791"/>
    <tableColumn id="6619" xr3:uid="{D5F062F4-CEA2-4281-908F-CBC607F5E40B}" name="Column6595" dataDxfId="9790"/>
    <tableColumn id="6620" xr3:uid="{007A8593-94A6-477A-827C-81C325195E58}" name="Column6596" dataDxfId="9789"/>
    <tableColumn id="6621" xr3:uid="{5CC03131-884B-47D6-B9DA-6B747E9F95A4}" name="Column6597" dataDxfId="9788"/>
    <tableColumn id="6622" xr3:uid="{1A8C8FA2-83C7-4518-A57D-E425B8EC6D0C}" name="Column6598" dataDxfId="9787"/>
    <tableColumn id="6623" xr3:uid="{0BFDEF9D-4FFE-4266-B1F7-11701AD1620B}" name="Column6599" dataDxfId="9786"/>
    <tableColumn id="6624" xr3:uid="{97C3DBBB-741C-4979-9439-48C2ADDAE752}" name="Column6600" dataDxfId="9785"/>
    <tableColumn id="6625" xr3:uid="{D31CF655-3389-4076-8884-ACC06C6149FF}" name="Column6601" dataDxfId="9784"/>
    <tableColumn id="6626" xr3:uid="{C94C5321-DDA8-4C85-8268-1C3824155FCC}" name="Column6602" dataDxfId="9783"/>
    <tableColumn id="6627" xr3:uid="{301B25F2-FBE8-4496-9203-3A008FC7BBD2}" name="Column6603" dataDxfId="9782"/>
    <tableColumn id="6628" xr3:uid="{0A58ED37-BA8A-4B94-8F78-23D562C5FB35}" name="Column6604" dataDxfId="9781"/>
    <tableColumn id="6629" xr3:uid="{CE6A0F55-EA87-466F-AEFE-F64D7E2B5937}" name="Column6605" dataDxfId="9780"/>
    <tableColumn id="6630" xr3:uid="{E6B51088-63BD-4623-A67B-C3CB5FD8BE60}" name="Column6606" dataDxfId="9779"/>
    <tableColumn id="6631" xr3:uid="{DB71866C-F5D1-47D6-A1FF-E61762954FB3}" name="Column6607" dataDxfId="9778"/>
    <tableColumn id="6632" xr3:uid="{CE5A1A41-27DE-4B34-94BE-C236DF7948E1}" name="Column6608" dataDxfId="9777"/>
    <tableColumn id="6633" xr3:uid="{3D59196C-998F-4622-8388-1D289DE3A1AF}" name="Column6609" dataDxfId="9776"/>
    <tableColumn id="6634" xr3:uid="{34183F8F-47C7-46EA-B56F-8CB72935E2F1}" name="Column6610" dataDxfId="9775"/>
    <tableColumn id="6635" xr3:uid="{367508D3-22D2-4EAB-8BFE-CDBF85D11FB4}" name="Column6611" dataDxfId="9774"/>
    <tableColumn id="6636" xr3:uid="{7791ADA6-EEBC-4484-8897-5EB8CA090CA4}" name="Column6612" dataDxfId="9773"/>
    <tableColumn id="6637" xr3:uid="{79F62C65-745F-4390-B7A2-41C330ABDB01}" name="Column6613" dataDxfId="9772"/>
    <tableColumn id="6638" xr3:uid="{BC55452B-B9E5-499A-B109-B90C932290A7}" name="Column6614" dataDxfId="9771"/>
    <tableColumn id="6639" xr3:uid="{BB7A7607-0EF9-4F54-97D4-B081884328D7}" name="Column6615" dataDxfId="9770"/>
    <tableColumn id="6640" xr3:uid="{C8D63A77-57DA-44FE-9E94-2AEF530F2533}" name="Column6616" dataDxfId="9769"/>
    <tableColumn id="6641" xr3:uid="{620E5E47-1B94-4B4D-BFF7-9D7BFF1BEC6A}" name="Column6617" dataDxfId="9768"/>
    <tableColumn id="6642" xr3:uid="{255EB26E-DAA9-4004-8D1A-176F3A9343F8}" name="Column6618" dataDxfId="9767"/>
    <tableColumn id="6643" xr3:uid="{CBE8BDDB-5C19-4DC8-AC15-4A2C885815FF}" name="Column6619" dataDxfId="9766"/>
    <tableColumn id="6644" xr3:uid="{82CD914C-8E9B-4DD3-AECE-65F9F3206F61}" name="Column6620" dataDxfId="9765"/>
    <tableColumn id="6645" xr3:uid="{A56FE16F-337D-4C41-8271-AF3FB04DEEBC}" name="Column6621" dataDxfId="9764"/>
    <tableColumn id="6646" xr3:uid="{260B8D1A-68B3-4B08-9777-4E273E4112FE}" name="Column6622" dataDxfId="9763"/>
    <tableColumn id="6647" xr3:uid="{1BCF50A9-F5AA-4165-A739-FEBDBBACF4B9}" name="Column6623" dataDxfId="9762"/>
    <tableColumn id="6648" xr3:uid="{3896E7B9-B903-44C4-AD0C-44D3B9DAD367}" name="Column6624" dataDxfId="9761"/>
    <tableColumn id="6649" xr3:uid="{0366938E-8F2D-492A-B034-9E569441A654}" name="Column6625" dataDxfId="9760"/>
    <tableColumn id="6650" xr3:uid="{B11E5826-A3E8-4DF0-AC33-FF75515C9F73}" name="Column6626" dataDxfId="9759"/>
    <tableColumn id="6651" xr3:uid="{DE7FCFD5-9A7B-4D03-9C3F-705C6ED5AC79}" name="Column6627" dataDxfId="9758"/>
    <tableColumn id="6652" xr3:uid="{E683FDDB-9468-4511-8195-B20F1EA7DB26}" name="Column6628" dataDxfId="9757"/>
    <tableColumn id="6653" xr3:uid="{6695AAD0-6153-4CED-99DC-833E461207DA}" name="Column6629" dataDxfId="9756"/>
    <tableColumn id="6654" xr3:uid="{36FF7D33-9475-4000-834C-E434A6252CF6}" name="Column6630" dataDxfId="9755"/>
    <tableColumn id="6655" xr3:uid="{76E09304-2165-48CB-AD7C-FD6A9A7129E7}" name="Column6631" dataDxfId="9754"/>
    <tableColumn id="6656" xr3:uid="{25962864-6433-42B1-8F28-E16F4EFCCDBF}" name="Column6632" dataDxfId="9753"/>
    <tableColumn id="6657" xr3:uid="{7EF33626-3965-4C65-84AD-B2ECEEE073F4}" name="Column6633" dataDxfId="9752"/>
    <tableColumn id="6658" xr3:uid="{B67F76AE-B659-4380-988A-7867A7607649}" name="Column6634" dataDxfId="9751"/>
    <tableColumn id="6659" xr3:uid="{510E60DF-ED00-49E6-A971-4C254A8F2E8F}" name="Column6635" dataDxfId="9750"/>
    <tableColumn id="6660" xr3:uid="{81002AB1-9390-4000-B174-B4560151C522}" name="Column6636" dataDxfId="9749"/>
    <tableColumn id="6661" xr3:uid="{C07383BE-B2D1-4891-B430-D9C8EDE1DDA6}" name="Column6637" dataDxfId="9748"/>
    <tableColumn id="6662" xr3:uid="{7B6A6CD6-3646-4ADD-BA79-BEBC844E6566}" name="Column6638" dataDxfId="9747"/>
    <tableColumn id="6663" xr3:uid="{F4DB7114-C3DE-4A50-AAEC-1634AF9EAD5A}" name="Column6639" dataDxfId="9746"/>
    <tableColumn id="6664" xr3:uid="{5AA5A5FA-631A-4385-BF3B-A24D2268E07E}" name="Column6640" dataDxfId="9745"/>
    <tableColumn id="6665" xr3:uid="{E7120F1D-7A67-411E-BE4E-6A158A2C1199}" name="Column6641" dataDxfId="9744"/>
    <tableColumn id="6666" xr3:uid="{34B574D9-02AC-4226-836C-4B1FA1444199}" name="Column6642" dataDxfId="9743"/>
    <tableColumn id="6667" xr3:uid="{BAD60B65-5756-4B5A-8C18-D9B5DAF7040D}" name="Column6643" dataDxfId="9742"/>
    <tableColumn id="6668" xr3:uid="{0C7F5759-F722-4AC6-A17E-FF635349BE98}" name="Column6644" dataDxfId="9741"/>
    <tableColumn id="6669" xr3:uid="{A1C310CA-FAEC-4CB8-9958-316E9614AF5F}" name="Column6645" dataDxfId="9740"/>
    <tableColumn id="6670" xr3:uid="{7DA08441-7754-4742-B929-CEFBCE5CDECC}" name="Column6646" dataDxfId="9739"/>
    <tableColumn id="6671" xr3:uid="{85F5A56A-21A0-49F2-A886-F7AE5F644E42}" name="Column6647" dataDxfId="9738"/>
    <tableColumn id="6672" xr3:uid="{5D6F9216-A9D9-470A-A94B-84E7A43A15E0}" name="Column6648" dataDxfId="9737"/>
    <tableColumn id="6673" xr3:uid="{97D912F8-29AD-493B-A1AD-16D42EA2A01D}" name="Column6649" dataDxfId="9736"/>
    <tableColumn id="6674" xr3:uid="{31DAF4EA-4F43-4C52-BA41-861FE9FE9819}" name="Column6650" dataDxfId="9735"/>
    <tableColumn id="6675" xr3:uid="{FDD55FAD-5682-4FFB-8CC9-817F7786B871}" name="Column6651" dataDxfId="9734"/>
    <tableColumn id="6676" xr3:uid="{AC386E2F-387C-48C9-9AB6-BC1BD3B01BAA}" name="Column6652" dataDxfId="9733"/>
    <tableColumn id="6677" xr3:uid="{DF537F99-2CCF-4B5D-A19D-2EF427F1E30F}" name="Column6653" dataDxfId="9732"/>
    <tableColumn id="6678" xr3:uid="{FC00394E-BE0F-490C-8299-ED2024F31F6E}" name="Column6654" dataDxfId="9731"/>
    <tableColumn id="6679" xr3:uid="{6DF97FF0-6AF1-49F9-9CD9-1B21D4801F06}" name="Column6655" dataDxfId="9730"/>
    <tableColumn id="6680" xr3:uid="{5F8E8A33-7A52-438F-8B19-C819353D2D4A}" name="Column6656" dataDxfId="9729"/>
    <tableColumn id="6681" xr3:uid="{E4780CA8-2520-4906-AEEC-32A2A2A93F49}" name="Column6657" dataDxfId="9728"/>
    <tableColumn id="6682" xr3:uid="{8B4881B7-377E-4EF8-B1A5-8A5FC3A01127}" name="Column6658" dataDxfId="9727"/>
    <tableColumn id="6683" xr3:uid="{5816A732-4246-42C1-9D28-74CE1EF499F5}" name="Column6659" dataDxfId="9726"/>
    <tableColumn id="6684" xr3:uid="{F1E34451-9E5C-4649-AC81-C1F853577162}" name="Column6660" dataDxfId="9725"/>
    <tableColumn id="6685" xr3:uid="{E5BF2A84-126F-4523-87F2-C80662A7679B}" name="Column6661" dataDxfId="9724"/>
    <tableColumn id="6686" xr3:uid="{BE7E3FFB-FB83-421F-B340-34E496E28897}" name="Column6662" dataDxfId="9723"/>
    <tableColumn id="6687" xr3:uid="{4013896D-C410-4604-BC29-B342D6AD5D60}" name="Column6663" dataDxfId="9722"/>
    <tableColumn id="6688" xr3:uid="{34827AB6-EEA1-465B-83CC-A139536863BD}" name="Column6664" dataDxfId="9721"/>
    <tableColumn id="6689" xr3:uid="{0EF15B8C-D52B-4ECE-B2F4-C4FB1124BEBB}" name="Column6665" dataDxfId="9720"/>
    <tableColumn id="6690" xr3:uid="{DB8C8549-8F4B-4F68-9A3B-0D83DC28F74A}" name="Column6666" dataDxfId="9719"/>
    <tableColumn id="6691" xr3:uid="{3759CE92-E830-4D01-80E6-EC9B5A1F395E}" name="Column6667" dataDxfId="9718"/>
    <tableColumn id="6692" xr3:uid="{B84F36B6-61D5-4607-B1C1-913F68504064}" name="Column6668" dataDxfId="9717"/>
    <tableColumn id="6693" xr3:uid="{DE91DD49-B996-48B1-BC30-BE00CD372550}" name="Column6669" dataDxfId="9716"/>
    <tableColumn id="6694" xr3:uid="{B86FCBB6-8773-49EE-9CFF-D0AD8C5FE2E2}" name="Column6670" dataDxfId="9715"/>
    <tableColumn id="6695" xr3:uid="{B5EDD00B-C1A8-4099-87A0-173E43F98E20}" name="Column6671" dataDxfId="9714"/>
    <tableColumn id="6696" xr3:uid="{89C2838A-4191-49AD-9BF0-F5E137D1B843}" name="Column6672" dataDxfId="9713"/>
    <tableColumn id="6697" xr3:uid="{2EDA81CD-A41B-4A6C-80A8-3028DF1B999D}" name="Column6673" dataDxfId="9712"/>
    <tableColumn id="6698" xr3:uid="{74AE9ECD-C8A7-44C9-8F97-46FE68D94BC9}" name="Column6674" dataDxfId="9711"/>
    <tableColumn id="6699" xr3:uid="{74CA5DE1-32C4-4F88-90B9-826A734D524A}" name="Column6675" dataDxfId="9710"/>
    <tableColumn id="6700" xr3:uid="{CEEB8FB8-BD35-4AE5-93CE-DB1A227D56C7}" name="Column6676" dataDxfId="9709"/>
    <tableColumn id="6701" xr3:uid="{9698B545-A3FE-42F2-B4CA-457D78AC08F9}" name="Column6677" dataDxfId="9708"/>
    <tableColumn id="6702" xr3:uid="{BA8C3C78-2C07-41AF-AB36-E09C8E3E18E7}" name="Column6678" dataDxfId="9707"/>
    <tableColumn id="6703" xr3:uid="{41CF8AAB-AB1A-45B7-B11D-347DB0FD80B2}" name="Column6679" dataDxfId="9706"/>
    <tableColumn id="6704" xr3:uid="{43DFDDDA-E5DF-4408-B6CB-70B0E3495B46}" name="Column6680" dataDxfId="9705"/>
    <tableColumn id="6705" xr3:uid="{3D3CB250-420F-4681-A109-46F053BDF9D4}" name="Column6681" dataDxfId="9704"/>
    <tableColumn id="6706" xr3:uid="{DB241C59-15AC-4173-8D55-A24131E7E420}" name="Column6682" dataDxfId="9703"/>
    <tableColumn id="6707" xr3:uid="{2D213CA6-40F5-4B38-99D0-C8DE0B2C5AA1}" name="Column6683" dataDxfId="9702"/>
    <tableColumn id="6708" xr3:uid="{99EA3AB0-BD44-4A36-B4C9-27230CE218DD}" name="Column6684" dataDxfId="9701"/>
    <tableColumn id="6709" xr3:uid="{62011F87-E310-4F8C-97B8-0B722BB4547D}" name="Column6685" dataDxfId="9700"/>
    <tableColumn id="6710" xr3:uid="{BD2139D5-5FCF-4B6E-BA07-CC352440D7C4}" name="Column6686" dataDxfId="9699"/>
    <tableColumn id="6711" xr3:uid="{21A4C1CA-7778-4794-9DB0-C55C2BD341FA}" name="Column6687" dataDxfId="9698"/>
    <tableColumn id="6712" xr3:uid="{BB8DF0E4-3768-421C-B436-9C21A8D737AE}" name="Column6688" dataDxfId="9697"/>
    <tableColumn id="6713" xr3:uid="{FE1BD2FE-04D2-42EA-B1B8-7EA2AD982A2C}" name="Column6689" dataDxfId="9696"/>
    <tableColumn id="6714" xr3:uid="{33460C11-4304-4234-BD6B-5616CBB57B03}" name="Column6690" dataDxfId="9695"/>
    <tableColumn id="6715" xr3:uid="{73DDEA45-2D6C-4297-BED1-FB5F20E5B2C9}" name="Column6691" dataDxfId="9694"/>
    <tableColumn id="6716" xr3:uid="{A2182967-2E3E-4AB8-BAEE-6B2E940DD49D}" name="Column6692" dataDxfId="9693"/>
    <tableColumn id="6717" xr3:uid="{5080A327-C832-49CF-BFB3-18D83A7C1D6A}" name="Column6693" dataDxfId="9692"/>
    <tableColumn id="6718" xr3:uid="{01E068E1-0293-468F-8932-119D14BDC1DC}" name="Column6694" dataDxfId="9691"/>
    <tableColumn id="6719" xr3:uid="{627964DF-43F0-4CF8-ADC1-26EC8FC22BFC}" name="Column6695" dataDxfId="9690"/>
    <tableColumn id="6720" xr3:uid="{53658A9D-B551-4181-AB1C-C138A47D706D}" name="Column6696" dataDxfId="9689"/>
    <tableColumn id="6721" xr3:uid="{0EB72DC8-1164-4705-A54D-619038AFA52B}" name="Column6697" dataDxfId="9688"/>
    <tableColumn id="6722" xr3:uid="{FA9238A4-FF25-4627-B2DF-37EF790DA303}" name="Column6698" dataDxfId="9687"/>
    <tableColumn id="6723" xr3:uid="{4F8B7D75-926D-477D-9325-F4362F3D60DF}" name="Column6699" dataDxfId="9686"/>
    <tableColumn id="6724" xr3:uid="{A3E18366-AB63-406C-9602-BCBA07E22331}" name="Column6700" dataDxfId="9685"/>
    <tableColumn id="6725" xr3:uid="{94C956C9-E623-4822-B71C-03376AACEE60}" name="Column6701" dataDxfId="9684"/>
    <tableColumn id="6726" xr3:uid="{53F00B3D-7750-420B-9E9E-8F750378472B}" name="Column6702" dataDxfId="9683"/>
    <tableColumn id="6727" xr3:uid="{010A83E8-3E0C-4F68-A730-685DA784466B}" name="Column6703" dataDxfId="9682"/>
    <tableColumn id="6728" xr3:uid="{5B94D36E-B48E-4C6B-B139-11120E87AA73}" name="Column6704" dataDxfId="9681"/>
    <tableColumn id="6729" xr3:uid="{5575EA55-1988-4515-9F2D-F79AD16D0D12}" name="Column6705" dataDxfId="9680"/>
    <tableColumn id="6730" xr3:uid="{CC368CBE-3691-460F-B417-C75BE82076FD}" name="Column6706" dataDxfId="9679"/>
    <tableColumn id="6731" xr3:uid="{BC4B35EF-A9AC-41E8-BAD0-2D02061502EA}" name="Column6707" dataDxfId="9678"/>
    <tableColumn id="6732" xr3:uid="{347226BE-740C-41EA-8FC3-35F56B4CB9C8}" name="Column6708" dataDxfId="9677"/>
    <tableColumn id="6733" xr3:uid="{8BF296BD-565E-4C0A-B629-A755EDEC6325}" name="Column6709" dataDxfId="9676"/>
    <tableColumn id="6734" xr3:uid="{A3510935-656F-4DC2-9100-4BFA7EC21CBD}" name="Column6710" dataDxfId="9675"/>
    <tableColumn id="6735" xr3:uid="{6B7B8E15-2B3A-4B4E-B15E-A7C9DD50CEAD}" name="Column6711" dataDxfId="9674"/>
    <tableColumn id="6736" xr3:uid="{AC0B04F1-A3C5-4A93-9608-4BE1743A61B4}" name="Column6712" dataDxfId="9673"/>
    <tableColumn id="6737" xr3:uid="{83B5B0BF-405A-4CAB-80C4-95399F9D47FC}" name="Column6713" dataDxfId="9672"/>
    <tableColumn id="6738" xr3:uid="{DF220A09-5BAD-488C-8092-DF7BDC4C6262}" name="Column6714" dataDxfId="9671"/>
    <tableColumn id="6739" xr3:uid="{FF4E144F-2EC1-4BA6-AA9F-61C5E04494D7}" name="Column6715" dataDxfId="9670"/>
    <tableColumn id="6740" xr3:uid="{14446C4E-6373-4DF1-8012-A3B7AD17B65B}" name="Column6716" dataDxfId="9669"/>
    <tableColumn id="6741" xr3:uid="{EB640D5C-7634-4953-B27D-8DAFAA7861FE}" name="Column6717" dataDxfId="9668"/>
    <tableColumn id="6742" xr3:uid="{5E2AD935-458B-482D-858A-158816F7B74B}" name="Column6718" dataDxfId="9667"/>
    <tableColumn id="6743" xr3:uid="{C54936EC-A7FF-4846-9132-AF471FCD2165}" name="Column6719" dataDxfId="9666"/>
    <tableColumn id="6744" xr3:uid="{573E2C0E-B9F3-42C5-A50F-A20BDE3BAA35}" name="Column6720" dataDxfId="9665"/>
    <tableColumn id="6745" xr3:uid="{5BD2270F-EEB5-45EC-A88D-CA8DB8C63424}" name="Column6721" dataDxfId="9664"/>
    <tableColumn id="6746" xr3:uid="{F858B955-1754-4D34-B1DF-E1E56CA94D5E}" name="Column6722" dataDxfId="9663"/>
    <tableColumn id="6747" xr3:uid="{4A83B9F2-40FD-4D00-8F43-F0817D839EAA}" name="Column6723" dataDxfId="9662"/>
    <tableColumn id="6748" xr3:uid="{1BA90523-ECB1-4D12-9E1E-59C25FBAC4EF}" name="Column6724" dataDxfId="9661"/>
    <tableColumn id="6749" xr3:uid="{3854843D-FAB3-41E2-AD43-6FE47DE7653B}" name="Column6725" dataDxfId="9660"/>
    <tableColumn id="6750" xr3:uid="{66A991D1-D0AC-4FF4-9425-3D7519CEF0D8}" name="Column6726" dataDxfId="9659"/>
    <tableColumn id="6751" xr3:uid="{02B314DC-1DB1-46EF-999A-47B24A5152A3}" name="Column6727" dataDxfId="9658"/>
    <tableColumn id="6752" xr3:uid="{16C1BD3E-9BB4-4C50-9D04-51008D701A19}" name="Column6728" dataDxfId="9657"/>
    <tableColumn id="6753" xr3:uid="{92D06A59-88C0-421D-92F2-FAB7769FB0C9}" name="Column6729" dataDxfId="9656"/>
    <tableColumn id="6754" xr3:uid="{D729A538-49FE-468C-9BFE-0F20E2FB0FCB}" name="Column6730" dataDxfId="9655"/>
    <tableColumn id="6755" xr3:uid="{ACA00F20-4DFB-4ADD-9A05-561E5FC4F8E2}" name="Column6731" dataDxfId="9654"/>
    <tableColumn id="6756" xr3:uid="{9073E14E-4A44-49BA-AB71-4597B9B26CEE}" name="Column6732" dataDxfId="9653"/>
    <tableColumn id="6757" xr3:uid="{6B488DE3-3FB3-47BB-AA69-63D312C7DD5F}" name="Column6733" dataDxfId="9652"/>
    <tableColumn id="6758" xr3:uid="{6154AD90-0C88-4EFC-A222-7D1D87DACAA4}" name="Column6734" dataDxfId="9651"/>
    <tableColumn id="6759" xr3:uid="{B04802D3-AFB5-455B-B271-3C2616C9D188}" name="Column6735" dataDxfId="9650"/>
    <tableColumn id="6760" xr3:uid="{61EE70C8-BBE2-4078-B553-484C12F2B05D}" name="Column6736" dataDxfId="9649"/>
    <tableColumn id="6761" xr3:uid="{21EF9AA5-1DDC-4371-B1C9-4A6F52014FBF}" name="Column6737" dataDxfId="9648"/>
    <tableColumn id="6762" xr3:uid="{60D68ADC-107B-44D8-934E-A62529FB3F27}" name="Column6738" dataDxfId="9647"/>
    <tableColumn id="6763" xr3:uid="{EBDFBF6B-784A-4587-A67D-3EE5FA1C81C7}" name="Column6739" dataDxfId="9646"/>
    <tableColumn id="6764" xr3:uid="{54D09528-CF4F-4E79-AA7F-C3414766C8DE}" name="Column6740" dataDxfId="9645"/>
    <tableColumn id="6765" xr3:uid="{3E0A4CCD-A0D1-40C7-9E41-FAAF9AF6EF35}" name="Column6741" dataDxfId="9644"/>
    <tableColumn id="6766" xr3:uid="{D2FF2FB7-F274-4043-8A14-921FBDD8299F}" name="Column6742" dataDxfId="9643"/>
    <tableColumn id="6767" xr3:uid="{07B74769-AD78-45CF-9020-F0DD247FFDFF}" name="Column6743" dataDxfId="9642"/>
    <tableColumn id="6768" xr3:uid="{84CEA460-E9DA-49C4-B3D9-D0A9EC87F3BE}" name="Column6744" dataDxfId="9641"/>
    <tableColumn id="6769" xr3:uid="{1ED986A4-0814-427B-861B-8123814D9B7F}" name="Column6745" dataDxfId="9640"/>
    <tableColumn id="6770" xr3:uid="{E6CC749B-8312-4C6E-A436-3DFB8A611AE8}" name="Column6746" dataDxfId="9639"/>
    <tableColumn id="6771" xr3:uid="{EBDB4449-9E63-47BB-A868-2E0DAF39CBB5}" name="Column6747" dataDxfId="9638"/>
    <tableColumn id="6772" xr3:uid="{BAF878AD-B8DD-4F92-9258-B4C74CF703B1}" name="Column6748" dataDxfId="9637"/>
    <tableColumn id="6773" xr3:uid="{5E470EED-9317-4233-9920-58E6137A6814}" name="Column6749" dataDxfId="9636"/>
    <tableColumn id="6774" xr3:uid="{640B5152-36AA-4067-8C66-308B864A642B}" name="Column6750" dataDxfId="9635"/>
    <tableColumn id="6775" xr3:uid="{1F54E214-7D61-447C-8978-285437063BA2}" name="Column6751" dataDxfId="9634"/>
    <tableColumn id="6776" xr3:uid="{26C38E2B-EB21-425F-B9C9-12555A49C021}" name="Column6752" dataDxfId="9633"/>
    <tableColumn id="6777" xr3:uid="{96AF395C-07BF-48BC-BE4F-A70DB320042D}" name="Column6753" dataDxfId="9632"/>
    <tableColumn id="6778" xr3:uid="{EC4DED43-DB87-4261-A290-F6442F8D51BF}" name="Column6754" dataDxfId="9631"/>
    <tableColumn id="6779" xr3:uid="{DD869E8B-3EDB-4AB9-B4D0-08B98F87093D}" name="Column6755" dataDxfId="9630"/>
    <tableColumn id="6780" xr3:uid="{84CBABED-613C-4D21-8D2D-F2EFB49178FD}" name="Column6756" dataDxfId="9629"/>
    <tableColumn id="6781" xr3:uid="{F211143E-27C1-42E8-B5B9-729312121883}" name="Column6757" dataDxfId="9628"/>
    <tableColumn id="6782" xr3:uid="{8376C46E-1975-4BE6-8C7A-A4E3DD31AC14}" name="Column6758" dataDxfId="9627"/>
    <tableColumn id="6783" xr3:uid="{1C149274-9C23-42F5-9060-0495B70D7EA3}" name="Column6759" dataDxfId="9626"/>
    <tableColumn id="6784" xr3:uid="{D3672C97-6BB2-480B-82E5-8115C06C6C83}" name="Column6760" dataDxfId="9625"/>
    <tableColumn id="6785" xr3:uid="{AC1E7386-8258-47B3-A828-74ADDEB0A478}" name="Column6761" dataDxfId="9624"/>
    <tableColumn id="6786" xr3:uid="{2CC129F1-AEE1-418F-A19B-CCBF8C38DBA2}" name="Column6762" dataDxfId="9623"/>
    <tableColumn id="6787" xr3:uid="{3CCA7E27-8F65-43BA-9A5D-B30DE1497FEE}" name="Column6763" dataDxfId="9622"/>
    <tableColumn id="6788" xr3:uid="{B01620B3-A216-42B8-AAD5-FB8D2DCE12FB}" name="Column6764" dataDxfId="9621"/>
    <tableColumn id="6789" xr3:uid="{EA2DBB05-7F41-4622-9D94-27EF46126831}" name="Column6765" dataDxfId="9620"/>
    <tableColumn id="6790" xr3:uid="{CC858CE8-7FAF-4959-9204-5F5484C40E4D}" name="Column6766" dataDxfId="9619"/>
    <tableColumn id="6791" xr3:uid="{A64A0D00-9C81-4935-9115-771F3A780DF0}" name="Column6767" dataDxfId="9618"/>
    <tableColumn id="6792" xr3:uid="{EF08D4CC-6603-4888-A3D6-DBF0F3A2156C}" name="Column6768" dataDxfId="9617"/>
    <tableColumn id="6793" xr3:uid="{81D11362-D6D1-4F8C-9157-C089689A757A}" name="Column6769" dataDxfId="9616"/>
    <tableColumn id="6794" xr3:uid="{DC61A844-986A-4D85-B12B-E747220BC408}" name="Column6770" dataDxfId="9615"/>
    <tableColumn id="6795" xr3:uid="{2C28D082-E8A9-4FC3-AEFA-9FC7484855F4}" name="Column6771" dataDxfId="9614"/>
    <tableColumn id="6796" xr3:uid="{BA9E394C-60A3-4ECF-BFEE-E3EBE00DD4E5}" name="Column6772" dataDxfId="9613"/>
    <tableColumn id="6797" xr3:uid="{D031356D-FD80-48B7-BA1C-C48234AC7BD1}" name="Column6773" dataDxfId="9612"/>
    <tableColumn id="6798" xr3:uid="{B104B08C-07BA-4147-858D-A5E7D3E6CA96}" name="Column6774" dataDxfId="9611"/>
    <tableColumn id="6799" xr3:uid="{22CEFC90-71E5-40F2-991F-2FC6ACDE36E9}" name="Column6775" dataDxfId="9610"/>
    <tableColumn id="6800" xr3:uid="{562524B8-CE66-468C-8E5C-041E103E13AA}" name="Column6776" dataDxfId="9609"/>
    <tableColumn id="6801" xr3:uid="{6FD481D7-7868-4E1C-B0DF-03114D810B98}" name="Column6777" dataDxfId="9608"/>
    <tableColumn id="6802" xr3:uid="{2680DD00-3BB9-4D48-A84B-EC0C34096897}" name="Column6778" dataDxfId="9607"/>
    <tableColumn id="6803" xr3:uid="{A8292749-91CA-4926-BC0D-79941C5AB375}" name="Column6779" dataDxfId="9606"/>
    <tableColumn id="6804" xr3:uid="{2D6BA3EA-B708-43CF-90C5-AF12F080D1A4}" name="Column6780" dataDxfId="9605"/>
    <tableColumn id="6805" xr3:uid="{350A4B97-86D1-4567-82C2-09E3FAA63574}" name="Column6781" dataDxfId="9604"/>
    <tableColumn id="6806" xr3:uid="{5EB094DA-F029-4348-8C49-FB4933270726}" name="Column6782" dataDxfId="9603"/>
    <tableColumn id="6807" xr3:uid="{7FB3A209-DF9D-4D3F-AE82-775E3C7EC287}" name="Column6783" dataDxfId="9602"/>
    <tableColumn id="6808" xr3:uid="{5D8D1F50-DEE5-4E44-BB3B-920ACD2F418C}" name="Column6784" dataDxfId="9601"/>
    <tableColumn id="6809" xr3:uid="{12D17089-EBA0-41BE-8A49-D74598D3CED4}" name="Column6785" dataDxfId="9600"/>
    <tableColumn id="6810" xr3:uid="{594AE476-A4FE-41DE-85CB-90FFE711A947}" name="Column6786" dataDxfId="9599"/>
    <tableColumn id="6811" xr3:uid="{F4C796C5-EBEE-4A77-B22A-7BFEFEC168CC}" name="Column6787" dataDxfId="9598"/>
    <tableColumn id="6812" xr3:uid="{1E5D5B2E-2AAC-4CB7-A01D-C4EB917C47EA}" name="Column6788" dataDxfId="9597"/>
    <tableColumn id="6813" xr3:uid="{2BC01091-F661-46E7-BB71-56079CB3D99E}" name="Column6789" dataDxfId="9596"/>
    <tableColumn id="6814" xr3:uid="{9D20CD90-2673-42B8-B624-28F7A121EE81}" name="Column6790" dataDxfId="9595"/>
    <tableColumn id="6815" xr3:uid="{CB060E73-654C-4481-9761-FBE3707E8085}" name="Column6791" dataDxfId="9594"/>
    <tableColumn id="6816" xr3:uid="{81237BDE-1828-4573-937D-2B87BBA55A7A}" name="Column6792" dataDxfId="9593"/>
    <tableColumn id="6817" xr3:uid="{13BE5FEC-5B8D-4E06-97D7-07597FD3848C}" name="Column6793" dataDxfId="9592"/>
    <tableColumn id="6818" xr3:uid="{FE596498-B1AE-41E0-A24C-97B13B51E6C4}" name="Column6794" dataDxfId="9591"/>
    <tableColumn id="6819" xr3:uid="{2714D8E6-A649-4F7F-AD33-CCB98665C7C1}" name="Column6795" dataDxfId="9590"/>
    <tableColumn id="6820" xr3:uid="{90C374C9-5562-4817-97C1-BFA97156F72C}" name="Column6796" dataDxfId="9589"/>
    <tableColumn id="6821" xr3:uid="{9966217D-B3F7-4485-BAD8-52700D4AE25E}" name="Column6797" dataDxfId="9588"/>
    <tableColumn id="6822" xr3:uid="{9AAC8E9B-E5B4-4386-AED3-43BCA60E4AAA}" name="Column6798" dataDxfId="9587"/>
    <tableColumn id="6823" xr3:uid="{63430E39-9E34-4796-A65D-58A65F0FADFB}" name="Column6799" dataDxfId="9586"/>
    <tableColumn id="6824" xr3:uid="{89AAA312-2F02-443F-B10A-57550DCFD2CB}" name="Column6800" dataDxfId="9585"/>
    <tableColumn id="6825" xr3:uid="{74158134-22A4-436C-AF6A-82755FCC895D}" name="Column6801" dataDxfId="9584"/>
    <tableColumn id="6826" xr3:uid="{D1A05A9A-D5A3-4E32-9113-8BFF4F1A9F25}" name="Column6802" dataDxfId="9583"/>
    <tableColumn id="6827" xr3:uid="{8F6F847E-FBF5-4C18-9404-5E08A3D7618E}" name="Column6803" dataDxfId="9582"/>
    <tableColumn id="6828" xr3:uid="{9B225701-93DC-4DAA-A929-1A841600EF57}" name="Column6804" dataDxfId="9581"/>
    <tableColumn id="6829" xr3:uid="{47002980-187B-4A50-8205-7F20EDC2B234}" name="Column6805" dataDxfId="9580"/>
    <tableColumn id="6830" xr3:uid="{D7C7C1CB-0B37-4DC3-9879-6950BAA0402C}" name="Column6806" dataDxfId="9579"/>
    <tableColumn id="6831" xr3:uid="{55C8FB32-C932-4ED9-9A6F-454717195BCB}" name="Column6807" dataDxfId="9578"/>
    <tableColumn id="6832" xr3:uid="{112A0FE4-14E2-48FD-B25F-287649B9D6E9}" name="Column6808" dataDxfId="9577"/>
    <tableColumn id="6833" xr3:uid="{CD684C9E-7634-4CE0-A2FC-B8A42CAF19CF}" name="Column6809" dataDxfId="9576"/>
    <tableColumn id="6834" xr3:uid="{490BCE22-4325-4FE9-B8C3-CCA05D85C413}" name="Column6810" dataDxfId="9575"/>
    <tableColumn id="6835" xr3:uid="{196B4129-E668-4DD0-ABDC-5B8C95B862CA}" name="Column6811" dataDxfId="9574"/>
    <tableColumn id="6836" xr3:uid="{BD34152F-AF18-4229-9CD8-20398138C3A7}" name="Column6812" dataDxfId="9573"/>
    <tableColumn id="6837" xr3:uid="{4E9734E2-5B65-4EB3-B42A-A523DDA58475}" name="Column6813" dataDxfId="9572"/>
    <tableColumn id="6838" xr3:uid="{8AC38D90-E708-4B6C-BD35-6C8E172F05FD}" name="Column6814" dataDxfId="9571"/>
    <tableColumn id="6839" xr3:uid="{51AF083E-ED76-4D5C-B919-B553DDE04130}" name="Column6815" dataDxfId="9570"/>
    <tableColumn id="6840" xr3:uid="{D0C331BD-CEE7-4E46-BE7F-A2653541F979}" name="Column6816" dataDxfId="9569"/>
    <tableColumn id="6841" xr3:uid="{C541F991-C506-4C60-B392-13865441CD02}" name="Column6817" dataDxfId="9568"/>
    <tableColumn id="6842" xr3:uid="{985BDA4E-43B6-4E8D-A70A-B1A2D1B2F7C4}" name="Column6818" dataDxfId="9567"/>
    <tableColumn id="6843" xr3:uid="{1F60AE23-93F1-466E-A74D-B669B3A7DF3F}" name="Column6819" dataDxfId="9566"/>
    <tableColumn id="6844" xr3:uid="{2DFC61CF-EF8D-42F1-81A0-6EA7B639C44C}" name="Column6820" dataDxfId="9565"/>
    <tableColumn id="6845" xr3:uid="{E1DAD129-5825-47C8-9579-06ADD2F32C7B}" name="Column6821" dataDxfId="9564"/>
    <tableColumn id="6846" xr3:uid="{68A37F14-0B0C-4251-9264-8447DCE25834}" name="Column6822" dataDxfId="9563"/>
    <tableColumn id="6847" xr3:uid="{432A8806-15E6-4ECA-8F5A-6FDB94D84B76}" name="Column6823" dataDxfId="9562"/>
    <tableColumn id="6848" xr3:uid="{D23A67EC-6F38-4480-9174-7B521C3A3D1C}" name="Column6824" dataDxfId="9561"/>
    <tableColumn id="6849" xr3:uid="{392C0799-F04F-4284-91B1-E3177607D22A}" name="Column6825" dataDxfId="9560"/>
    <tableColumn id="6850" xr3:uid="{02354D86-04F8-4EB7-A2FC-2A79FD0086B0}" name="Column6826" dataDxfId="9559"/>
    <tableColumn id="6851" xr3:uid="{B7F075EB-4C1F-45F0-88CC-DF996E4B4FB2}" name="Column6827" dataDxfId="9558"/>
    <tableColumn id="6852" xr3:uid="{A50AE732-C1EB-437C-8A2E-6F8FC9E5BCAF}" name="Column6828" dataDxfId="9557"/>
    <tableColumn id="6853" xr3:uid="{A253CFC1-29E5-45B8-996B-C435B098B8D6}" name="Column6829" dataDxfId="9556"/>
    <tableColumn id="6854" xr3:uid="{876A4326-5FCC-4EBD-A228-5A2BDBB54943}" name="Column6830" dataDxfId="9555"/>
    <tableColumn id="6855" xr3:uid="{442E8C01-08B4-4785-BF4E-79B2CDFD2C51}" name="Column6831" dataDxfId="9554"/>
    <tableColumn id="6856" xr3:uid="{B3D0A8D6-5CF4-41DA-ADCB-A96C94A78A38}" name="Column6832" dataDxfId="9553"/>
    <tableColumn id="6857" xr3:uid="{42161C3A-0E24-4C97-A977-483F3941B673}" name="Column6833" dataDxfId="9552"/>
    <tableColumn id="6858" xr3:uid="{A3D46E57-8819-457A-BAB9-331395998950}" name="Column6834" dataDxfId="9551"/>
    <tableColumn id="6859" xr3:uid="{80C32664-7037-414E-B5F4-40F7BDAB9D59}" name="Column6835" dataDxfId="9550"/>
    <tableColumn id="6860" xr3:uid="{FD4A2F03-C762-40B2-A7D7-3495C3DD5981}" name="Column6836" dataDxfId="9549"/>
    <tableColumn id="6861" xr3:uid="{5F4FC93B-88B6-4CF5-908E-2CFE876F5EB3}" name="Column6837" dataDxfId="9548"/>
    <tableColumn id="6862" xr3:uid="{31C4E354-C4EF-4FC5-B5FD-5B3510DC04AA}" name="Column6838" dataDxfId="9547"/>
    <tableColumn id="6863" xr3:uid="{6372D13E-13F8-4B68-AFCA-E98A6C0E8B34}" name="Column6839" dataDxfId="9546"/>
    <tableColumn id="6864" xr3:uid="{5B7F0175-33B2-4EC0-A702-3D35A14FAB0E}" name="Column6840" dataDxfId="9545"/>
    <tableColumn id="6865" xr3:uid="{CE4C928E-2746-427B-9C05-ADD1876E9A2F}" name="Column6841" dataDxfId="9544"/>
    <tableColumn id="6866" xr3:uid="{C9021BDC-E6CC-4E2E-B72B-802A70AE9767}" name="Column6842" dataDxfId="9543"/>
    <tableColumn id="6867" xr3:uid="{FE52A98C-BC9F-4994-AF61-6D86A5CFF2D0}" name="Column6843" dataDxfId="9542"/>
    <tableColumn id="6868" xr3:uid="{25F6B51C-6053-40CF-99C0-AED97B56A1CC}" name="Column6844" dataDxfId="9541"/>
    <tableColumn id="6869" xr3:uid="{6DFB05B6-F7C7-4C19-93D5-E4BF7060ACBB}" name="Column6845" dataDxfId="9540"/>
    <tableColumn id="6870" xr3:uid="{885C1D83-0607-4B1B-9286-25AED61FEA3B}" name="Column6846" dataDxfId="9539"/>
    <tableColumn id="6871" xr3:uid="{458655C1-9710-467B-B97C-EA5C446D60D1}" name="Column6847" dataDxfId="9538"/>
    <tableColumn id="6872" xr3:uid="{847953E0-02CF-42A5-AF17-882EEBFFBC83}" name="Column6848" dataDxfId="9537"/>
    <tableColumn id="6873" xr3:uid="{DDB3C77D-DB2D-4CCA-815B-993074AA922B}" name="Column6849" dataDxfId="9536"/>
    <tableColumn id="6874" xr3:uid="{83BB7101-A690-4CC0-8733-E2FF6E79B7CE}" name="Column6850" dataDxfId="9535"/>
    <tableColumn id="6875" xr3:uid="{CC1BC15A-FBEE-477F-911E-FC82604810AB}" name="Column6851" dataDxfId="9534"/>
    <tableColumn id="6876" xr3:uid="{29EA2E8E-7F24-4AF6-8C32-59E045FC1B93}" name="Column6852" dataDxfId="9533"/>
    <tableColumn id="6877" xr3:uid="{33481668-F489-485D-9B25-1BCCA0149F88}" name="Column6853" dataDxfId="9532"/>
    <tableColumn id="6878" xr3:uid="{A4BBF0DA-BA00-4F30-8FAC-BD69763ED3A4}" name="Column6854" dataDxfId="9531"/>
    <tableColumn id="6879" xr3:uid="{7828E890-70E8-4D30-B070-C0DBB9086E96}" name="Column6855" dataDxfId="9530"/>
    <tableColumn id="6880" xr3:uid="{2A519898-F7A5-4E5C-9E88-46ACFDF13A03}" name="Column6856" dataDxfId="9529"/>
    <tableColumn id="6881" xr3:uid="{9677CFB7-4EB8-41A2-98BB-A6449889289E}" name="Column6857" dataDxfId="9528"/>
    <tableColumn id="6882" xr3:uid="{96A70C62-15A1-47A1-BEE2-72E64E6692A0}" name="Column6858" dataDxfId="9527"/>
    <tableColumn id="6883" xr3:uid="{BA115ED3-46EE-4F64-A3DA-F3FBCC950550}" name="Column6859" dataDxfId="9526"/>
    <tableColumn id="6884" xr3:uid="{8DF12F3E-3772-4946-82D0-F25DE2F61290}" name="Column6860" dataDxfId="9525"/>
    <tableColumn id="6885" xr3:uid="{5F1DBF82-E192-4045-A6DE-40B3377FF457}" name="Column6861" dataDxfId="9524"/>
    <tableColumn id="6886" xr3:uid="{85B7FBCE-DEB2-4D05-9ECE-8FAD1395D889}" name="Column6862" dataDxfId="9523"/>
    <tableColumn id="6887" xr3:uid="{B6D16AC8-1B26-42FA-AB46-F02C5B51C91E}" name="Column6863" dataDxfId="9522"/>
    <tableColumn id="6888" xr3:uid="{B53E0066-A290-46E9-932E-A01B307DB86D}" name="Column6864" dataDxfId="9521"/>
    <tableColumn id="6889" xr3:uid="{6193AEA4-4658-4120-917C-ECC138B52BD7}" name="Column6865" dataDxfId="9520"/>
    <tableColumn id="6890" xr3:uid="{6F711310-5EEE-4116-8C13-25A090AB22FA}" name="Column6866" dataDxfId="9519"/>
    <tableColumn id="6891" xr3:uid="{BEF52190-CDAE-438B-AB01-4A005ECA4888}" name="Column6867" dataDxfId="9518"/>
    <tableColumn id="6892" xr3:uid="{4C9454D9-C14A-4CC1-BFFD-D27A008F3E7F}" name="Column6868" dataDxfId="9517"/>
    <tableColumn id="6893" xr3:uid="{ED06371C-E93E-41A9-84DC-5E35D0EF6B07}" name="Column6869" dataDxfId="9516"/>
    <tableColumn id="6894" xr3:uid="{0CB7107A-78C6-48CF-BCAC-331C7B60D289}" name="Column6870" dataDxfId="9515"/>
    <tableColumn id="6895" xr3:uid="{C1167A86-BDD4-472D-9A56-99CB845BBD98}" name="Column6871" dataDxfId="9514"/>
    <tableColumn id="6896" xr3:uid="{ACEB69F3-C451-4658-B501-F77B95C886D5}" name="Column6872" dataDxfId="9513"/>
    <tableColumn id="6897" xr3:uid="{4C8D2033-FE07-4BE4-A07B-EB922E9F2680}" name="Column6873" dataDxfId="9512"/>
    <tableColumn id="6898" xr3:uid="{15D36E1B-EAD4-4F14-A744-567783B44F3D}" name="Column6874" dataDxfId="9511"/>
    <tableColumn id="6899" xr3:uid="{459967D2-99EE-4395-A3F5-D4D3B286BA22}" name="Column6875" dataDxfId="9510"/>
    <tableColumn id="6900" xr3:uid="{AF0845F7-BAA8-4D6F-9F0F-ED3699A98ED5}" name="Column6876" dataDxfId="9509"/>
    <tableColumn id="6901" xr3:uid="{20234E7B-D74C-4E8E-B2A0-A1602F68CBA9}" name="Column6877" dataDxfId="9508"/>
    <tableColumn id="6902" xr3:uid="{B0E66EA5-955C-43A7-A48A-AC841974A1BE}" name="Column6878" dataDxfId="9507"/>
    <tableColumn id="6903" xr3:uid="{8DA97D87-7723-41D5-9D0B-B0765C5B6E52}" name="Column6879" dataDxfId="9506"/>
    <tableColumn id="6904" xr3:uid="{F22272E9-F0E5-43E5-BC06-51ECC53D43DE}" name="Column6880" dataDxfId="9505"/>
    <tableColumn id="6905" xr3:uid="{EBA0F408-6175-49E3-AC3B-AFAF31C8BD98}" name="Column6881" dataDxfId="9504"/>
    <tableColumn id="6906" xr3:uid="{B131F063-7544-4020-8830-6EB78E0EC632}" name="Column6882" dataDxfId="9503"/>
    <tableColumn id="6907" xr3:uid="{B9EF9D93-65F5-4480-8DB7-14B49794AB01}" name="Column6883" dataDxfId="9502"/>
    <tableColumn id="6908" xr3:uid="{1FB32578-4632-4D4B-8013-956A981760B9}" name="Column6884" dataDxfId="9501"/>
    <tableColumn id="6909" xr3:uid="{623F71F9-8C6B-4871-ABAA-46981C967649}" name="Column6885" dataDxfId="9500"/>
    <tableColumn id="6910" xr3:uid="{77918AD6-F2B0-48F8-A33C-5FAC36630537}" name="Column6886" dataDxfId="9499"/>
    <tableColumn id="6911" xr3:uid="{84C92BB3-B550-43A1-962A-79550F497D76}" name="Column6887" dataDxfId="9498"/>
    <tableColumn id="6912" xr3:uid="{99EF875B-5A9E-478E-9B87-30F8DC1907F7}" name="Column6888" dataDxfId="9497"/>
    <tableColumn id="6913" xr3:uid="{ED314F50-D9B3-411C-92D5-174F6DC5BACA}" name="Column6889" dataDxfId="9496"/>
    <tableColumn id="6914" xr3:uid="{31A88DBB-3A9B-4FFC-AD05-A1557F94F53C}" name="Column6890" dataDxfId="9495"/>
    <tableColumn id="6915" xr3:uid="{B5E82E72-1DE7-4BCF-BF2B-03C156D4F563}" name="Column6891" dataDxfId="9494"/>
    <tableColumn id="6916" xr3:uid="{2573DA18-55DA-4086-A38C-0AA81F3615E1}" name="Column6892" dataDxfId="9493"/>
    <tableColumn id="6917" xr3:uid="{765CC83D-7BFE-4FDE-A9F7-7B187B93A3F6}" name="Column6893" dataDxfId="9492"/>
    <tableColumn id="6918" xr3:uid="{804F7F86-E015-4B7D-866D-41CC02F6A818}" name="Column6894" dataDxfId="9491"/>
    <tableColumn id="6919" xr3:uid="{9AA5AE7D-4A05-49AA-8F31-856D3D802E31}" name="Column6895" dataDxfId="9490"/>
    <tableColumn id="6920" xr3:uid="{CFE00BA1-BC37-45F6-9A15-4F6F6E65BCF5}" name="Column6896" dataDxfId="9489"/>
    <tableColumn id="6921" xr3:uid="{12645E8B-F94C-4152-A36E-0C22CFA63E69}" name="Column6897" dataDxfId="9488"/>
    <tableColumn id="6922" xr3:uid="{27996B1C-D5FF-4402-B615-9AC9649D4426}" name="Column6898" dataDxfId="9487"/>
    <tableColumn id="6923" xr3:uid="{A7B57EF6-2C9A-449D-8FF8-E71CEB8EEC12}" name="Column6899" dataDxfId="9486"/>
    <tableColumn id="6924" xr3:uid="{7A85BA78-81B7-4AFE-8AB9-37D0029039A9}" name="Column6900" dataDxfId="9485"/>
    <tableColumn id="6925" xr3:uid="{56E820BF-C664-4895-A921-116A1855A707}" name="Column6901" dataDxfId="9484"/>
    <tableColumn id="6926" xr3:uid="{2F563F44-243A-48C9-B67A-EE1AC2783CE7}" name="Column6902" dataDxfId="9483"/>
    <tableColumn id="6927" xr3:uid="{3643B31B-F658-479A-B052-CC5ABA7D02BC}" name="Column6903" dataDxfId="9482"/>
    <tableColumn id="6928" xr3:uid="{503BDB20-EC83-461A-9D19-25836582F4E8}" name="Column6904" dataDxfId="9481"/>
    <tableColumn id="6929" xr3:uid="{38E91D54-C941-47F4-AD87-1F497362D39F}" name="Column6905" dataDxfId="9480"/>
    <tableColumn id="6930" xr3:uid="{6454A08B-2C6F-4AC3-B566-D5BF589C9E94}" name="Column6906" dataDxfId="9479"/>
    <tableColumn id="6931" xr3:uid="{4762125A-997E-4DC1-99B3-453B58666CEF}" name="Column6907" dataDxfId="9478"/>
    <tableColumn id="6932" xr3:uid="{66B27C9A-45F0-4AE3-987C-4CF2F674B096}" name="Column6908" dataDxfId="9477"/>
    <tableColumn id="6933" xr3:uid="{D8CB963E-2254-459B-835F-596E22D6BDF5}" name="Column6909" dataDxfId="9476"/>
    <tableColumn id="6934" xr3:uid="{565B252D-BD57-4B24-918F-91E3C2606FA8}" name="Column6910" dataDxfId="9475"/>
    <tableColumn id="6935" xr3:uid="{20ACF18D-A99F-45AA-A39A-AED2E569D147}" name="Column6911" dataDxfId="9474"/>
    <tableColumn id="6936" xr3:uid="{79712B5A-6AE8-408D-9751-125132F208D3}" name="Column6912" dataDxfId="9473"/>
    <tableColumn id="6937" xr3:uid="{4F6194F6-00AE-494A-AB64-4B27C84B0558}" name="Column6913" dataDxfId="9472"/>
    <tableColumn id="6938" xr3:uid="{290CCD2B-9A6D-4455-AC47-56A5AB763C03}" name="Column6914" dataDxfId="9471"/>
    <tableColumn id="6939" xr3:uid="{D5D80A45-3E4D-429F-BABC-DEA786541E9E}" name="Column6915" dataDxfId="9470"/>
    <tableColumn id="6940" xr3:uid="{082330FA-B89D-4C34-BF20-E7D4E9327782}" name="Column6916" dataDxfId="9469"/>
    <tableColumn id="6941" xr3:uid="{2EEC4344-F6CE-4113-BFD7-2B133D1EE1DC}" name="Column6917" dataDxfId="9468"/>
    <tableColumn id="6942" xr3:uid="{60DE7B25-1FAC-4D6E-8012-1391D596591B}" name="Column6918" dataDxfId="9467"/>
    <tableColumn id="6943" xr3:uid="{EDEC30C3-CB9D-4315-8B3E-C7340F3C90B7}" name="Column6919" dataDxfId="9466"/>
    <tableColumn id="6944" xr3:uid="{57C0979C-CA54-4FB5-9732-5A367EABD9A6}" name="Column6920" dataDxfId="9465"/>
    <tableColumn id="6945" xr3:uid="{DEA170BE-BCA5-4634-9668-9FE673B667D3}" name="Column6921" dataDxfId="9464"/>
    <tableColumn id="6946" xr3:uid="{BB8200DC-C808-4A71-8000-134DA00BBA22}" name="Column6922" dataDxfId="9463"/>
    <tableColumn id="6947" xr3:uid="{D935C67B-5275-483C-A7CE-3A78AB29431F}" name="Column6923" dataDxfId="9462"/>
    <tableColumn id="6948" xr3:uid="{5F0D5486-3DCD-4861-8C56-C8B435D28D0B}" name="Column6924" dataDxfId="9461"/>
    <tableColumn id="6949" xr3:uid="{BBEF8BAD-07B4-44FA-8505-3DF6FF16E16E}" name="Column6925" dataDxfId="9460"/>
    <tableColumn id="6950" xr3:uid="{93B254CE-63CB-44D8-8EA4-2FD99E7F3A43}" name="Column6926" dataDxfId="9459"/>
    <tableColumn id="6951" xr3:uid="{FD795CF4-FB6A-4758-A0B7-BE0F2C0B5338}" name="Column6927" dataDxfId="9458"/>
    <tableColumn id="6952" xr3:uid="{16DE9CBC-D1ED-4E0C-89ED-7D7B09C8AB00}" name="Column6928" dataDxfId="9457"/>
    <tableColumn id="6953" xr3:uid="{7C920DC7-1358-4698-98DD-AEAB82E48D2F}" name="Column6929" dataDxfId="9456"/>
    <tableColumn id="6954" xr3:uid="{3FBC56B1-143A-4577-8C0C-73A47816401E}" name="Column6930" dataDxfId="9455"/>
    <tableColumn id="6955" xr3:uid="{2200707B-8CAF-4C4C-96B9-3511CC998183}" name="Column6931" dataDxfId="9454"/>
    <tableColumn id="6956" xr3:uid="{AA9CFADD-9E9C-4484-8C66-FEFD72D6FB80}" name="Column6932" dataDxfId="9453"/>
    <tableColumn id="6957" xr3:uid="{0E8502B5-5B9F-4913-BEEA-5C74FBF5CC85}" name="Column6933" dataDxfId="9452"/>
    <tableColumn id="6958" xr3:uid="{181B817D-9DC8-48D8-B95C-E3378A232843}" name="Column6934" dataDxfId="9451"/>
    <tableColumn id="6959" xr3:uid="{50339596-DCD4-4946-9A42-629F28DF76EA}" name="Column6935" dataDxfId="9450"/>
    <tableColumn id="6960" xr3:uid="{9A11ABD6-374B-4E48-9ECC-74B069D8197B}" name="Column6936" dataDxfId="9449"/>
    <tableColumn id="6961" xr3:uid="{E0557CF5-F117-478B-89BA-3CE2A7FF814D}" name="Column6937" dataDxfId="9448"/>
    <tableColumn id="6962" xr3:uid="{2EA0069D-8A7A-4600-BE97-ABE5B562C2ED}" name="Column6938" dataDxfId="9447"/>
    <tableColumn id="6963" xr3:uid="{98D5A57E-95CB-4D18-A019-45F1D4632D92}" name="Column6939" dataDxfId="9446"/>
    <tableColumn id="6964" xr3:uid="{84AE9239-CCD7-4D75-8F37-F759614AEBA6}" name="Column6940" dataDxfId="9445"/>
    <tableColumn id="6965" xr3:uid="{7A742EC3-5F8C-414E-91AB-FF7E34000E5B}" name="Column6941" dataDxfId="9444"/>
    <tableColumn id="6966" xr3:uid="{178F10EE-4C83-4117-A364-14A0BFB34046}" name="Column6942" dataDxfId="9443"/>
    <tableColumn id="6967" xr3:uid="{EACE2BF7-97BC-42C3-81C9-0A9938047E6D}" name="Column6943" dataDxfId="9442"/>
    <tableColumn id="6968" xr3:uid="{18BC7920-DAE6-4E46-A0D2-33CB2688C09A}" name="Column6944" dataDxfId="9441"/>
    <tableColumn id="6969" xr3:uid="{D7B8A91B-096D-4B09-9BB3-DB670654E5D5}" name="Column6945" dataDxfId="9440"/>
    <tableColumn id="6970" xr3:uid="{1C94D1BA-589A-4F3F-967D-88998654F238}" name="Column6946" dataDxfId="9439"/>
    <tableColumn id="6971" xr3:uid="{4E607E7E-E79C-4F23-9D6D-896C0205CDD4}" name="Column6947" dataDxfId="9438"/>
    <tableColumn id="6972" xr3:uid="{D1C2C5C8-D124-4CF9-A813-C4CAE4C1B02B}" name="Column6948" dataDxfId="9437"/>
    <tableColumn id="6973" xr3:uid="{232EDE38-ED8A-4FD2-87D5-94F45B7D9F4C}" name="Column6949" dataDxfId="9436"/>
    <tableColumn id="6974" xr3:uid="{F2B841A1-AC63-4A2E-A8D5-9B2E9A0E1E67}" name="Column6950" dataDxfId="9435"/>
    <tableColumn id="6975" xr3:uid="{0A798344-C743-403F-977D-261D166E684A}" name="Column6951" dataDxfId="9434"/>
    <tableColumn id="6976" xr3:uid="{94551939-403D-481A-8FFC-6B2793CBBAB1}" name="Column6952" dataDxfId="9433"/>
    <tableColumn id="6977" xr3:uid="{48A89FA4-866E-403F-8A17-B77A31928D8E}" name="Column6953" dataDxfId="9432"/>
    <tableColumn id="6978" xr3:uid="{0A94346D-CFD6-48DF-ABEA-0B03F4D001CC}" name="Column6954" dataDxfId="9431"/>
    <tableColumn id="6979" xr3:uid="{85B04A96-679E-4278-AB3C-70493D91AB16}" name="Column6955" dataDxfId="9430"/>
    <tableColumn id="6980" xr3:uid="{A65A1D62-12EE-4586-B419-6F4DA64A7B8F}" name="Column6956" dataDxfId="9429"/>
    <tableColumn id="6981" xr3:uid="{2AA2DE1E-BD89-4D17-8752-6C04C98500A9}" name="Column6957" dataDxfId="9428"/>
    <tableColumn id="6982" xr3:uid="{51A75CC6-8A0D-4BD0-8BA3-4E7558F1298E}" name="Column6958" dataDxfId="9427"/>
    <tableColumn id="6983" xr3:uid="{FCF942C6-D2EF-4AA7-82DF-AA8043365305}" name="Column6959" dataDxfId="9426"/>
    <tableColumn id="6984" xr3:uid="{3A2075A2-4B8D-49FE-BEEE-C2AD5D09AB47}" name="Column6960" dataDxfId="9425"/>
    <tableColumn id="6985" xr3:uid="{A0E1E23B-F981-4BE6-9D48-3CFF695F8FF6}" name="Column6961" dataDxfId="9424"/>
    <tableColumn id="6986" xr3:uid="{F5A4F620-73E4-42AB-920C-1DCE0E48DF2D}" name="Column6962" dataDxfId="9423"/>
    <tableColumn id="6987" xr3:uid="{D66E3C6C-B590-4CC3-B44B-0A443A6367E0}" name="Column6963" dataDxfId="9422"/>
    <tableColumn id="6988" xr3:uid="{A140F5DD-1664-489B-8B80-AD38C9536391}" name="Column6964" dataDxfId="9421"/>
    <tableColumn id="6989" xr3:uid="{F785576B-2CB4-4B26-BA85-47B5BB0A1799}" name="Column6965" dataDxfId="9420"/>
    <tableColumn id="6990" xr3:uid="{01331276-A57E-49D0-9A56-CAFA4125684B}" name="Column6966" dataDxfId="9419"/>
    <tableColumn id="6991" xr3:uid="{52F49B1F-66EE-47A9-AABB-0C2B3A7507FB}" name="Column6967" dataDxfId="9418"/>
    <tableColumn id="6992" xr3:uid="{A7F22258-8117-4776-91C8-4C30B8E8336E}" name="Column6968" dataDxfId="9417"/>
    <tableColumn id="6993" xr3:uid="{89008A46-4CA3-412D-80ED-D3058CEB5D8B}" name="Column6969" dataDxfId="9416"/>
    <tableColumn id="6994" xr3:uid="{529146F2-7B65-4465-B54F-F81C7BCFF327}" name="Column6970" dataDxfId="9415"/>
    <tableColumn id="6995" xr3:uid="{BBE5CCF7-F860-4633-8F51-64C576A6C307}" name="Column6971" dataDxfId="9414"/>
    <tableColumn id="6996" xr3:uid="{E1310A05-AEE2-402F-A52B-763A5E100AD9}" name="Column6972" dataDxfId="9413"/>
    <tableColumn id="6997" xr3:uid="{41401E68-5342-478C-B98A-E78D0B3E9349}" name="Column6973" dataDxfId="9412"/>
    <tableColumn id="6998" xr3:uid="{AB1A090C-BAF6-4C7A-BBE7-2046281E9825}" name="Column6974" dataDxfId="9411"/>
    <tableColumn id="6999" xr3:uid="{665A8EFE-7A3B-49B4-8C3E-D282398D9A10}" name="Column6975" dataDxfId="9410"/>
    <tableColumn id="7000" xr3:uid="{395BCFAF-B610-426E-99DA-4C1E864908E9}" name="Column6976" dataDxfId="9409"/>
    <tableColumn id="7001" xr3:uid="{E8E69005-981C-40E2-9170-E34E7B5DED97}" name="Column6977" dataDxfId="9408"/>
    <tableColumn id="7002" xr3:uid="{108EF239-38BA-4639-941D-C908B488EFBD}" name="Column6978" dataDxfId="9407"/>
    <tableColumn id="7003" xr3:uid="{90AFC6BF-A578-4320-8810-0F83C5C7E045}" name="Column6979" dataDxfId="9406"/>
    <tableColumn id="7004" xr3:uid="{BBDA0494-4AD9-42C6-B261-0BA817528732}" name="Column6980" dataDxfId="9405"/>
    <tableColumn id="7005" xr3:uid="{AA013E96-071C-4EA1-84AB-1F680AB6881F}" name="Column6981" dataDxfId="9404"/>
    <tableColumn id="7006" xr3:uid="{2709967E-A051-402F-BFCC-1D80611309CC}" name="Column6982" dataDxfId="9403"/>
    <tableColumn id="7007" xr3:uid="{66F52FEA-7114-42DB-B9C1-8447CD922C4C}" name="Column6983" dataDxfId="9402"/>
    <tableColumn id="7008" xr3:uid="{497AF66F-E066-4537-A75C-ECDD63B6BFC8}" name="Column6984" dataDxfId="9401"/>
    <tableColumn id="7009" xr3:uid="{0493D39F-12FB-4618-80D6-D4AC52EB653C}" name="Column6985" dataDxfId="9400"/>
    <tableColumn id="7010" xr3:uid="{9C228831-3D2A-4443-B3A2-2DAFEA3685A5}" name="Column6986" dataDxfId="9399"/>
    <tableColumn id="7011" xr3:uid="{91B89855-D5E1-43F6-AD4B-81DC78AB7A77}" name="Column6987" dataDxfId="9398"/>
    <tableColumn id="7012" xr3:uid="{D87F6F9B-A865-4EE0-BC17-C645E0BE013D}" name="Column6988" dataDxfId="9397"/>
    <tableColumn id="7013" xr3:uid="{02C4A3B2-198D-40EC-8448-ED1AEF85685C}" name="Column6989" dataDxfId="9396"/>
    <tableColumn id="7014" xr3:uid="{D50E4066-A55C-4B3B-B5B0-9409155C49EF}" name="Column6990" dataDxfId="9395"/>
    <tableColumn id="7015" xr3:uid="{CC078D3C-C8A8-489C-8A5C-54CFFC522BDD}" name="Column6991" dataDxfId="9394"/>
    <tableColumn id="7016" xr3:uid="{11B67AA7-DEE0-4160-B5D4-F84C8B4E0D13}" name="Column6992" dataDxfId="9393"/>
    <tableColumn id="7017" xr3:uid="{1CEB522E-05E1-4785-93E4-E9D9EE441E8F}" name="Column6993" dataDxfId="9392"/>
    <tableColumn id="7018" xr3:uid="{C57E194C-DEE2-4F76-BAE2-F5BEB3B551E7}" name="Column6994" dataDxfId="9391"/>
    <tableColumn id="7019" xr3:uid="{5B9AFCBE-BC67-487D-8C5A-42F58CC76104}" name="Column6995" dataDxfId="9390"/>
    <tableColumn id="7020" xr3:uid="{7FF839B7-8EB9-4A7C-B6D0-A2A6FD91F99B}" name="Column6996" dataDxfId="9389"/>
    <tableColumn id="7021" xr3:uid="{268778AF-E9CB-46B2-87BD-1DA319C6508F}" name="Column6997" dataDxfId="9388"/>
    <tableColumn id="7022" xr3:uid="{3244A4F4-FE9B-410C-B537-F76AE14C2A05}" name="Column6998" dataDxfId="9387"/>
    <tableColumn id="7023" xr3:uid="{AD7E4E52-0C73-4446-B2C0-EAFF0DA107AE}" name="Column6999" dataDxfId="9386"/>
    <tableColumn id="7024" xr3:uid="{7C78AE99-6E1C-42C2-90A1-7F03A0138145}" name="Column7000" dataDxfId="9385"/>
    <tableColumn id="7025" xr3:uid="{9B314C08-F2CE-4251-98A3-2F760DCD39CF}" name="Column7001" dataDxfId="9384"/>
    <tableColumn id="7026" xr3:uid="{C829F25E-5E56-43FD-8C04-92FD2281D382}" name="Column7002" dataDxfId="9383"/>
    <tableColumn id="7027" xr3:uid="{BBA31B4D-52B4-44CB-BB50-98BBE2872C54}" name="Column7003" dataDxfId="9382"/>
    <tableColumn id="7028" xr3:uid="{EE4976BA-9F5B-4C6F-84E8-1381C2ED0AE0}" name="Column7004" dataDxfId="9381"/>
    <tableColumn id="7029" xr3:uid="{0C88E01C-F71D-4103-AC08-01AE97A4844D}" name="Column7005" dataDxfId="9380"/>
    <tableColumn id="7030" xr3:uid="{AD87D54C-984A-4181-A4AE-B796A95EE798}" name="Column7006" dataDxfId="9379"/>
    <tableColumn id="7031" xr3:uid="{81414370-C866-4728-8590-874436A09724}" name="Column7007" dataDxfId="9378"/>
    <tableColumn id="7032" xr3:uid="{FFF93219-359E-4207-B127-3437E82AC8A8}" name="Column7008" dataDxfId="9377"/>
    <tableColumn id="7033" xr3:uid="{3A9966F3-10EF-469E-8C6F-A3B9AB83A205}" name="Column7009" dataDxfId="9376"/>
    <tableColumn id="7034" xr3:uid="{99EA3D66-1F38-44B3-89BE-9BE81766A672}" name="Column7010" dataDxfId="9375"/>
    <tableColumn id="7035" xr3:uid="{15FB8078-A539-4111-85B1-7BB9D397DFB2}" name="Column7011" dataDxfId="9374"/>
    <tableColumn id="7036" xr3:uid="{F6E9CC6C-17BD-45F2-9597-2C7B6F6836D1}" name="Column7012" dataDxfId="9373"/>
    <tableColumn id="7037" xr3:uid="{3EAAC3C5-84F7-4F1A-A6F8-9F5BB71BC9B6}" name="Column7013" dataDxfId="9372"/>
    <tableColumn id="7038" xr3:uid="{AF72E35C-42A8-4655-891F-BE89506252E6}" name="Column7014" dataDxfId="9371"/>
    <tableColumn id="7039" xr3:uid="{6423F238-0D9C-410C-B05C-6D9FEC876EC7}" name="Column7015" dataDxfId="9370"/>
    <tableColumn id="7040" xr3:uid="{BFC11BDD-6B1A-4281-BD90-D0F747F80DF7}" name="Column7016" dataDxfId="9369"/>
    <tableColumn id="7041" xr3:uid="{4CB747F2-CD26-4CD8-9A3A-F9DE2082622D}" name="Column7017" dataDxfId="9368"/>
    <tableColumn id="7042" xr3:uid="{BA430947-A780-4F28-88A3-2D3DF6482004}" name="Column7018" dataDxfId="9367"/>
    <tableColumn id="7043" xr3:uid="{893CD5BA-41CE-41D0-92F4-3C301EC10CAD}" name="Column7019" dataDxfId="9366"/>
    <tableColumn id="7044" xr3:uid="{833942AB-3BCB-4179-A65F-BF9109A6EC4F}" name="Column7020" dataDxfId="9365"/>
    <tableColumn id="7045" xr3:uid="{1ABCBBEE-8045-42F8-8F24-B5F69753C457}" name="Column7021" dataDxfId="9364"/>
    <tableColumn id="7046" xr3:uid="{A5B1B162-C5A4-4484-8060-4DD1913DE33C}" name="Column7022" dataDxfId="9363"/>
    <tableColumn id="7047" xr3:uid="{F104DBEF-861F-4F3A-BE85-19D416BD6148}" name="Column7023" dataDxfId="9362"/>
    <tableColumn id="7048" xr3:uid="{E5742233-B971-4638-8E96-02A7092A0947}" name="Column7024" dataDxfId="9361"/>
    <tableColumn id="7049" xr3:uid="{16B3F9DE-056B-4B0E-AF50-2E1A403F485B}" name="Column7025" dataDxfId="9360"/>
    <tableColumn id="7050" xr3:uid="{00EF3B74-019D-45C1-9C1F-4B161412445D}" name="Column7026" dataDxfId="9359"/>
    <tableColumn id="7051" xr3:uid="{CEF68C7D-CDB1-4FC9-8AA5-45DBFA3217F4}" name="Column7027" dataDxfId="9358"/>
    <tableColumn id="7052" xr3:uid="{D37795AE-7A67-4E12-A6A9-14D78B0128E7}" name="Column7028" dataDxfId="9357"/>
    <tableColumn id="7053" xr3:uid="{FAE0FECC-AA0C-4E31-9E28-C909FEE386F4}" name="Column7029" dataDxfId="9356"/>
    <tableColumn id="7054" xr3:uid="{FAB7377B-F960-4A90-9410-3EC1F790D345}" name="Column7030" dataDxfId="9355"/>
    <tableColumn id="7055" xr3:uid="{B05A84F9-5658-494F-BC13-4BA0430B85FC}" name="Column7031" dataDxfId="9354"/>
    <tableColumn id="7056" xr3:uid="{1191F6A5-CF71-45A1-A0C8-178668339C32}" name="Column7032" dataDxfId="9353"/>
    <tableColumn id="7057" xr3:uid="{A9140C6B-FD7C-4328-9434-4D701A3397DC}" name="Column7033" dataDxfId="9352"/>
    <tableColumn id="7058" xr3:uid="{6CCCABFD-6197-4F76-B259-CF73ABA74800}" name="Column7034" dataDxfId="9351"/>
    <tableColumn id="7059" xr3:uid="{7F2E6782-4BD9-47CF-B568-7066E86C174D}" name="Column7035" dataDxfId="9350"/>
    <tableColumn id="7060" xr3:uid="{277203A3-9464-4768-97CC-3F3C0FD17245}" name="Column7036" dataDxfId="9349"/>
    <tableColumn id="7061" xr3:uid="{454F150F-D170-4FCE-B022-E7F80C40EBE8}" name="Column7037" dataDxfId="9348"/>
    <tableColumn id="7062" xr3:uid="{8A10D5C1-5B3F-43EE-B3CB-05325A33C34F}" name="Column7038" dataDxfId="9347"/>
    <tableColumn id="7063" xr3:uid="{9E2A2A9F-17DE-4716-914B-49D1A9967507}" name="Column7039" dataDxfId="9346"/>
    <tableColumn id="7064" xr3:uid="{7057FCC0-353D-4A3E-9559-FE1BC3079882}" name="Column7040" dataDxfId="9345"/>
    <tableColumn id="7065" xr3:uid="{CF37F923-C4A7-4790-AD56-8A850723769F}" name="Column7041" dataDxfId="9344"/>
    <tableColumn id="7066" xr3:uid="{9FCDF20D-91EF-4915-A7FF-5898D1673116}" name="Column7042" dataDxfId="9343"/>
    <tableColumn id="7067" xr3:uid="{C046A5E1-B547-476D-B039-CEC9EBFD84B0}" name="Column7043" dataDxfId="9342"/>
    <tableColumn id="7068" xr3:uid="{75611607-3436-4858-9E4D-E88B39D9B2A6}" name="Column7044" dataDxfId="9341"/>
    <tableColumn id="7069" xr3:uid="{8426BC99-C808-41C2-8F6F-C0D3BFDB6BAB}" name="Column7045" dataDxfId="9340"/>
    <tableColumn id="7070" xr3:uid="{5D8000BE-C99A-4A53-90F9-9D8CE32EFB28}" name="Column7046" dataDxfId="9339"/>
    <tableColumn id="7071" xr3:uid="{8FC7892F-6AEA-4A6D-9282-1CC011D54934}" name="Column7047" dataDxfId="9338"/>
    <tableColumn id="7072" xr3:uid="{558082A2-9BC1-4C56-9E14-46AC5B8F1015}" name="Column7048" dataDxfId="9337"/>
    <tableColumn id="7073" xr3:uid="{5FBD25F5-21E6-47D8-ABC9-7AA16E3DD614}" name="Column7049" dataDxfId="9336"/>
    <tableColumn id="7074" xr3:uid="{0CC90915-FE60-4AA5-B1BE-EA98A884242F}" name="Column7050" dataDxfId="9335"/>
    <tableColumn id="7075" xr3:uid="{8CECAFC4-3C34-4EAF-A969-51DBDBFAE6CE}" name="Column7051" dataDxfId="9334"/>
    <tableColumn id="7076" xr3:uid="{C51F04C0-DA6A-41F0-9676-090E1BBE517A}" name="Column7052" dataDxfId="9333"/>
    <tableColumn id="7077" xr3:uid="{C350662C-A173-4CB8-834D-36E2B3814CE9}" name="Column7053" dataDxfId="9332"/>
    <tableColumn id="7078" xr3:uid="{5FA8F434-D4FE-4905-98F9-4A33D7DD422D}" name="Column7054" dataDxfId="9331"/>
    <tableColumn id="7079" xr3:uid="{208905AC-5909-42FE-89DC-7304D4531F3C}" name="Column7055" dataDxfId="9330"/>
    <tableColumn id="7080" xr3:uid="{A116A976-46B0-4645-A879-1991BB889CE2}" name="Column7056" dataDxfId="9329"/>
    <tableColumn id="7081" xr3:uid="{E603AE51-C10A-42A0-8789-67AFA4AF0C23}" name="Column7057" dataDxfId="9328"/>
    <tableColumn id="7082" xr3:uid="{4AEC6909-9E30-47D8-B70C-8D408F2D24C6}" name="Column7058" dataDxfId="9327"/>
    <tableColumn id="7083" xr3:uid="{8118F6D4-2E19-4242-B63A-0159AC78698F}" name="Column7059" dataDxfId="9326"/>
    <tableColumn id="7084" xr3:uid="{B3E53CB2-F142-4F27-AFB7-9618BEBE899A}" name="Column7060" dataDxfId="9325"/>
    <tableColumn id="7085" xr3:uid="{4C3482C0-E416-4CA5-9EF4-A53F409C521C}" name="Column7061" dataDxfId="9324"/>
    <tableColumn id="7086" xr3:uid="{1EDDA52B-FA7F-4817-B6C6-F461D295D744}" name="Column7062" dataDxfId="9323"/>
    <tableColumn id="7087" xr3:uid="{604E7EC6-5384-4D1B-B40C-0F648585C080}" name="Column7063" dataDxfId="9322"/>
    <tableColumn id="7088" xr3:uid="{C4A836E0-EFBC-42C4-950E-EF38F8053B37}" name="Column7064" dataDxfId="9321"/>
    <tableColumn id="7089" xr3:uid="{D6B32698-FE6F-4FE0-9CF1-9717A6205243}" name="Column7065" dataDxfId="9320"/>
    <tableColumn id="7090" xr3:uid="{53C9BE17-4545-4D88-9111-956A707ED36B}" name="Column7066" dataDxfId="9319"/>
    <tableColumn id="7091" xr3:uid="{6D2952B7-2291-4194-B244-5B9E444C24FF}" name="Column7067" dataDxfId="9318"/>
    <tableColumn id="7092" xr3:uid="{6DA6BB6C-24D6-433F-A15D-8D31D2F47332}" name="Column7068" dataDxfId="9317"/>
    <tableColumn id="7093" xr3:uid="{7F74782A-EED4-4480-9E89-04A8C9C59FC7}" name="Column7069" dataDxfId="9316"/>
    <tableColumn id="7094" xr3:uid="{7904DA39-1FD6-469B-8D96-06710159254C}" name="Column7070" dataDxfId="9315"/>
    <tableColumn id="7095" xr3:uid="{2232C0E7-513B-4C4D-867F-983A6722A7B2}" name="Column7071" dataDxfId="9314"/>
    <tableColumn id="7096" xr3:uid="{6ED50774-0643-45CC-B4E9-1A02DE582974}" name="Column7072" dataDxfId="9313"/>
    <tableColumn id="7097" xr3:uid="{741AAD95-9779-4326-9621-08FB1213CCA5}" name="Column7073" dataDxfId="9312"/>
    <tableColumn id="7098" xr3:uid="{287E264F-DA44-4BE8-B994-3DE65F81C905}" name="Column7074" dataDxfId="9311"/>
    <tableColumn id="7099" xr3:uid="{DFD790F4-F455-452B-9AAA-7CB8EE0275D6}" name="Column7075" dataDxfId="9310"/>
    <tableColumn id="7100" xr3:uid="{9C4D15D8-80F5-4632-9681-B8877096A491}" name="Column7076" dataDxfId="9309"/>
    <tableColumn id="7101" xr3:uid="{7A3A0D8D-5FAF-4EFB-8A1D-4CD6B9E16D84}" name="Column7077" dataDxfId="9308"/>
    <tableColumn id="7102" xr3:uid="{43AFB044-C6AB-4051-8B34-7DC59FDC1E07}" name="Column7078" dataDxfId="9307"/>
    <tableColumn id="7103" xr3:uid="{B37B19E5-6B79-48C2-8859-C8A69AC16F2B}" name="Column7079" dataDxfId="9306"/>
    <tableColumn id="7104" xr3:uid="{73DA2E1C-8298-4793-AC30-3A0234962388}" name="Column7080" dataDxfId="9305"/>
    <tableColumn id="7105" xr3:uid="{34D3E244-66D3-4577-9F9A-1C394AC60213}" name="Column7081" dataDxfId="9304"/>
    <tableColumn id="7106" xr3:uid="{ED48908B-0657-4112-A846-39181B02006A}" name="Column7082" dataDxfId="9303"/>
    <tableColumn id="7107" xr3:uid="{CC5EDBD9-272D-4B8E-887B-BC923AE23F3F}" name="Column7083" dataDxfId="9302"/>
    <tableColumn id="7108" xr3:uid="{DB2DF9B7-1D94-4393-AEA9-AAA9ECBC5F15}" name="Column7084" dataDxfId="9301"/>
    <tableColumn id="7109" xr3:uid="{87B6C249-EE7B-4140-BF22-4C0D8B98A4A5}" name="Column7085" dataDxfId="9300"/>
    <tableColumn id="7110" xr3:uid="{BC1818DB-2CC0-44A4-8A86-61A4A20FD14F}" name="Column7086" dataDxfId="9299"/>
    <tableColumn id="7111" xr3:uid="{DFB63EA3-6673-45AF-AA65-544B66E12AF8}" name="Column7087" dataDxfId="9298"/>
    <tableColumn id="7112" xr3:uid="{B41A4ED1-BE64-4E31-BDA3-F36831F43C72}" name="Column7088" dataDxfId="9297"/>
    <tableColumn id="7113" xr3:uid="{AE8AC600-6A92-436F-97B7-D50A03DE9510}" name="Column7089" dataDxfId="9296"/>
    <tableColumn id="7114" xr3:uid="{9BD506A7-7E16-462B-A55E-A3CB43154083}" name="Column7090" dataDxfId="9295"/>
    <tableColumn id="7115" xr3:uid="{CEDC025A-2254-4744-AA5E-A43AA841442B}" name="Column7091" dataDxfId="9294"/>
    <tableColumn id="7116" xr3:uid="{FF54C50A-65C3-4268-BA4F-FA6F80580128}" name="Column7092" dataDxfId="9293"/>
    <tableColumn id="7117" xr3:uid="{FCCB5EFD-CB82-47DE-A346-EB1146F09C19}" name="Column7093" dataDxfId="9292"/>
    <tableColumn id="7118" xr3:uid="{64D95DDB-A44B-4A18-A8D6-580FD51246AB}" name="Column7094" dataDxfId="9291"/>
    <tableColumn id="7119" xr3:uid="{8F5906B4-30CC-4A8F-88A5-32EE7AA2F42B}" name="Column7095" dataDxfId="9290"/>
    <tableColumn id="7120" xr3:uid="{90CA94A4-BF37-400F-AF2A-6AF4680CFBEC}" name="Column7096" dataDxfId="9289"/>
    <tableColumn id="7121" xr3:uid="{4787E15C-A9B1-4F11-9E35-BD26D019C7B6}" name="Column7097" dataDxfId="9288"/>
    <tableColumn id="7122" xr3:uid="{2F805A5F-23F3-4A44-BCE4-C5E7DC515663}" name="Column7098" dataDxfId="9287"/>
    <tableColumn id="7123" xr3:uid="{373B7D8C-038F-4101-87CE-D438E7013F35}" name="Column7099" dataDxfId="9286"/>
    <tableColumn id="7124" xr3:uid="{8D3F3E25-AB4E-4137-9DA8-7A81676A3556}" name="Column7100" dataDxfId="9285"/>
    <tableColumn id="7125" xr3:uid="{0CEB7C10-E800-4D0C-8311-5CB9012F8B55}" name="Column7101" dataDxfId="9284"/>
    <tableColumn id="7126" xr3:uid="{F9047C68-F062-4CCD-97D5-78BC3169A5B1}" name="Column7102" dataDxfId="9283"/>
    <tableColumn id="7127" xr3:uid="{D3A3A227-5A2D-4602-BCD2-93D91E2E5511}" name="Column7103" dataDxfId="9282"/>
    <tableColumn id="7128" xr3:uid="{16BA0EA2-06AC-4D9B-B9C5-2BF963431236}" name="Column7104" dataDxfId="9281"/>
    <tableColumn id="7129" xr3:uid="{EDEABA1B-330E-471A-BDEF-96DF090BBCA3}" name="Column7105" dataDxfId="9280"/>
    <tableColumn id="7130" xr3:uid="{E53DF5E1-A91E-4EB2-AC21-297C4301515D}" name="Column7106" dataDxfId="9279"/>
    <tableColumn id="7131" xr3:uid="{175E281F-AE66-4E14-A557-D824550F04C0}" name="Column7107" dataDxfId="9278"/>
    <tableColumn id="7132" xr3:uid="{E0DB12B4-4EFA-44DA-BE86-C65D99ADB49E}" name="Column7108" dataDxfId="9277"/>
    <tableColumn id="7133" xr3:uid="{499A9C53-BC42-40A2-BD09-7F4BD14A706F}" name="Column7109" dataDxfId="9276"/>
    <tableColumn id="7134" xr3:uid="{D7615971-4AB9-4024-85BF-728FD50F764E}" name="Column7110" dataDxfId="9275"/>
    <tableColumn id="7135" xr3:uid="{FFD68A66-D12A-41C1-853F-6A01B36D73A0}" name="Column7111" dataDxfId="9274"/>
    <tableColumn id="7136" xr3:uid="{441B55A9-17B4-4358-8935-7BA213465617}" name="Column7112" dataDxfId="9273"/>
    <tableColumn id="7137" xr3:uid="{7F8DC3B7-51CE-4D39-893E-12728CA3DB4A}" name="Column7113" dataDxfId="9272"/>
    <tableColumn id="7138" xr3:uid="{EFC97829-FCC9-46F9-884B-38E4F61923E2}" name="Column7114" dataDxfId="9271"/>
    <tableColumn id="7139" xr3:uid="{2390558C-83DE-483F-9FC8-E95A14CC61E8}" name="Column7115" dataDxfId="9270"/>
    <tableColumn id="7140" xr3:uid="{0AB83307-9825-4A0F-BACE-4CCD67B45511}" name="Column7116" dataDxfId="9269"/>
    <tableColumn id="7141" xr3:uid="{AD4DDA53-BCEF-45C1-BEAC-DCB383E3C785}" name="Column7117" dataDxfId="9268"/>
    <tableColumn id="7142" xr3:uid="{3909627E-0454-4846-A250-4BE931330CF0}" name="Column7118" dataDxfId="9267"/>
    <tableColumn id="7143" xr3:uid="{762F873B-6274-457E-8A42-BF4C64A2EA24}" name="Column7119" dataDxfId="9266"/>
    <tableColumn id="7144" xr3:uid="{719D02D1-D86C-4FBF-81C9-7276B88AF8D5}" name="Column7120" dataDxfId="9265"/>
    <tableColumn id="7145" xr3:uid="{D89E9367-48CD-413B-A823-87B2C4E7E7E2}" name="Column7121" dataDxfId="9264"/>
    <tableColumn id="7146" xr3:uid="{C5BE4F63-2607-4FBE-9543-A03A435B54E0}" name="Column7122" dataDxfId="9263"/>
    <tableColumn id="7147" xr3:uid="{54D2DE89-8A28-45B6-B435-FFC89CD62E62}" name="Column7123" dataDxfId="9262"/>
    <tableColumn id="7148" xr3:uid="{83EA7296-7587-47A9-BA8F-A6D0C2D3C8C0}" name="Column7124" dataDxfId="9261"/>
    <tableColumn id="7149" xr3:uid="{CEC81C8D-A994-4A61-8911-1E3473A22E7A}" name="Column7125" dataDxfId="9260"/>
    <tableColumn id="7150" xr3:uid="{91C2BF4E-EC65-45DC-A227-A8E3BDE4641B}" name="Column7126" dataDxfId="9259"/>
    <tableColumn id="7151" xr3:uid="{D3FDDD9E-A75B-40F8-9923-0996BE66A981}" name="Column7127" dataDxfId="9258"/>
    <tableColumn id="7152" xr3:uid="{FC3C7466-8EF1-4BD3-B243-CFC74582F6B3}" name="Column7128" dataDxfId="9257"/>
    <tableColumn id="7153" xr3:uid="{AB467650-1051-4BA2-93A0-1C8CD720C1A1}" name="Column7129" dataDxfId="9256"/>
    <tableColumn id="7154" xr3:uid="{10EF9AA6-BEEB-4FC8-9146-5ED0E7D97060}" name="Column7130" dataDxfId="9255"/>
    <tableColumn id="7155" xr3:uid="{39DCDDB0-7D21-4C24-AB14-9F8726B5AE20}" name="Column7131" dataDxfId="9254"/>
    <tableColumn id="7156" xr3:uid="{7C48D552-4D4C-4769-85AB-7EB4780A74D1}" name="Column7132" dataDxfId="9253"/>
    <tableColumn id="7157" xr3:uid="{1319EBB9-5843-4DC1-9F5D-57AC71ADEB77}" name="Column7133" dataDxfId="9252"/>
    <tableColumn id="7158" xr3:uid="{94963050-75B2-4941-8AE6-19374DAC912E}" name="Column7134" dataDxfId="9251"/>
    <tableColumn id="7159" xr3:uid="{088222BB-E049-43E5-B88C-B2AABA48BB63}" name="Column7135" dataDxfId="9250"/>
    <tableColumn id="7160" xr3:uid="{B876E2A4-D405-4976-B2B0-B18F325E8C24}" name="Column7136" dataDxfId="9249"/>
    <tableColumn id="7161" xr3:uid="{98BD15EB-CA69-467F-B398-A73760E28150}" name="Column7137" dataDxfId="9248"/>
    <tableColumn id="7162" xr3:uid="{39FC8D8D-5695-4137-9D61-E55279A5BD68}" name="Column7138" dataDxfId="9247"/>
    <tableColumn id="7163" xr3:uid="{453D7780-130D-4944-BBBE-5B1F898F9FDF}" name="Column7139" dataDxfId="9246"/>
    <tableColumn id="7164" xr3:uid="{3465480D-A1CD-42BE-AF8E-50E414827D7F}" name="Column7140" dataDxfId="9245"/>
    <tableColumn id="7165" xr3:uid="{9DC6F12B-1F10-4677-BF4F-2892008DD44F}" name="Column7141" dataDxfId="9244"/>
    <tableColumn id="7166" xr3:uid="{1A93B356-F16A-4934-B31D-02AD80379FEA}" name="Column7142" dataDxfId="9243"/>
    <tableColumn id="7167" xr3:uid="{EF25F973-A84A-4ED8-B5CE-4DD6864C64A1}" name="Column7143" dataDxfId="9242"/>
    <tableColumn id="7168" xr3:uid="{75DE9794-1E7F-463D-BDC1-A1B3864A713A}" name="Column7144" dataDxfId="9241"/>
    <tableColumn id="7169" xr3:uid="{4D089EF3-2795-4420-9843-E316E6DC680B}" name="Column7145" dataDxfId="9240"/>
    <tableColumn id="7170" xr3:uid="{7FF1F471-F399-41B6-974C-779E3714F7E6}" name="Column7146" dataDxfId="9239"/>
    <tableColumn id="7171" xr3:uid="{B9D4A65B-9CBA-4D1C-86CB-CB935DB208B4}" name="Column7147" dataDxfId="9238"/>
    <tableColumn id="7172" xr3:uid="{D3629C90-A94A-488A-93E3-54705E54980F}" name="Column7148" dataDxfId="9237"/>
    <tableColumn id="7173" xr3:uid="{1C472BD6-B620-4C6B-94CB-7D7F726F71A1}" name="Column7149" dataDxfId="9236"/>
    <tableColumn id="7174" xr3:uid="{7A36C2E8-D554-4996-AEB7-C599CB85466C}" name="Column7150" dataDxfId="9235"/>
    <tableColumn id="7175" xr3:uid="{94FCE896-60C0-4396-B36A-8A79DA15BA90}" name="Column7151" dataDxfId="9234"/>
    <tableColumn id="7176" xr3:uid="{E0C0F2BB-5D1F-4A07-A9E7-530849E92650}" name="Column7152" dataDxfId="9233"/>
    <tableColumn id="7177" xr3:uid="{4B26E8C7-295D-43EA-9883-B616B25FF4A0}" name="Column7153" dataDxfId="9232"/>
    <tableColumn id="7178" xr3:uid="{EB457AA0-317F-47C0-938F-E07CF28B9AD1}" name="Column7154" dataDxfId="9231"/>
    <tableColumn id="7179" xr3:uid="{C0E2E3CB-327E-4D75-B444-BF3203DABFDD}" name="Column7155" dataDxfId="9230"/>
    <tableColumn id="7180" xr3:uid="{E942EC69-03AB-4429-BA29-351EF79750DD}" name="Column7156" dataDxfId="9229"/>
    <tableColumn id="7181" xr3:uid="{95D7776B-A5D0-4516-A1D5-9D30013C66F7}" name="Column7157" dataDxfId="9228"/>
    <tableColumn id="7182" xr3:uid="{93401683-187C-4400-9E74-5995C7A5B160}" name="Column7158" dataDxfId="9227"/>
    <tableColumn id="7183" xr3:uid="{62FC76B4-783B-48AF-8835-10290B60095E}" name="Column7159" dataDxfId="9226"/>
    <tableColumn id="7184" xr3:uid="{3AA535E8-742F-43F6-962D-F6AAC6834B12}" name="Column7160" dataDxfId="9225"/>
    <tableColumn id="7185" xr3:uid="{64D3446A-9730-45E5-9045-AF6349126004}" name="Column7161" dataDxfId="9224"/>
    <tableColumn id="7186" xr3:uid="{B6E53CC1-C629-4E2C-99D6-7C7250C4E485}" name="Column7162" dataDxfId="9223"/>
    <tableColumn id="7187" xr3:uid="{BA9B3C01-F752-4FD9-9D99-8B4016FC45CD}" name="Column7163" dataDxfId="9222"/>
    <tableColumn id="7188" xr3:uid="{ACDC08CF-FC82-40CF-BE15-8698B936A19D}" name="Column7164" dataDxfId="9221"/>
    <tableColumn id="7189" xr3:uid="{44225798-00C4-40D2-8E0C-E51A8351B691}" name="Column7165" dataDxfId="9220"/>
    <tableColumn id="7190" xr3:uid="{9DDBC9B9-0CD1-4ED0-BB8A-3744D2D119E1}" name="Column7166" dataDxfId="9219"/>
    <tableColumn id="7191" xr3:uid="{6C4F4D3E-114A-4C78-9DC4-9B5D19AA41C8}" name="Column7167" dataDxfId="9218"/>
    <tableColumn id="7192" xr3:uid="{CC1F9BEC-BBD7-471F-87FB-B6A27C8E1621}" name="Column7168" dataDxfId="9217"/>
    <tableColumn id="7193" xr3:uid="{3032F059-056E-4853-A5A5-38D934EAA127}" name="Column7169" dataDxfId="9216"/>
    <tableColumn id="7194" xr3:uid="{7BE5C2F0-2759-466C-9340-90F6D8CD0F51}" name="Column7170" dataDxfId="9215"/>
    <tableColumn id="7195" xr3:uid="{FAF8E9E0-2261-4570-921C-12634DF53621}" name="Column7171" dataDxfId="9214"/>
    <tableColumn id="7196" xr3:uid="{0B76A91A-864D-47D9-A428-B67218EE652B}" name="Column7172" dataDxfId="9213"/>
    <tableColumn id="7197" xr3:uid="{DD6985E9-6AE2-4F70-A23B-E9526C17E0F1}" name="Column7173" dataDxfId="9212"/>
    <tableColumn id="7198" xr3:uid="{A679206C-FDC1-4E98-9030-98F5365B720B}" name="Column7174" dataDxfId="9211"/>
    <tableColumn id="7199" xr3:uid="{36CCA228-3D37-4156-8236-78587EA58873}" name="Column7175" dataDxfId="9210"/>
    <tableColumn id="7200" xr3:uid="{0CB4C8CB-D301-4F22-A216-FC8E40632F6D}" name="Column7176" dataDxfId="9209"/>
    <tableColumn id="7201" xr3:uid="{28756ABE-54CC-4A22-8CBF-41D0B377C9DD}" name="Column7177" dataDxfId="9208"/>
    <tableColumn id="7202" xr3:uid="{8E148640-0930-456D-81FE-51C8632E9F94}" name="Column7178" dataDxfId="9207"/>
    <tableColumn id="7203" xr3:uid="{EC635201-C748-466A-B8F3-7ADEC1025D2F}" name="Column7179" dataDxfId="9206"/>
    <tableColumn id="7204" xr3:uid="{58DB5916-637E-4DE0-BC97-775A8CD4D974}" name="Column7180" dataDxfId="9205"/>
    <tableColumn id="7205" xr3:uid="{373BB358-9FF1-4A7C-8D64-C904739934E9}" name="Column7181" dataDxfId="9204"/>
    <tableColumn id="7206" xr3:uid="{DA9D0133-45B5-4582-B0A7-EA54B4C2439F}" name="Column7182" dataDxfId="9203"/>
    <tableColumn id="7207" xr3:uid="{36EA2F35-7996-4CFE-9068-498F818400CD}" name="Column7183" dataDxfId="9202"/>
    <tableColumn id="7208" xr3:uid="{C6C3916F-4D04-42B1-BF33-E7C6EE61B225}" name="Column7184" dataDxfId="9201"/>
    <tableColumn id="7209" xr3:uid="{8B31A031-DB54-482A-8BC2-13673F60A310}" name="Column7185" dataDxfId="9200"/>
    <tableColumn id="7210" xr3:uid="{4B0AFCF7-89EF-4CE6-93B1-E1E7FA1264BB}" name="Column7186" dataDxfId="9199"/>
    <tableColumn id="7211" xr3:uid="{6C7FAA64-5656-4BB8-90C0-CC8379ABF0DF}" name="Column7187" dataDxfId="9198"/>
    <tableColumn id="7212" xr3:uid="{DD01AAF8-169F-420D-8DEE-7EC228A7A986}" name="Column7188" dataDxfId="9197"/>
    <tableColumn id="7213" xr3:uid="{7FCD4BE4-95C9-4916-B34B-A417BC2FE2C6}" name="Column7189" dataDxfId="9196"/>
    <tableColumn id="7214" xr3:uid="{FDAF592F-6538-43F9-AF0F-13D062E82E9B}" name="Column7190" dataDxfId="9195"/>
    <tableColumn id="7215" xr3:uid="{22F923A9-F4FE-4AE7-932F-37B4CD17846B}" name="Column7191" dataDxfId="9194"/>
    <tableColumn id="7216" xr3:uid="{D31FE79B-4C53-4066-8D41-A4B21C810D77}" name="Column7192" dataDxfId="9193"/>
    <tableColumn id="7217" xr3:uid="{F13FA763-9D37-4F7F-94E8-FBDFED77CEE4}" name="Column7193" dataDxfId="9192"/>
    <tableColumn id="7218" xr3:uid="{C6931C7D-763D-4432-9395-C8C2AAEA5118}" name="Column7194" dataDxfId="9191"/>
    <tableColumn id="7219" xr3:uid="{F257FE20-AE1F-472F-B834-F41158813F6D}" name="Column7195" dataDxfId="9190"/>
    <tableColumn id="7220" xr3:uid="{1A94308F-BCEE-431F-A9AC-DEB48D6A5D2E}" name="Column7196" dataDxfId="9189"/>
    <tableColumn id="7221" xr3:uid="{1D1CCC39-1E90-4CBF-A4C7-3A2ECDCE1ACB}" name="Column7197" dataDxfId="9188"/>
    <tableColumn id="7222" xr3:uid="{6B4F9718-C88F-44CB-8EED-E4334B7207D6}" name="Column7198" dataDxfId="9187"/>
    <tableColumn id="7223" xr3:uid="{EA964606-F8F8-4083-B246-302D81A3401C}" name="Column7199" dataDxfId="9186"/>
    <tableColumn id="7224" xr3:uid="{87C5565D-A49A-4425-975B-10A0E5A758DA}" name="Column7200" dataDxfId="9185"/>
    <tableColumn id="7225" xr3:uid="{5695603B-44B0-4944-BD67-0C2CC4DEF265}" name="Column7201" dataDxfId="9184"/>
    <tableColumn id="7226" xr3:uid="{2E7E8E2E-ECF4-43EE-92F3-FF167BD651D4}" name="Column7202" dataDxfId="9183"/>
    <tableColumn id="7227" xr3:uid="{A668DA44-1E81-4C03-946E-FBE4965C78A8}" name="Column7203" dataDxfId="9182"/>
    <tableColumn id="7228" xr3:uid="{B9B17A10-F0E7-43EE-9816-4B9D9A9D7222}" name="Column7204" dataDxfId="9181"/>
    <tableColumn id="7229" xr3:uid="{9990909D-45EB-4ECE-9DA0-3A15C6379915}" name="Column7205" dataDxfId="9180"/>
    <tableColumn id="7230" xr3:uid="{74DA1682-816F-4ACA-A6F9-8C8AED901279}" name="Column7206" dataDxfId="9179"/>
    <tableColumn id="7231" xr3:uid="{DCF51652-4F28-4930-A778-C1FF75092FC8}" name="Column7207" dataDxfId="9178"/>
    <tableColumn id="7232" xr3:uid="{ED7AEAF7-9811-4728-BA5B-D006470D70F0}" name="Column7208" dataDxfId="9177"/>
    <tableColumn id="7233" xr3:uid="{D1E2F7EF-74C7-42EB-85F7-43164E0E7AC9}" name="Column7209" dataDxfId="9176"/>
    <tableColumn id="7234" xr3:uid="{E415E525-FEEF-4593-9BC0-846B5D046D05}" name="Column7210" dataDxfId="9175"/>
    <tableColumn id="7235" xr3:uid="{8F4756A8-7D35-4203-83AE-CB3CF65EED79}" name="Column7211" dataDxfId="9174"/>
    <tableColumn id="7236" xr3:uid="{D53FAA09-473E-47E5-A442-B23B606CF72E}" name="Column7212" dataDxfId="9173"/>
    <tableColumn id="7237" xr3:uid="{20D3F93A-6551-4AA0-80DA-AF6FC5EC174D}" name="Column7213" dataDxfId="9172"/>
    <tableColumn id="7238" xr3:uid="{DF86610F-453B-4F1E-9944-B3F0DF9F22B0}" name="Column7214" dataDxfId="9171"/>
    <tableColumn id="7239" xr3:uid="{44BCD32B-1273-4E2D-B381-813775AFB4DE}" name="Column7215" dataDxfId="9170"/>
    <tableColumn id="7240" xr3:uid="{4AB189F0-FD82-4D71-A35D-8410AFFA6392}" name="Column7216" dataDxfId="9169"/>
    <tableColumn id="7241" xr3:uid="{E255D60E-FFD4-4B3C-8EA3-7591C219A940}" name="Column7217" dataDxfId="9168"/>
    <tableColumn id="7242" xr3:uid="{2A95B1F6-81CE-4DB0-B2B2-2E79575573B7}" name="Column7218" dataDxfId="9167"/>
    <tableColumn id="7243" xr3:uid="{99905F6A-2089-43FA-A7FC-446D4771FA13}" name="Column7219" dataDxfId="9166"/>
    <tableColumn id="7244" xr3:uid="{53EF8FB9-9B76-4465-B327-8B40EE88C8AB}" name="Column7220" dataDxfId="9165"/>
    <tableColumn id="7245" xr3:uid="{89BC7D79-CD12-4F0D-899E-B8BB995C4F34}" name="Column7221" dataDxfId="9164"/>
    <tableColumn id="7246" xr3:uid="{5627E9A5-9885-49F0-A725-FAE216DA96EB}" name="Column7222" dataDxfId="9163"/>
    <tableColumn id="7247" xr3:uid="{B96E6C49-224E-4204-AA8F-D929C0DA123D}" name="Column7223" dataDxfId="9162"/>
    <tableColumn id="7248" xr3:uid="{B11F6366-7EAD-452F-935D-9E66981534A7}" name="Column7224" dataDxfId="9161"/>
    <tableColumn id="7249" xr3:uid="{BDFBDD22-4F5D-4575-9166-6E3751DCEE6E}" name="Column7225" dataDxfId="9160"/>
    <tableColumn id="7250" xr3:uid="{21717C45-6347-402F-9381-9D14F6B2DD3D}" name="Column7226" dataDxfId="9159"/>
    <tableColumn id="7251" xr3:uid="{5077FDAE-1601-482C-BA9A-ECB2D4D604F6}" name="Column7227" dataDxfId="9158"/>
    <tableColumn id="7252" xr3:uid="{1DE10D02-6A0B-4A88-856D-79A5F06A96A6}" name="Column7228" dataDxfId="9157"/>
    <tableColumn id="7253" xr3:uid="{03E0E8AF-6947-47D4-983C-878C53733385}" name="Column7229" dataDxfId="9156"/>
    <tableColumn id="7254" xr3:uid="{77A778DC-4CFE-4817-BD97-31579638CBD4}" name="Column7230" dataDxfId="9155"/>
    <tableColumn id="7255" xr3:uid="{C28F0C0D-0749-4073-BBE7-2D527E2B175A}" name="Column7231" dataDxfId="9154"/>
    <tableColumn id="7256" xr3:uid="{59881479-87F5-49B4-A574-D54D82166FF2}" name="Column7232" dataDxfId="9153"/>
    <tableColumn id="7257" xr3:uid="{688E4BE1-F61C-4EC4-BEB1-F8BBC7977A4A}" name="Column7233" dataDxfId="9152"/>
    <tableColumn id="7258" xr3:uid="{486EF604-0FC4-4336-B2EC-9A6185C2113D}" name="Column7234" dataDxfId="9151"/>
    <tableColumn id="7259" xr3:uid="{3C269990-97C8-44FC-8C3C-EFE58ABAAD47}" name="Column7235" dataDxfId="9150"/>
    <tableColumn id="7260" xr3:uid="{BD2A2C51-0667-4287-AF46-ADD0B7012E9D}" name="Column7236" dataDxfId="9149"/>
    <tableColumn id="7261" xr3:uid="{3D8A9FDE-BB16-4003-989D-B1062A3E7783}" name="Column7237" dataDxfId="9148"/>
    <tableColumn id="7262" xr3:uid="{C6250A33-5561-4D54-8FB8-333BE36ADFAC}" name="Column7238" dataDxfId="9147"/>
    <tableColumn id="7263" xr3:uid="{B8E818FA-E49A-492D-A8B0-AA655F7D0D51}" name="Column7239" dataDxfId="9146"/>
    <tableColumn id="7264" xr3:uid="{35746256-0DD0-4D85-A45E-E4C0B34BFA3C}" name="Column7240" dataDxfId="9145"/>
    <tableColumn id="7265" xr3:uid="{3F379510-27D4-4A24-B55E-A0E78FC1DF98}" name="Column7241" dataDxfId="9144"/>
    <tableColumn id="7266" xr3:uid="{B4775B7B-FB67-47F3-9FC7-DF8EF143E099}" name="Column7242" dataDxfId="9143"/>
    <tableColumn id="7267" xr3:uid="{7E2B2FB4-AB70-4333-8AFA-4D548E974CFE}" name="Column7243" dataDxfId="9142"/>
    <tableColumn id="7268" xr3:uid="{C7531169-85FC-4CB5-8405-10211E223302}" name="Column7244" dataDxfId="9141"/>
    <tableColumn id="7269" xr3:uid="{FE6582A8-0C5E-4363-9F46-D44C404E2B2D}" name="Column7245" dataDxfId="9140"/>
    <tableColumn id="7270" xr3:uid="{3DB7993C-409F-485D-AC85-483379D09218}" name="Column7246" dataDxfId="9139"/>
    <tableColumn id="7271" xr3:uid="{F4E2EECA-814E-47DB-AED6-F540479147CD}" name="Column7247" dataDxfId="9138"/>
    <tableColumn id="7272" xr3:uid="{1791665C-4329-4FC7-AB87-3B8EE8D2F26A}" name="Column7248" dataDxfId="9137"/>
    <tableColumn id="7273" xr3:uid="{89805FD4-5EB9-4C9E-88DB-BC549E65F116}" name="Column7249" dataDxfId="9136"/>
    <tableColumn id="7274" xr3:uid="{57B4C28F-A3EC-4B39-871F-09ABE9EB8082}" name="Column7250" dataDxfId="9135"/>
    <tableColumn id="7275" xr3:uid="{A7A4DF67-19CC-4D52-8156-977A3B1615BC}" name="Column7251" dataDxfId="9134"/>
    <tableColumn id="7276" xr3:uid="{F697C3A1-1917-4EC5-A270-A12CC3024028}" name="Column7252" dataDxfId="9133"/>
    <tableColumn id="7277" xr3:uid="{21C89356-9F15-4148-8F47-628DE1D035F6}" name="Column7253" dataDxfId="9132"/>
    <tableColumn id="7278" xr3:uid="{D1DF48C6-F932-42E7-8787-981C73A3A537}" name="Column7254" dataDxfId="9131"/>
    <tableColumn id="7279" xr3:uid="{2DD2256E-249A-498C-AF8C-9570904D2ECC}" name="Column7255" dataDxfId="9130"/>
    <tableColumn id="7280" xr3:uid="{151D5241-7F83-443D-B07D-528185B93097}" name="Column7256" dataDxfId="9129"/>
    <tableColumn id="7281" xr3:uid="{40421212-9A13-434C-B130-379E13AA295D}" name="Column7257" dataDxfId="9128"/>
    <tableColumn id="7282" xr3:uid="{CF47CCF0-1AD9-4770-ACF8-82B83E6D5DD1}" name="Column7258" dataDxfId="9127"/>
    <tableColumn id="7283" xr3:uid="{1D5DDAA6-DA1D-4263-B9D5-9304FD5D6001}" name="Column7259" dataDxfId="9126"/>
    <tableColumn id="7284" xr3:uid="{932E6C22-0240-488F-A981-279819199421}" name="Column7260" dataDxfId="9125"/>
    <tableColumn id="7285" xr3:uid="{2B195652-0C31-4B64-AF6C-BA2F6C7383CD}" name="Column7261" dataDxfId="9124"/>
    <tableColumn id="7286" xr3:uid="{94462C40-EA01-46EB-B274-361079C81562}" name="Column7262" dataDxfId="9123"/>
    <tableColumn id="7287" xr3:uid="{72FD5073-2176-4BFF-B739-7DCA474B239A}" name="Column7263" dataDxfId="9122"/>
    <tableColumn id="7288" xr3:uid="{AB69BB9B-A87E-46AD-BB18-39953B70AEA3}" name="Column7264" dataDxfId="9121"/>
    <tableColumn id="7289" xr3:uid="{DC1D2069-4181-4340-B365-57986AFBEAF7}" name="Column7265" dataDxfId="9120"/>
    <tableColumn id="7290" xr3:uid="{9EC1F7C6-FBA7-4104-8C61-C66BF0512470}" name="Column7266" dataDxfId="9119"/>
    <tableColumn id="7291" xr3:uid="{71518267-44B6-45AE-85EA-33AFA851C73A}" name="Column7267" dataDxfId="9118"/>
    <tableColumn id="7292" xr3:uid="{30245907-5AEA-4ACF-BFD4-D6EC76A241FC}" name="Column7268" dataDxfId="9117"/>
    <tableColumn id="7293" xr3:uid="{773C1866-01F9-4AC2-9AA1-240CB140C6C8}" name="Column7269" dataDxfId="9116"/>
    <tableColumn id="7294" xr3:uid="{ECC91EBF-D19E-4CF2-84CA-9D4C1B437CD9}" name="Column7270" dataDxfId="9115"/>
    <tableColumn id="7295" xr3:uid="{217A7EE6-5270-40D1-B05B-8009968268D9}" name="Column7271" dataDxfId="9114"/>
    <tableColumn id="7296" xr3:uid="{27E9B622-4407-4D43-ABA4-2618C7851D6A}" name="Column7272" dataDxfId="9113"/>
    <tableColumn id="7297" xr3:uid="{10B06E84-E5B2-420B-BD9D-BB771E9E39B5}" name="Column7273" dataDxfId="9112"/>
    <tableColumn id="7298" xr3:uid="{587D51DA-D21F-4ADD-B67E-E5EB1272FCE8}" name="Column7274" dataDxfId="9111"/>
    <tableColumn id="7299" xr3:uid="{458D02CC-A96A-4244-9EDF-AA3CDC724FF0}" name="Column7275" dataDxfId="9110"/>
    <tableColumn id="7300" xr3:uid="{CA6BAC8C-FB2B-4693-ACAB-3B2F15B46F00}" name="Column7276" dataDxfId="9109"/>
    <tableColumn id="7301" xr3:uid="{7DC3196A-DBD4-4A4F-95A5-CB45231C45EC}" name="Column7277" dataDxfId="9108"/>
    <tableColumn id="7302" xr3:uid="{95F27229-630E-4CA3-8170-825F97C712BF}" name="Column7278" dataDxfId="9107"/>
    <tableColumn id="7303" xr3:uid="{98E3858A-33AE-403E-9916-866480BD87A0}" name="Column7279" dataDxfId="9106"/>
    <tableColumn id="7304" xr3:uid="{DD8DA07E-B066-44DE-B5D9-63A4041947CB}" name="Column7280" dataDxfId="9105"/>
    <tableColumn id="7305" xr3:uid="{8C7D8CD3-A4C9-4429-AF20-4A1C1E5A5E28}" name="Column7281" dataDxfId="9104"/>
    <tableColumn id="7306" xr3:uid="{3CFAA439-BB0A-4802-B3CE-AEC9BE87A89E}" name="Column7282" dataDxfId="9103"/>
    <tableColumn id="7307" xr3:uid="{65B6B71D-F74F-41A9-A68B-74A92FCE0ADD}" name="Column7283" dataDxfId="9102"/>
    <tableColumn id="7308" xr3:uid="{450326F7-7578-48CC-9800-EB8F4E3AC523}" name="Column7284" dataDxfId="9101"/>
    <tableColumn id="7309" xr3:uid="{91A66CF8-1036-401C-92C5-8C5EE44CE86D}" name="Column7285" dataDxfId="9100"/>
    <tableColumn id="7310" xr3:uid="{F3BA6B0C-607B-4D8C-BDD1-873CD3F36D9F}" name="Column7286" dataDxfId="9099"/>
    <tableColumn id="7311" xr3:uid="{BF0DB769-C6CF-4252-82E5-E4BEF2D8AA4A}" name="Column7287" dataDxfId="9098"/>
    <tableColumn id="7312" xr3:uid="{398C71AA-7E14-43B5-B783-0BBA799CA081}" name="Column7288" dataDxfId="9097"/>
    <tableColumn id="7313" xr3:uid="{F627262F-4267-45C2-9D58-03B7FA4DFB22}" name="Column7289" dataDxfId="9096"/>
    <tableColumn id="7314" xr3:uid="{37D7F244-14C0-4BCD-BC1B-001C79B5A339}" name="Column7290" dataDxfId="9095"/>
    <tableColumn id="7315" xr3:uid="{814CEDEC-F7AB-4E7A-9B0E-0FE9425FA17E}" name="Column7291" dataDxfId="9094"/>
    <tableColumn id="7316" xr3:uid="{C61ACB93-0D32-43B5-8EA5-44AF7A1C64B8}" name="Column7292" dataDxfId="9093"/>
    <tableColumn id="7317" xr3:uid="{F0AE3213-787B-4173-9495-0A0F083CA846}" name="Column7293" dataDxfId="9092"/>
    <tableColumn id="7318" xr3:uid="{026AF94E-82C5-4812-BF88-77BCE5FEB959}" name="Column7294" dataDxfId="9091"/>
    <tableColumn id="7319" xr3:uid="{EAE852A9-6928-409F-B34C-A740EF7B88D4}" name="Column7295" dataDxfId="9090"/>
    <tableColumn id="7320" xr3:uid="{1AF62411-C848-4A1A-9027-3D63543D48A7}" name="Column7296" dataDxfId="9089"/>
    <tableColumn id="7321" xr3:uid="{CCF0AF44-01DA-456C-BB31-B77204DBAFDF}" name="Column7297" dataDxfId="9088"/>
    <tableColumn id="7322" xr3:uid="{45E262E3-0450-48D1-B9AF-486E77C1F5CF}" name="Column7298" dataDxfId="9087"/>
    <tableColumn id="7323" xr3:uid="{75768B4B-968A-4F27-9C2C-86596202CE5A}" name="Column7299" dataDxfId="9086"/>
    <tableColumn id="7324" xr3:uid="{EB189837-70FD-484D-A35E-AE5AD26A88AC}" name="Column7300" dataDxfId="9085"/>
    <tableColumn id="7325" xr3:uid="{80501208-EF43-4F31-9304-5C010524CD3C}" name="Column7301" dataDxfId="9084"/>
    <tableColumn id="7326" xr3:uid="{D38D58C8-535E-43AC-8112-1C2EC6EA523F}" name="Column7302" dataDxfId="9083"/>
    <tableColumn id="7327" xr3:uid="{351392DE-6885-4927-928F-C82A246F21CF}" name="Column7303" dataDxfId="9082"/>
    <tableColumn id="7328" xr3:uid="{8F40EC7F-7BA7-47FA-98FD-78EE5424C51F}" name="Column7304" dataDxfId="9081"/>
    <tableColumn id="7329" xr3:uid="{BC458329-4C95-4602-9E0D-0BDC395B2DB6}" name="Column7305" dataDxfId="9080"/>
    <tableColumn id="7330" xr3:uid="{26738CC0-F472-4115-80FC-2EDC3B5952B1}" name="Column7306" dataDxfId="9079"/>
    <tableColumn id="7331" xr3:uid="{D59EF945-5DAB-45A7-9F5B-F1BFC5A2D3F9}" name="Column7307" dataDxfId="9078"/>
    <tableColumn id="7332" xr3:uid="{5659B758-25A6-4F4D-96B7-F8CF033BE497}" name="Column7308" dataDxfId="9077"/>
    <tableColumn id="7333" xr3:uid="{72236B0A-7CA0-4E31-AB72-C648EA3074CC}" name="Column7309" dataDxfId="9076"/>
    <tableColumn id="7334" xr3:uid="{9E81C61B-68CF-46D4-81C6-55B83F9376C9}" name="Column7310" dataDxfId="9075"/>
    <tableColumn id="7335" xr3:uid="{33A2AC14-0899-40F3-BEC1-B7D31027957F}" name="Column7311" dataDxfId="9074"/>
    <tableColumn id="7336" xr3:uid="{556208A0-953B-45F9-AF09-71B9A3F6A904}" name="Column7312" dataDxfId="9073"/>
    <tableColumn id="7337" xr3:uid="{45E890E8-096D-4D38-B29F-8A9F5045948E}" name="Column7313" dataDxfId="9072"/>
    <tableColumn id="7338" xr3:uid="{02937DDE-EAD7-41C9-BE20-5708FFF4E8FF}" name="Column7314" dataDxfId="9071"/>
    <tableColumn id="7339" xr3:uid="{0CCA4511-0767-4146-A475-DD087560656A}" name="Column7315" dataDxfId="9070"/>
    <tableColumn id="7340" xr3:uid="{1C74336A-29D9-42B0-B44E-595F6DF3A055}" name="Column7316" dataDxfId="9069"/>
    <tableColumn id="7341" xr3:uid="{E5AF46CC-D7FE-456E-84C6-B32C255D1D0C}" name="Column7317" dataDxfId="9068"/>
    <tableColumn id="7342" xr3:uid="{C27E0CA1-6253-49FB-8F4E-EDAE376D7F76}" name="Column7318" dataDxfId="9067"/>
    <tableColumn id="7343" xr3:uid="{DF90D655-4153-4F81-A19D-A3B474DE179B}" name="Column7319" dataDxfId="9066"/>
    <tableColumn id="7344" xr3:uid="{49474A91-8DDE-4FC8-8CF5-C06C214EA8A6}" name="Column7320" dataDxfId="9065"/>
    <tableColumn id="7345" xr3:uid="{3438E9C9-71D5-4B8C-B508-89CA380C6F23}" name="Column7321" dataDxfId="9064"/>
    <tableColumn id="7346" xr3:uid="{FB663720-8746-4017-B095-C371B4C9101B}" name="Column7322" dataDxfId="9063"/>
    <tableColumn id="7347" xr3:uid="{0BDC8AED-DADA-4203-B241-80C587E548A5}" name="Column7323" dataDxfId="9062"/>
    <tableColumn id="7348" xr3:uid="{0D127806-249D-49D3-9652-E3BB6E7C255C}" name="Column7324" dataDxfId="9061"/>
    <tableColumn id="7349" xr3:uid="{D5FD5DC2-A5AD-43DF-BD59-319F1A35BE05}" name="Column7325" dataDxfId="9060"/>
    <tableColumn id="7350" xr3:uid="{FE08FAAC-561C-49FF-95E4-69EC7079BF14}" name="Column7326" dataDxfId="9059"/>
    <tableColumn id="7351" xr3:uid="{080AF0E5-79E2-4EA5-978D-8A0321D67733}" name="Column7327" dataDxfId="9058"/>
    <tableColumn id="7352" xr3:uid="{B9960B5E-9CBF-4DA8-8722-79CB96746045}" name="Column7328" dataDxfId="9057"/>
    <tableColumn id="7353" xr3:uid="{DFD23BF5-7FC6-47D8-A9D9-D7A70AC818BA}" name="Column7329" dataDxfId="9056"/>
    <tableColumn id="7354" xr3:uid="{1E0A8AA0-CC7B-4655-BCAD-D7057C24B8D6}" name="Column7330" dataDxfId="9055"/>
    <tableColumn id="7355" xr3:uid="{5263CC81-553C-423C-B97D-3952930615E7}" name="Column7331" dataDxfId="9054"/>
    <tableColumn id="7356" xr3:uid="{B53AED22-4045-425A-9A46-01ABE37B8587}" name="Column7332" dataDxfId="9053"/>
    <tableColumn id="7357" xr3:uid="{244E2B52-F7CE-4F2D-A679-FB8A42F57F2F}" name="Column7333" dataDxfId="9052"/>
    <tableColumn id="7358" xr3:uid="{A41AFE75-AAD4-41FD-BF61-9FC00C4F27EB}" name="Column7334" dataDxfId="9051"/>
    <tableColumn id="7359" xr3:uid="{7B8FB384-EF83-4FF0-AAD0-A82520480BB9}" name="Column7335" dataDxfId="9050"/>
    <tableColumn id="7360" xr3:uid="{61237C19-CACE-449C-8C95-2BB0E9ED433C}" name="Column7336" dataDxfId="9049"/>
    <tableColumn id="7361" xr3:uid="{1F5B45C6-303D-4AD4-9457-D09754B92C34}" name="Column7337" dataDxfId="9048"/>
    <tableColumn id="7362" xr3:uid="{9FE655D7-4123-47D0-A2BE-23C6B3CEA1AE}" name="Column7338" dataDxfId="9047"/>
    <tableColumn id="7363" xr3:uid="{CDF5D232-ECA9-4683-8AEA-0670AC05751E}" name="Column7339" dataDxfId="9046"/>
    <tableColumn id="7364" xr3:uid="{E6EEBCBF-49B1-458C-88E8-4619983920C5}" name="Column7340" dataDxfId="9045"/>
    <tableColumn id="7365" xr3:uid="{474C00D7-92A2-4DE9-A7C7-07ED883CEE40}" name="Column7341" dataDxfId="9044"/>
    <tableColumn id="7366" xr3:uid="{A06B2745-DD75-4C32-ABF8-4E717CBDA597}" name="Column7342" dataDxfId="9043"/>
    <tableColumn id="7367" xr3:uid="{EB71ABBB-FE48-4B4C-8540-6B03376C2AB8}" name="Column7343" dataDxfId="9042"/>
    <tableColumn id="7368" xr3:uid="{59DEC97D-A727-4E1E-9E64-EE69C0EC2D1A}" name="Column7344" dataDxfId="9041"/>
    <tableColumn id="7369" xr3:uid="{A745B395-D03F-4FBD-A4E3-0567700767E8}" name="Column7345" dataDxfId="9040"/>
    <tableColumn id="7370" xr3:uid="{28951FBF-B5CD-4588-BE2E-52E5267AB338}" name="Column7346" dataDxfId="9039"/>
    <tableColumn id="7371" xr3:uid="{BD39AF24-B29D-493D-B3E8-DEDB837D0EE6}" name="Column7347" dataDxfId="9038"/>
    <tableColumn id="7372" xr3:uid="{3FE0D2BB-E80A-4766-8F1B-24D566D55221}" name="Column7348" dataDxfId="9037"/>
    <tableColumn id="7373" xr3:uid="{5E84BFD9-F787-4B30-B3AE-1F702221E1E0}" name="Column7349" dataDxfId="9036"/>
    <tableColumn id="7374" xr3:uid="{2DC1F760-C47A-4667-9A03-E3062E589437}" name="Column7350" dataDxfId="9035"/>
    <tableColumn id="7375" xr3:uid="{D4C45EFF-FEE0-4D8B-AE70-09B37311C4A4}" name="Column7351" dataDxfId="9034"/>
    <tableColumn id="7376" xr3:uid="{61C77903-998C-4B27-A88C-42218EBFE3BB}" name="Column7352" dataDxfId="9033"/>
    <tableColumn id="7377" xr3:uid="{D24DECF7-2346-4C16-AA72-D0ECCBB4EBFB}" name="Column7353" dataDxfId="9032"/>
    <tableColumn id="7378" xr3:uid="{F7333C8A-7577-4C18-B53C-9D1737EB2504}" name="Column7354" dataDxfId="9031"/>
    <tableColumn id="7379" xr3:uid="{BBBE4A92-8B7A-466B-ACC0-00748E899BB6}" name="Column7355" dataDxfId="9030"/>
    <tableColumn id="7380" xr3:uid="{044FFD5D-5E99-4637-8FDF-240999523238}" name="Column7356" dataDxfId="9029"/>
    <tableColumn id="7381" xr3:uid="{C17781C1-C7F8-41C8-9B78-16ED4F247800}" name="Column7357" dataDxfId="9028"/>
    <tableColumn id="7382" xr3:uid="{28DEA0AD-31C7-459F-89CE-11845C1EADEC}" name="Column7358" dataDxfId="9027"/>
    <tableColumn id="7383" xr3:uid="{3212DF0A-4021-428F-B885-3B98E1DA7FB4}" name="Column7359" dataDxfId="9026"/>
    <tableColumn id="7384" xr3:uid="{1B95064E-5264-4E19-9A6C-CCB28913DDC6}" name="Column7360" dataDxfId="9025"/>
    <tableColumn id="7385" xr3:uid="{52239FB0-689B-4635-ADD7-3E843787E95D}" name="Column7361" dataDxfId="9024"/>
    <tableColumn id="7386" xr3:uid="{2B85FFE6-246F-4750-91CA-1D86A9F09177}" name="Column7362" dataDxfId="9023"/>
    <tableColumn id="7387" xr3:uid="{A36E38B1-CCBE-4D29-A18A-B5A8CC36E235}" name="Column7363" dataDxfId="9022"/>
    <tableColumn id="7388" xr3:uid="{35965A02-6226-44F8-A036-FF213987E5D8}" name="Column7364" dataDxfId="9021"/>
    <tableColumn id="7389" xr3:uid="{192E5D90-EEF4-4BA6-BA48-EFB3366FECD8}" name="Column7365" dataDxfId="9020"/>
    <tableColumn id="7390" xr3:uid="{41888664-FC12-4261-B22D-2B1E83F8DAD8}" name="Column7366" dataDxfId="9019"/>
    <tableColumn id="7391" xr3:uid="{0FF46042-2341-499B-B2F7-7F46FE31C69F}" name="Column7367" dataDxfId="9018"/>
    <tableColumn id="7392" xr3:uid="{BC4C5947-511E-4530-A06B-50F687D04CC3}" name="Column7368" dataDxfId="9017"/>
    <tableColumn id="7393" xr3:uid="{0814E6EB-853B-4BDC-9385-B766FC88A9F0}" name="Column7369" dataDxfId="9016"/>
    <tableColumn id="7394" xr3:uid="{3F947779-89B7-460E-BFEB-388D2CCB6233}" name="Column7370" dataDxfId="9015"/>
    <tableColumn id="7395" xr3:uid="{09C328AE-9D4E-48E3-9FA3-289DEAE9AA8B}" name="Column7371" dataDxfId="9014"/>
    <tableColumn id="7396" xr3:uid="{89125492-291A-491E-9526-D0AA11501FFA}" name="Column7372" dataDxfId="9013"/>
    <tableColumn id="7397" xr3:uid="{5C447DB3-8C2E-4BDA-9E71-4CD604C40DC5}" name="Column7373" dataDxfId="9012"/>
    <tableColumn id="7398" xr3:uid="{1D19F811-4045-4B82-B131-0436450D1E05}" name="Column7374" dataDxfId="9011"/>
    <tableColumn id="7399" xr3:uid="{A16F5796-55D4-4F91-9E88-B7A8AC690923}" name="Column7375" dataDxfId="9010"/>
    <tableColumn id="7400" xr3:uid="{44F7D726-0ED1-4152-81D3-D99FBD2FAF4E}" name="Column7376" dataDxfId="9009"/>
    <tableColumn id="7401" xr3:uid="{C6E5A85F-2148-4703-AD1F-03BE8383A26B}" name="Column7377" dataDxfId="9008"/>
    <tableColumn id="7402" xr3:uid="{3088AFBB-A6DC-427F-AA97-E6EF393D4C72}" name="Column7378" dataDxfId="9007"/>
    <tableColumn id="7403" xr3:uid="{58727AF8-25DE-4815-9BFE-842580355524}" name="Column7379" dataDxfId="9006"/>
    <tableColumn id="7404" xr3:uid="{892330CE-DB70-4CC8-90F1-CF4D18ECD9EB}" name="Column7380" dataDxfId="9005"/>
    <tableColumn id="7405" xr3:uid="{7CBE17DC-DA9F-452D-95CE-0DB0B78F1AC8}" name="Column7381" dataDxfId="9004"/>
    <tableColumn id="7406" xr3:uid="{A70567C8-477C-4511-B5CE-9E41A18111E7}" name="Column7382" dataDxfId="9003"/>
    <tableColumn id="7407" xr3:uid="{95CAEB5A-E8A2-44A1-A5B7-EBEA84188117}" name="Column7383" dataDxfId="9002"/>
    <tableColumn id="7408" xr3:uid="{8BDA7E26-DC56-4797-9DDE-809695535BBE}" name="Column7384" dataDxfId="9001"/>
    <tableColumn id="7409" xr3:uid="{E019626F-0941-4018-9665-782896463229}" name="Column7385" dataDxfId="9000"/>
    <tableColumn id="7410" xr3:uid="{02A94F4D-2AFC-4DC2-8830-04590F03BFFE}" name="Column7386" dataDxfId="8999"/>
    <tableColumn id="7411" xr3:uid="{A4787A0A-297E-4A26-BCE4-83E40C65ADD7}" name="Column7387" dataDxfId="8998"/>
    <tableColumn id="7412" xr3:uid="{E5C9A23A-BAA3-4C80-AF1D-4D71AC2B6214}" name="Column7388" dataDxfId="8997"/>
    <tableColumn id="7413" xr3:uid="{10CB7374-1873-441A-8F6F-29B3A413D530}" name="Column7389" dataDxfId="8996"/>
    <tableColumn id="7414" xr3:uid="{A1F8AD1E-9170-44BA-9F3F-53F98663A451}" name="Column7390" dataDxfId="8995"/>
    <tableColumn id="7415" xr3:uid="{DCE526EA-AF2B-467A-90FB-92B0DE4B62F9}" name="Column7391" dataDxfId="8994"/>
    <tableColumn id="7416" xr3:uid="{136F8362-6C4B-431B-88D8-32107F83DE50}" name="Column7392" dataDxfId="8993"/>
    <tableColumn id="7417" xr3:uid="{AE9DD74F-B678-48BF-B646-D627640682D8}" name="Column7393" dataDxfId="8992"/>
    <tableColumn id="7418" xr3:uid="{6CBA8951-DB11-48A7-BDDF-DD6BC90A2773}" name="Column7394" dataDxfId="8991"/>
    <tableColumn id="7419" xr3:uid="{34C53869-90B3-4691-9CD3-63A69A44F7D2}" name="Column7395" dataDxfId="8990"/>
    <tableColumn id="7420" xr3:uid="{E5FBE151-DC44-4A4F-925F-E1F1244F5546}" name="Column7396" dataDxfId="8989"/>
    <tableColumn id="7421" xr3:uid="{E001C861-6641-4802-A048-C9ADF77CC474}" name="Column7397" dataDxfId="8988"/>
    <tableColumn id="7422" xr3:uid="{954F79B0-9283-4FF9-B117-B63D056CCB1E}" name="Column7398" dataDxfId="8987"/>
    <tableColumn id="7423" xr3:uid="{3954AE99-D905-404A-8EC2-C3CF8262699C}" name="Column7399" dataDxfId="8986"/>
    <tableColumn id="7424" xr3:uid="{52C222BD-636D-4FC5-BD31-3E302351E7BE}" name="Column7400" dataDxfId="8985"/>
    <tableColumn id="7425" xr3:uid="{80E55180-F4F9-4564-842C-B8154940099A}" name="Column7401" dataDxfId="8984"/>
    <tableColumn id="7426" xr3:uid="{ABC9CC02-ED77-4E9D-BAF0-D25D91AA67F7}" name="Column7402" dataDxfId="8983"/>
    <tableColumn id="7427" xr3:uid="{67DB5CDC-253B-4DD3-B344-875AB838CEEC}" name="Column7403" dataDxfId="8982"/>
    <tableColumn id="7428" xr3:uid="{51FD27F1-762E-47B1-B6E7-86FAD5E2B7A8}" name="Column7404" dataDxfId="8981"/>
    <tableColumn id="7429" xr3:uid="{D904F56F-A790-44BC-9918-400C2DA062F6}" name="Column7405" dataDxfId="8980"/>
    <tableColumn id="7430" xr3:uid="{61A97C6F-907B-4760-BCC4-98310F7884B6}" name="Column7406" dataDxfId="8979"/>
    <tableColumn id="7431" xr3:uid="{94EB1AFD-45F8-49C1-A29E-1127F256A2C3}" name="Column7407" dataDxfId="8978"/>
    <tableColumn id="7432" xr3:uid="{DDC8E56E-CBEF-4648-AA88-5D801F2E6E73}" name="Column7408" dataDxfId="8977"/>
    <tableColumn id="7433" xr3:uid="{F558BC74-23A9-47BA-8DE5-704C9B3FC44C}" name="Column7409" dataDxfId="8976"/>
    <tableColumn id="7434" xr3:uid="{A95A4DD7-BA9D-41C0-A653-C4B04C829D17}" name="Column7410" dataDxfId="8975"/>
    <tableColumn id="7435" xr3:uid="{92CADF16-E412-456E-B4BD-5138D71C1AA6}" name="Column7411" dataDxfId="8974"/>
    <tableColumn id="7436" xr3:uid="{C09FE6C8-6A85-493F-BA7B-4950E6703652}" name="Column7412" dataDxfId="8973"/>
    <tableColumn id="7437" xr3:uid="{ADB59327-CFDB-4272-BB13-306AB96EC5A6}" name="Column7413" dataDxfId="8972"/>
    <tableColumn id="7438" xr3:uid="{88500339-803E-4D46-8500-B77A0F4BC232}" name="Column7414" dataDxfId="8971"/>
    <tableColumn id="7439" xr3:uid="{46EF2A23-8050-4538-BD3A-C0EEAA375245}" name="Column7415" dataDxfId="8970"/>
    <tableColumn id="7440" xr3:uid="{1D161FE0-86F7-4E78-BA2F-9B466E0D95AE}" name="Column7416" dataDxfId="8969"/>
    <tableColumn id="7441" xr3:uid="{1E5A61B9-F6B0-48AC-98F9-9DD428EFC5AB}" name="Column7417" dataDxfId="8968"/>
    <tableColumn id="7442" xr3:uid="{F261C306-22C8-4A04-B500-0EC7559757CD}" name="Column7418" dataDxfId="8967"/>
    <tableColumn id="7443" xr3:uid="{AA926C32-3DD9-4767-8410-B3AC8A9D4714}" name="Column7419" dataDxfId="8966"/>
    <tableColumn id="7444" xr3:uid="{A9832B2B-6C03-4FF0-A552-CC98AD3008A3}" name="Column7420" dataDxfId="8965"/>
    <tableColumn id="7445" xr3:uid="{E69D2DFC-C4A5-4B2B-A153-BB40458E380F}" name="Column7421" dataDxfId="8964"/>
    <tableColumn id="7446" xr3:uid="{254660C6-20D7-45A4-8AC3-AE96B73DDDF8}" name="Column7422" dataDxfId="8963"/>
    <tableColumn id="7447" xr3:uid="{FA97ED27-7D7E-46FE-888E-D58D52C219AC}" name="Column7423" dataDxfId="8962"/>
    <tableColumn id="7448" xr3:uid="{EEA2A8A5-63EE-42E1-A980-6BC34BD4B638}" name="Column7424" dataDxfId="8961"/>
    <tableColumn id="7449" xr3:uid="{69184FDA-8A09-45FC-859E-A9367984FFF2}" name="Column7425" dataDxfId="8960"/>
    <tableColumn id="7450" xr3:uid="{F4CA81D9-2BCA-491E-9B12-3A972202B62C}" name="Column7426" dataDxfId="8959"/>
    <tableColumn id="7451" xr3:uid="{180673B1-0278-45B8-9AC4-5D047A3582B2}" name="Column7427" dataDxfId="8958"/>
    <tableColumn id="7452" xr3:uid="{462A0C24-C01A-4609-BA37-BA6E57BDAE80}" name="Column7428" dataDxfId="8957"/>
    <tableColumn id="7453" xr3:uid="{561C7691-1799-4824-8284-C5967C4E9B98}" name="Column7429" dataDxfId="8956"/>
    <tableColumn id="7454" xr3:uid="{2BD9A7C2-73C9-4B4A-BBDA-8064C556B94D}" name="Column7430" dataDxfId="8955"/>
    <tableColumn id="7455" xr3:uid="{45E89AA8-2DCA-47FC-8EDD-C5358281E6ED}" name="Column7431" dataDxfId="8954"/>
    <tableColumn id="7456" xr3:uid="{DA10157E-641C-4542-BE5D-7A1FCA3E909B}" name="Column7432" dataDxfId="8953"/>
    <tableColumn id="7457" xr3:uid="{F7018129-E231-4FFB-8DF6-1054AD1756DE}" name="Column7433" dataDxfId="8952"/>
    <tableColumn id="7458" xr3:uid="{F74C93B8-625B-43E9-B850-DDA5E802BDBF}" name="Column7434" dataDxfId="8951"/>
    <tableColumn id="7459" xr3:uid="{250BDD2B-C81C-4905-B2F9-3A975D0C143F}" name="Column7435" dataDxfId="8950"/>
    <tableColumn id="7460" xr3:uid="{292F5FA8-BD3A-4E2E-8603-F6FF676C127F}" name="Column7436" dataDxfId="8949"/>
    <tableColumn id="7461" xr3:uid="{94632CBF-6331-4E06-970C-190DFD6A572E}" name="Column7437" dataDxfId="8948"/>
    <tableColumn id="7462" xr3:uid="{4451954B-3CA2-413E-9704-9CCFA4C4E4A5}" name="Column7438" dataDxfId="8947"/>
    <tableColumn id="7463" xr3:uid="{40AAE976-2B23-439A-830A-43F0C12E8E7C}" name="Column7439" dataDxfId="8946"/>
    <tableColumn id="7464" xr3:uid="{D5DE79ED-ADBF-41A6-B6EC-0C43F24E077C}" name="Column7440" dataDxfId="8945"/>
    <tableColumn id="7465" xr3:uid="{EC3F6C54-9E51-41FA-B4B8-5F859B6BF7BE}" name="Column7441" dataDxfId="8944"/>
    <tableColumn id="7466" xr3:uid="{942B2593-7B6E-4A5A-AAEC-5619B06FAB30}" name="Column7442" dataDxfId="8943"/>
    <tableColumn id="7467" xr3:uid="{A00E4D96-D0BC-4D8D-A5FF-709303C475AF}" name="Column7443" dataDxfId="8942"/>
    <tableColumn id="7468" xr3:uid="{400A771A-2B2F-4B7D-9B15-8731D8EBCB24}" name="Column7444" dataDxfId="8941"/>
    <tableColumn id="7469" xr3:uid="{855A5B8D-7F44-4DE6-B1A4-3AFE14B28689}" name="Column7445" dataDxfId="8940"/>
    <tableColumn id="7470" xr3:uid="{B872FF91-2533-41CA-8D9A-4B48500E6238}" name="Column7446" dataDxfId="8939"/>
    <tableColumn id="7471" xr3:uid="{43F48FE7-81CB-413A-B99A-06542701D011}" name="Column7447" dataDxfId="8938"/>
    <tableColumn id="7472" xr3:uid="{181C3BCC-7AA6-45E9-9861-0A5449672F81}" name="Column7448" dataDxfId="8937"/>
    <tableColumn id="7473" xr3:uid="{B967AB0A-567E-483C-8F29-A150D8A0AA09}" name="Column7449" dataDxfId="8936"/>
    <tableColumn id="7474" xr3:uid="{13E720A1-7B1D-46F4-96BC-E0E96CA055C9}" name="Column7450" dataDxfId="8935"/>
    <tableColumn id="7475" xr3:uid="{677ABDC7-8927-498C-BF08-F1CF2B6369A1}" name="Column7451" dataDxfId="8934"/>
    <tableColumn id="7476" xr3:uid="{A0003694-4956-480D-BBC0-ED4A29C51BC2}" name="Column7452" dataDxfId="8933"/>
    <tableColumn id="7477" xr3:uid="{C600261D-5038-464B-8B4D-F45975FE5F2A}" name="Column7453" dataDxfId="8932"/>
    <tableColumn id="7478" xr3:uid="{469822A3-AE76-496B-B5A4-5621D0A8C1F2}" name="Column7454" dataDxfId="8931"/>
    <tableColumn id="7479" xr3:uid="{F4C88691-DB76-4798-8398-82FB19401829}" name="Column7455" dataDxfId="8930"/>
    <tableColumn id="7480" xr3:uid="{0C826815-52D2-4092-A36E-0A35CC075602}" name="Column7456" dataDxfId="8929"/>
    <tableColumn id="7481" xr3:uid="{E5DCB008-8747-4AF8-B792-FB3DE262E7E8}" name="Column7457" dataDxfId="8928"/>
    <tableColumn id="7482" xr3:uid="{379E0100-5332-4378-BE94-AD710245CAAC}" name="Column7458" dataDxfId="8927"/>
    <tableColumn id="7483" xr3:uid="{F1F8ADB2-EFD8-4F0A-8BA3-934AE95A83A2}" name="Column7459" dataDxfId="8926"/>
    <tableColumn id="7484" xr3:uid="{E49A9674-3F51-4212-9B20-BA2DE59E8819}" name="Column7460" dataDxfId="8925"/>
    <tableColumn id="7485" xr3:uid="{0790DCF9-09DF-496E-8FBA-1EB825ED8EA6}" name="Column7461" dataDxfId="8924"/>
    <tableColumn id="7486" xr3:uid="{2AB680B7-2CDD-4811-B672-0EC42AFB2F74}" name="Column7462" dataDxfId="8923"/>
    <tableColumn id="7487" xr3:uid="{CC322116-9FF1-4D5D-BD3E-9BF049CD1A93}" name="Column7463" dataDxfId="8922"/>
    <tableColumn id="7488" xr3:uid="{51EC44F1-2ED1-40A6-BD53-8CEFC811AFEE}" name="Column7464" dataDxfId="8921"/>
    <tableColumn id="7489" xr3:uid="{3754477C-05A9-46AB-9EEB-19AAD99217AF}" name="Column7465" dataDxfId="8920"/>
    <tableColumn id="7490" xr3:uid="{C170AD89-9013-4564-9368-6C2E45F27772}" name="Column7466" dataDxfId="8919"/>
    <tableColumn id="7491" xr3:uid="{88299696-639E-41C1-8E95-A37EF144D26B}" name="Column7467" dataDxfId="8918"/>
    <tableColumn id="7492" xr3:uid="{D11C4031-7B60-43E3-8AEB-8980E9CB9DE8}" name="Column7468" dataDxfId="8917"/>
    <tableColumn id="7493" xr3:uid="{9FFCC3AF-55E1-45ED-8350-7C9C522DC87E}" name="Column7469" dataDxfId="8916"/>
    <tableColumn id="7494" xr3:uid="{9B293122-4D9C-42CB-94EF-2D66741915C1}" name="Column7470" dataDxfId="8915"/>
    <tableColumn id="7495" xr3:uid="{638474A2-D9C8-4EF3-9AF5-C6F0A67B4ACF}" name="Column7471" dataDxfId="8914"/>
    <tableColumn id="7496" xr3:uid="{0DC106B0-B850-47BE-AA96-B2583B18B788}" name="Column7472" dataDxfId="8913"/>
    <tableColumn id="7497" xr3:uid="{50D97BBF-154B-4FFB-93D8-EC6FABB5995B}" name="Column7473" dataDxfId="8912"/>
    <tableColumn id="7498" xr3:uid="{78672ADE-838C-4DF2-ADC1-876B7B9455F4}" name="Column7474" dataDxfId="8911"/>
    <tableColumn id="7499" xr3:uid="{451D6F81-2314-4879-B306-635F821098AC}" name="Column7475" dataDxfId="8910"/>
    <tableColumn id="7500" xr3:uid="{D82C25E9-EE50-4FEB-8EB2-B9F76FE8E3CD}" name="Column7476" dataDxfId="8909"/>
    <tableColumn id="7501" xr3:uid="{287AFEE1-129A-4B58-B8D3-7009B05C35A8}" name="Column7477" dataDxfId="8908"/>
    <tableColumn id="7502" xr3:uid="{BF065A57-8E5A-4E1A-B8DC-89F72996BB1D}" name="Column7478" dataDxfId="8907"/>
    <tableColumn id="7503" xr3:uid="{DB32CC1A-200A-4348-A669-3474D5E5E795}" name="Column7479" dataDxfId="8906"/>
    <tableColumn id="7504" xr3:uid="{2131C783-7ADF-417D-8E69-FD410C8851E5}" name="Column7480" dataDxfId="8905"/>
    <tableColumn id="7505" xr3:uid="{0F29BA2E-DD99-4EE9-A25B-CA3E1C534B61}" name="Column7481" dataDxfId="8904"/>
    <tableColumn id="7506" xr3:uid="{C5B1B977-B090-46F5-A89C-6A058F13D8AB}" name="Column7482" dataDxfId="8903"/>
    <tableColumn id="7507" xr3:uid="{AD261C4E-8282-4443-96FF-7065B2FE2FF9}" name="Column7483" dataDxfId="8902"/>
    <tableColumn id="7508" xr3:uid="{CF38FE21-26E0-4B02-9A6D-A517F5E52769}" name="Column7484" dataDxfId="8901"/>
    <tableColumn id="7509" xr3:uid="{CD2AD951-37BD-43CE-9E6B-AD54C0694574}" name="Column7485" dataDxfId="8900"/>
    <tableColumn id="7510" xr3:uid="{5F0EDB3C-79DB-4315-BE56-8D3CD3D62E90}" name="Column7486" dataDxfId="8899"/>
    <tableColumn id="7511" xr3:uid="{28D3A4B4-66E6-4434-8E60-DC91365B7EAA}" name="Column7487" dataDxfId="8898"/>
    <tableColumn id="7512" xr3:uid="{50229E93-E0C6-45CD-9F4B-43AE93E08DC9}" name="Column7488" dataDxfId="8897"/>
    <tableColumn id="7513" xr3:uid="{53372FFF-C8A0-4EDC-98D4-C73C6B183BAA}" name="Column7489" dataDxfId="8896"/>
    <tableColumn id="7514" xr3:uid="{1DC8E732-837D-4967-B2DC-04AECFBC3627}" name="Column7490" dataDxfId="8895"/>
    <tableColumn id="7515" xr3:uid="{0D0C2BDE-A062-452B-BDB6-9BA0AC15E9B0}" name="Column7491" dataDxfId="8894"/>
    <tableColumn id="7516" xr3:uid="{72987DC4-6201-4549-9D61-6E9FF750735A}" name="Column7492" dataDxfId="8893"/>
    <tableColumn id="7517" xr3:uid="{076ABF43-3CC7-47A1-A602-C49D5A7EA0FB}" name="Column7493" dataDxfId="8892"/>
    <tableColumn id="7518" xr3:uid="{81CBDE3A-AEC4-43DF-9227-E3BA46CCBD29}" name="Column7494" dataDxfId="8891"/>
    <tableColumn id="7519" xr3:uid="{E7378005-F32B-4F9B-B5E6-C6567633991B}" name="Column7495" dataDxfId="8890"/>
    <tableColumn id="7520" xr3:uid="{3D93CA26-01E4-4189-B658-8E1C14A73480}" name="Column7496" dataDxfId="8889"/>
    <tableColumn id="7521" xr3:uid="{E3028B91-E60A-4BF3-923E-4E367ABE7E1A}" name="Column7497" dataDxfId="8888"/>
    <tableColumn id="7522" xr3:uid="{8CBDE657-8F26-456F-B497-70EF392865D4}" name="Column7498" dataDxfId="8887"/>
    <tableColumn id="7523" xr3:uid="{0468A6CB-8F68-4051-97CB-CA02DE903B60}" name="Column7499" dataDxfId="8886"/>
    <tableColumn id="7524" xr3:uid="{F42B5A02-5040-4AB4-A203-E861FD7C3CC4}" name="Column7500" dataDxfId="8885"/>
    <tableColumn id="7525" xr3:uid="{069F3EE8-3430-4F93-ABDD-E78B4B05625E}" name="Column7501" dataDxfId="8884"/>
    <tableColumn id="7526" xr3:uid="{46A95056-2991-4FDC-8CEC-E001C7710313}" name="Column7502" dataDxfId="8883"/>
    <tableColumn id="7527" xr3:uid="{642390A7-FD23-4F62-907D-19F46E8FBDC0}" name="Column7503" dataDxfId="8882"/>
    <tableColumn id="7528" xr3:uid="{5A8B9DD4-B8F7-4C07-B861-F7817ACF07A4}" name="Column7504" dataDxfId="8881"/>
    <tableColumn id="7529" xr3:uid="{5D15D2DC-EDE3-4D6F-9101-57BA7A03C884}" name="Column7505" dataDxfId="8880"/>
    <tableColumn id="7530" xr3:uid="{B0D03D73-598A-4469-80ED-92E1B681A226}" name="Column7506" dataDxfId="8879"/>
    <tableColumn id="7531" xr3:uid="{265C74D3-1000-4056-AF5C-D5153910D1DC}" name="Column7507" dataDxfId="8878"/>
    <tableColumn id="7532" xr3:uid="{D6F68BA4-2D1D-4F3F-ACD9-49E8EA711354}" name="Column7508" dataDxfId="8877"/>
    <tableColumn id="7533" xr3:uid="{132FF5DE-D403-454C-9A61-8131A6105B36}" name="Column7509" dataDxfId="8876"/>
    <tableColumn id="7534" xr3:uid="{C0C0C135-46C9-4068-A64E-037DAA5AC0EB}" name="Column7510" dataDxfId="8875"/>
    <tableColumn id="7535" xr3:uid="{A329A9C7-A084-4443-B174-95F188753B85}" name="Column7511" dataDxfId="8874"/>
    <tableColumn id="7536" xr3:uid="{A9324A07-5D76-485A-AD3F-C2834071B97E}" name="Column7512" dataDxfId="8873"/>
    <tableColumn id="7537" xr3:uid="{2B96DFE9-ACF0-4C04-9836-C47897DDAC6C}" name="Column7513" dataDxfId="8872"/>
    <tableColumn id="7538" xr3:uid="{D452A6B4-5FB8-460F-B90A-9933EA96D42E}" name="Column7514" dataDxfId="8871"/>
    <tableColumn id="7539" xr3:uid="{9E925BE6-2286-4D7A-80EC-F39E05C6D765}" name="Column7515" dataDxfId="8870"/>
    <tableColumn id="7540" xr3:uid="{BB8DEB5B-5B06-4926-8382-835CED7E58FA}" name="Column7516" dataDxfId="8869"/>
    <tableColumn id="7541" xr3:uid="{488FF916-AD23-42CD-9A0E-E381C997B77D}" name="Column7517" dataDxfId="8868"/>
    <tableColumn id="7542" xr3:uid="{4AD2FD3E-E7C7-4CC6-A2EE-9A996FA42F46}" name="Column7518" dataDxfId="8867"/>
    <tableColumn id="7543" xr3:uid="{58433A7A-DC61-43E7-B8DB-3D48560CB6D2}" name="Column7519" dataDxfId="8866"/>
    <tableColumn id="7544" xr3:uid="{3D1103F0-F926-4546-8158-0377BD43A8AA}" name="Column7520" dataDxfId="8865"/>
    <tableColumn id="7545" xr3:uid="{BC10CA1B-D729-4109-AAD3-AD00B09A8945}" name="Column7521" dataDxfId="8864"/>
    <tableColumn id="7546" xr3:uid="{958059F1-44E1-4FE0-BCDA-BE1E8F14EC9A}" name="Column7522" dataDxfId="8863"/>
    <tableColumn id="7547" xr3:uid="{A2889948-8FBF-4663-848D-0CCFAE8335C3}" name="Column7523" dataDxfId="8862"/>
    <tableColumn id="7548" xr3:uid="{2885A4BA-6DB7-4C47-8DC6-399447F87116}" name="Column7524" dataDxfId="8861"/>
    <tableColumn id="7549" xr3:uid="{1EEBD8BB-390C-4A6D-8562-EA646CD19871}" name="Column7525" dataDxfId="8860"/>
    <tableColumn id="7550" xr3:uid="{7C92F216-45BA-48E2-93EF-077914E2D766}" name="Column7526" dataDxfId="8859"/>
    <tableColumn id="7551" xr3:uid="{EFBB909F-017A-455F-867F-FAE560431B4B}" name="Column7527" dataDxfId="8858"/>
    <tableColumn id="7552" xr3:uid="{A2A45985-D08B-4C1C-B223-7C7A031C4DFC}" name="Column7528" dataDxfId="8857"/>
    <tableColumn id="7553" xr3:uid="{CB12C9D1-BD3B-4D20-9C48-53DD28F76D78}" name="Column7529" dataDxfId="8856"/>
    <tableColumn id="7554" xr3:uid="{F6B03A54-E6AD-4372-88FE-61BE7EDE9059}" name="Column7530" dataDxfId="8855"/>
    <tableColumn id="7555" xr3:uid="{6DBF5BEF-3D06-4F88-B59D-83F738ED14C1}" name="Column7531" dataDxfId="8854"/>
    <tableColumn id="7556" xr3:uid="{09405077-201F-43D3-AE82-804ED5933AB2}" name="Column7532" dataDxfId="8853"/>
    <tableColumn id="7557" xr3:uid="{2C17D3EF-97E5-426D-8E58-B75E1E19794A}" name="Column7533" dataDxfId="8852"/>
    <tableColumn id="7558" xr3:uid="{7BEC8918-4108-4B23-A947-AC473111E503}" name="Column7534" dataDxfId="8851"/>
    <tableColumn id="7559" xr3:uid="{967339EB-C70C-4585-8041-C28495E53242}" name="Column7535" dataDxfId="8850"/>
    <tableColumn id="7560" xr3:uid="{34B39653-0096-43EB-88F8-55F119D3AD0A}" name="Column7536" dataDxfId="8849"/>
    <tableColumn id="7561" xr3:uid="{C0871134-AE72-4F0B-88BD-EEDCF16104F3}" name="Column7537" dataDxfId="8848"/>
    <tableColumn id="7562" xr3:uid="{2E5E0A9C-0AEF-43BE-859B-F62B68F7D21D}" name="Column7538" dataDxfId="8847"/>
    <tableColumn id="7563" xr3:uid="{0D1D7F21-3E0A-4464-8E68-0BA9F54BA297}" name="Column7539" dataDxfId="8846"/>
    <tableColumn id="7564" xr3:uid="{120C7FE6-732F-464D-8501-5A5F94828DD0}" name="Column7540" dataDxfId="8845"/>
    <tableColumn id="7565" xr3:uid="{5059BB6F-750C-47E8-97B8-A7746E91E2D9}" name="Column7541" dataDxfId="8844"/>
    <tableColumn id="7566" xr3:uid="{C849CFC3-1B4F-4577-98BA-94831817BE97}" name="Column7542" dataDxfId="8843"/>
    <tableColumn id="7567" xr3:uid="{C6CCCFC6-D81E-4556-B2F0-A6EE48A80D74}" name="Column7543" dataDxfId="8842"/>
    <tableColumn id="7568" xr3:uid="{F5F13068-745A-4151-A8E8-1BFAF63A4C2C}" name="Column7544" dataDxfId="8841"/>
    <tableColumn id="7569" xr3:uid="{4C55CBC9-D1BA-41C1-A7A4-F01B1C31B64B}" name="Column7545" dataDxfId="8840"/>
    <tableColumn id="7570" xr3:uid="{013CE6D9-5F77-426D-8925-7721913A9FB9}" name="Column7546" dataDxfId="8839"/>
    <tableColumn id="7571" xr3:uid="{1A758916-78DC-421B-A3B0-82DA87A89B20}" name="Column7547" dataDxfId="8838"/>
    <tableColumn id="7572" xr3:uid="{E99B42CB-AA6B-46DC-819B-ABA33DDCDCD9}" name="Column7548" dataDxfId="8837"/>
    <tableColumn id="7573" xr3:uid="{0B884511-FCDC-4CFB-9D60-B1DA01011A54}" name="Column7549" dataDxfId="8836"/>
    <tableColumn id="7574" xr3:uid="{D391204D-BA79-4F0A-8F1F-35DE1BCD59ED}" name="Column7550" dataDxfId="8835"/>
    <tableColumn id="7575" xr3:uid="{CDFAD3BF-2EAA-4EC6-A8F6-184FFF796911}" name="Column7551" dataDxfId="8834"/>
    <tableColumn id="7576" xr3:uid="{C0194846-4425-4FF2-AB19-76FABBF24707}" name="Column7552" dataDxfId="8833"/>
    <tableColumn id="7577" xr3:uid="{33427E10-6EBE-45DE-8ED5-123159679405}" name="Column7553" dataDxfId="8832"/>
    <tableColumn id="7578" xr3:uid="{6C8E861B-49F2-451B-B313-600EDA2AE006}" name="Column7554" dataDxfId="8831"/>
    <tableColumn id="7579" xr3:uid="{EE541C89-A6F9-47AA-9958-45389C83B651}" name="Column7555" dataDxfId="8830"/>
    <tableColumn id="7580" xr3:uid="{D89EA764-8887-45D8-BADC-6F08941FA559}" name="Column7556" dataDxfId="8829"/>
    <tableColumn id="7581" xr3:uid="{4FADA558-9BC3-4389-A83F-A393B449B6FF}" name="Column7557" dataDxfId="8828"/>
    <tableColumn id="7582" xr3:uid="{827CEC60-94B4-4B1D-A974-EF4C6727413B}" name="Column7558" dataDxfId="8827"/>
    <tableColumn id="7583" xr3:uid="{829B237B-8438-4538-B66E-86228E0E4B79}" name="Column7559" dataDxfId="8826"/>
    <tableColumn id="7584" xr3:uid="{1E062FCC-629E-4DCA-BD44-A415339E82F7}" name="Column7560" dataDxfId="8825"/>
    <tableColumn id="7585" xr3:uid="{69C85E85-822E-455D-A627-66681E835C85}" name="Column7561" dataDxfId="8824"/>
    <tableColumn id="7586" xr3:uid="{C7630A35-8453-4450-8822-F4785D83958A}" name="Column7562" dataDxfId="8823"/>
    <tableColumn id="7587" xr3:uid="{4E1D82A9-6BE4-44FD-A21A-69340878BA87}" name="Column7563" dataDxfId="8822"/>
    <tableColumn id="7588" xr3:uid="{938F2495-E7A1-4AAA-9AD6-E5E1F413A382}" name="Column7564" dataDxfId="8821"/>
    <tableColumn id="7589" xr3:uid="{DF8849D5-BD46-4141-B4DF-F5FB874F9047}" name="Column7565" dataDxfId="8820"/>
    <tableColumn id="7590" xr3:uid="{567A2C42-F019-4963-AF5F-4626B3A0187C}" name="Column7566" dataDxfId="8819"/>
    <tableColumn id="7591" xr3:uid="{D10071AC-F665-4851-9E6A-18B6C465219F}" name="Column7567" dataDxfId="8818"/>
    <tableColumn id="7592" xr3:uid="{508A60AF-BC22-421E-9011-84B780A6EA92}" name="Column7568" dataDxfId="8817"/>
    <tableColumn id="7593" xr3:uid="{A6FFA184-4957-43B1-A12B-767A0B25B126}" name="Column7569" dataDxfId="8816"/>
    <tableColumn id="7594" xr3:uid="{CF194927-34EC-4AA2-B742-E73DB3358779}" name="Column7570" dataDxfId="8815"/>
    <tableColumn id="7595" xr3:uid="{F7A263AC-A02C-479D-A9CB-3FEDA759A9E1}" name="Column7571" dataDxfId="8814"/>
    <tableColumn id="7596" xr3:uid="{213E1F1A-D9AD-4509-A6CA-D75D899429FC}" name="Column7572" dataDxfId="8813"/>
    <tableColumn id="7597" xr3:uid="{F6E5D204-D593-413A-994E-41F585076490}" name="Column7573" dataDxfId="8812"/>
    <tableColumn id="7598" xr3:uid="{79E9AC7F-4C42-4992-9C2F-4D15ED396EE4}" name="Column7574" dataDxfId="8811"/>
    <tableColumn id="7599" xr3:uid="{F79CE09C-3ED9-4608-AA7E-A001696A0737}" name="Column7575" dataDxfId="8810"/>
    <tableColumn id="7600" xr3:uid="{4638BF34-9241-4842-9F93-1C1CA424335B}" name="Column7576" dataDxfId="8809"/>
    <tableColumn id="7601" xr3:uid="{E3588352-0F7B-4689-9458-064940E70FBF}" name="Column7577" dataDxfId="8808"/>
    <tableColumn id="7602" xr3:uid="{82E4AB4D-514A-4DC3-AADE-F10A236128E3}" name="Column7578" dataDxfId="8807"/>
    <tableColumn id="7603" xr3:uid="{47DB5D55-EE5F-4597-9935-BD39E3AA1133}" name="Column7579" dataDxfId="8806"/>
    <tableColumn id="7604" xr3:uid="{A637D331-3B7C-4D34-9C91-DF8752767161}" name="Column7580" dataDxfId="8805"/>
    <tableColumn id="7605" xr3:uid="{2D5D0B2D-A1BD-48BA-8FD7-C27F1B90FBBF}" name="Column7581" dataDxfId="8804"/>
    <tableColumn id="7606" xr3:uid="{1DA75DE1-C1F4-4F62-817A-15E7A4192230}" name="Column7582" dataDxfId="8803"/>
    <tableColumn id="7607" xr3:uid="{09644AA2-ABCB-40C1-A1FA-E46F065264B7}" name="Column7583" dataDxfId="8802"/>
    <tableColumn id="7608" xr3:uid="{8AF54433-439F-44B8-8302-2D76D7AD807B}" name="Column7584" dataDxfId="8801"/>
    <tableColumn id="7609" xr3:uid="{2CB4DE3A-F55B-40BA-9221-7CAC57881173}" name="Column7585" dataDxfId="8800"/>
    <tableColumn id="7610" xr3:uid="{4A1EA5B7-1A27-4524-B6D4-A1E2E3E044D8}" name="Column7586" dataDxfId="8799"/>
    <tableColumn id="7611" xr3:uid="{B953941F-6CAC-40D1-B7E7-E64308C61367}" name="Column7587" dataDxfId="8798"/>
    <tableColumn id="7612" xr3:uid="{83C38C71-CABD-47CF-B741-E469CFA66324}" name="Column7588" dataDxfId="8797"/>
    <tableColumn id="7613" xr3:uid="{61560524-8AEB-452E-8407-2565848B507E}" name="Column7589" dataDxfId="8796"/>
    <tableColumn id="7614" xr3:uid="{898DC400-DD75-451D-99C8-096A5D454B3E}" name="Column7590" dataDxfId="8795"/>
    <tableColumn id="7615" xr3:uid="{CFC1CD16-1E4E-4C57-AF1D-A6917CEDC079}" name="Column7591" dataDxfId="8794"/>
    <tableColumn id="7616" xr3:uid="{AB66572D-9E70-43AD-9C2D-AFF804F95F37}" name="Column7592" dataDxfId="8793"/>
    <tableColumn id="7617" xr3:uid="{DAF20A7B-74F4-4A95-8F3A-E502C83E94AE}" name="Column7593" dataDxfId="8792"/>
    <tableColumn id="7618" xr3:uid="{10B3073D-35F0-4D64-9D09-101E284031F6}" name="Column7594" dataDxfId="8791"/>
    <tableColumn id="7619" xr3:uid="{82B6FF89-CD84-4634-9FEF-976DB8D42421}" name="Column7595" dataDxfId="8790"/>
    <tableColumn id="7620" xr3:uid="{0A2679EA-F1D9-4AFB-A12D-AC3F42F02B99}" name="Column7596" dataDxfId="8789"/>
    <tableColumn id="7621" xr3:uid="{44BAFC85-4785-4B8C-9FE9-D611AD695E2A}" name="Column7597" dataDxfId="8788"/>
    <tableColumn id="7622" xr3:uid="{B1321F30-6EC6-4573-8C85-6E77E0EBB94F}" name="Column7598" dataDxfId="8787"/>
    <tableColumn id="7623" xr3:uid="{38869F2A-70BF-4AF6-BBF7-2C0DB4B7068C}" name="Column7599" dataDxfId="8786"/>
    <tableColumn id="7624" xr3:uid="{D3C77F46-33BC-4735-9903-385F4B598B78}" name="Column7600" dataDxfId="8785"/>
    <tableColumn id="7625" xr3:uid="{AB6D8D02-D88F-49E6-9A24-5433895C244A}" name="Column7601" dataDxfId="8784"/>
    <tableColumn id="7626" xr3:uid="{171C5793-4695-4738-BADB-FAA8E420267B}" name="Column7602" dataDxfId="8783"/>
    <tableColumn id="7627" xr3:uid="{438D0F21-76CC-41D6-AA25-392EADB43B5A}" name="Column7603" dataDxfId="8782"/>
    <tableColumn id="7628" xr3:uid="{4EB45363-542D-462E-866E-F77DC9B5E2C4}" name="Column7604" dataDxfId="8781"/>
    <tableColumn id="7629" xr3:uid="{4CA11F33-B38E-4DD8-A64B-2C1E36BE4584}" name="Column7605" dataDxfId="8780"/>
    <tableColumn id="7630" xr3:uid="{F30DEF83-A00E-4020-B52A-8324F80F140E}" name="Column7606" dataDxfId="8779"/>
    <tableColumn id="7631" xr3:uid="{832C1FE6-F142-48A9-98D3-44FC17920D71}" name="Column7607" dataDxfId="8778"/>
    <tableColumn id="7632" xr3:uid="{B566C84A-61A1-4864-B355-CD6A13279160}" name="Column7608" dataDxfId="8777"/>
    <tableColumn id="7633" xr3:uid="{2551B888-4232-4B71-AF53-A26B1CCAB948}" name="Column7609" dataDxfId="8776"/>
    <tableColumn id="7634" xr3:uid="{4BDFD851-6F9D-4724-B48A-99F1D2FBAB9B}" name="Column7610" dataDxfId="8775"/>
    <tableColumn id="7635" xr3:uid="{50C8CA45-4FFE-4411-A51C-C09D476DBBF8}" name="Column7611" dataDxfId="8774"/>
    <tableColumn id="7636" xr3:uid="{BD68743F-9311-49F8-8A01-366EDB495CD1}" name="Column7612" dataDxfId="8773"/>
    <tableColumn id="7637" xr3:uid="{B7A7866D-BECB-46D5-8CAC-E20A4C74610D}" name="Column7613" dataDxfId="8772"/>
    <tableColumn id="7638" xr3:uid="{3D760E10-BFC4-44C8-BE13-DDB6B5BDAA4B}" name="Column7614" dataDxfId="8771"/>
    <tableColumn id="7639" xr3:uid="{92806983-8860-43D0-B3B2-181298BF86A4}" name="Column7615" dataDxfId="8770"/>
    <tableColumn id="7640" xr3:uid="{28463A1C-32ED-40B3-BB82-323F07EA74D3}" name="Column7616" dataDxfId="8769"/>
    <tableColumn id="7641" xr3:uid="{314703CF-DA82-408E-B475-B9F849A17C02}" name="Column7617" dataDxfId="8768"/>
    <tableColumn id="7642" xr3:uid="{9DF6AABC-CC2E-4A31-819D-B8C34AD3095F}" name="Column7618" dataDxfId="8767"/>
    <tableColumn id="7643" xr3:uid="{C3ED78ED-0724-4245-B2FF-44FA2172A74E}" name="Column7619" dataDxfId="8766"/>
    <tableColumn id="7644" xr3:uid="{C4DC76A2-05C9-4A2E-9462-6DA786B176EA}" name="Column7620" dataDxfId="8765"/>
    <tableColumn id="7645" xr3:uid="{DFF685EA-F6DA-4563-AB63-2DE77C46E062}" name="Column7621" dataDxfId="8764"/>
    <tableColumn id="7646" xr3:uid="{7F6B05D4-5576-4744-95E4-A8B6B7A7034E}" name="Column7622" dataDxfId="8763"/>
    <tableColumn id="7647" xr3:uid="{E1385D70-BBED-461A-B9A9-8A2B726A6EA2}" name="Column7623" dataDxfId="8762"/>
    <tableColumn id="7648" xr3:uid="{BCD9350A-0326-488C-B4E2-A48EB738E70A}" name="Column7624" dataDxfId="8761"/>
    <tableColumn id="7649" xr3:uid="{9F28E1D6-8918-47E0-AAC4-642233B6A95E}" name="Column7625" dataDxfId="8760"/>
    <tableColumn id="7650" xr3:uid="{26CA38E6-9258-4AA1-B91E-545EC3052A6F}" name="Column7626" dataDxfId="8759"/>
    <tableColumn id="7651" xr3:uid="{A5323C47-A3CC-4593-894A-7E22DE592CD4}" name="Column7627" dataDxfId="8758"/>
    <tableColumn id="7652" xr3:uid="{0D349C67-25A5-4922-B5E7-22F047F7D29C}" name="Column7628" dataDxfId="8757"/>
    <tableColumn id="7653" xr3:uid="{0385B44D-E102-40D0-A698-4B3832BB1FC4}" name="Column7629" dataDxfId="8756"/>
    <tableColumn id="7654" xr3:uid="{B7142ADB-2656-431F-BEB1-33D7FDD70F2B}" name="Column7630" dataDxfId="8755"/>
    <tableColumn id="7655" xr3:uid="{C5A92E5E-8BD8-400B-9ADA-6BE413934499}" name="Column7631" dataDxfId="8754"/>
    <tableColumn id="7656" xr3:uid="{E1F517E4-A88B-4B77-B7AC-F89AC6FD9EB4}" name="Column7632" dataDxfId="8753"/>
    <tableColumn id="7657" xr3:uid="{08906F69-C2BD-42A9-B16B-09B1E2C6D379}" name="Column7633" dataDxfId="8752"/>
    <tableColumn id="7658" xr3:uid="{441AEF30-4BF4-44B5-BD12-D299EC343D04}" name="Column7634" dataDxfId="8751"/>
    <tableColumn id="7659" xr3:uid="{67406B13-BF12-454D-BB8E-80564BF63BCD}" name="Column7635" dataDxfId="8750"/>
    <tableColumn id="7660" xr3:uid="{B7E5A5C0-2F14-43A4-BA70-9F2485F2A4AA}" name="Column7636" dataDxfId="8749"/>
    <tableColumn id="7661" xr3:uid="{1E66B058-9CB5-42C2-A653-CED20565CB32}" name="Column7637" dataDxfId="8748"/>
    <tableColumn id="7662" xr3:uid="{6E6746CE-B839-46E4-AF8E-1201BEFA00F7}" name="Column7638" dataDxfId="8747"/>
    <tableColumn id="7663" xr3:uid="{225086CE-C4EF-4AE0-BB8A-FA53768BD245}" name="Column7639" dataDxfId="8746"/>
    <tableColumn id="7664" xr3:uid="{FBC4B7BD-B4FC-4C6C-A521-C4C4B1E457C0}" name="Column7640" dataDxfId="8745"/>
    <tableColumn id="7665" xr3:uid="{632BDC97-30B2-4B90-934D-FF240948703D}" name="Column7641" dataDxfId="8744"/>
    <tableColumn id="7666" xr3:uid="{FF83F767-D0E5-4C23-9513-C7B5E0910012}" name="Column7642" dataDxfId="8743"/>
    <tableColumn id="7667" xr3:uid="{01A8A458-F0A6-4386-BDB6-A3F983E60AAE}" name="Column7643" dataDxfId="8742"/>
    <tableColumn id="7668" xr3:uid="{4A624F89-2EF5-4D82-91EA-463511E42A5C}" name="Column7644" dataDxfId="8741"/>
    <tableColumn id="7669" xr3:uid="{D6294BB2-34A1-4B11-8114-E11007384FC2}" name="Column7645" dataDxfId="8740"/>
    <tableColumn id="7670" xr3:uid="{26650BA6-E01F-4FA7-8F36-AF9486C66EBF}" name="Column7646" dataDxfId="8739"/>
    <tableColumn id="7671" xr3:uid="{311CFF4F-2595-4091-8F3E-7C67E33D427B}" name="Column7647" dataDxfId="8738"/>
    <tableColumn id="7672" xr3:uid="{3AE8B74D-5FE5-4F01-86E9-6725FB242C97}" name="Column7648" dataDxfId="8737"/>
    <tableColumn id="7673" xr3:uid="{ABC5FAD2-4011-4EE1-8B2C-884147141245}" name="Column7649" dataDxfId="8736"/>
    <tableColumn id="7674" xr3:uid="{B90C1D1E-C030-48FE-942B-68AECB9667E5}" name="Column7650" dataDxfId="8735"/>
    <tableColumn id="7675" xr3:uid="{F382FC9E-967D-4515-84A3-2007136FEF48}" name="Column7651" dataDxfId="8734"/>
    <tableColumn id="7676" xr3:uid="{9F9B3D2A-2A29-4CAF-9248-3C0F7D94B435}" name="Column7652" dataDxfId="8733"/>
    <tableColumn id="7677" xr3:uid="{71127BEF-04A4-40D8-A9B3-472681C0DF6A}" name="Column7653" dataDxfId="8732"/>
    <tableColumn id="7678" xr3:uid="{B3E5710A-7DFF-40A2-8018-D68C7D8FDA94}" name="Column7654" dataDxfId="8731"/>
    <tableColumn id="7679" xr3:uid="{FEA2DDE9-A024-4537-8C69-A07483F95514}" name="Column7655" dataDxfId="8730"/>
    <tableColumn id="7680" xr3:uid="{DC9A918D-646B-40C1-B0EB-2ED49AF54B5A}" name="Column7656" dataDxfId="8729"/>
    <tableColumn id="7681" xr3:uid="{D70C7481-4B07-488E-BDDD-57083DF9148C}" name="Column7657" dataDxfId="8728"/>
    <tableColumn id="7682" xr3:uid="{8AF9695D-196E-48A8-8958-1062DD33D233}" name="Column7658" dataDxfId="8727"/>
    <tableColumn id="7683" xr3:uid="{26118259-089C-4B91-B45C-074F6D478CDA}" name="Column7659" dataDxfId="8726"/>
    <tableColumn id="7684" xr3:uid="{749B35A1-1840-4618-9F09-0D2269328A32}" name="Column7660" dataDxfId="8725"/>
    <tableColumn id="7685" xr3:uid="{24F3DDDC-10AC-40D0-BD9B-F96714F0AB36}" name="Column7661" dataDxfId="8724"/>
    <tableColumn id="7686" xr3:uid="{B217439D-C365-40E5-87D9-1D334F092725}" name="Column7662" dataDxfId="8723"/>
    <tableColumn id="7687" xr3:uid="{1AFAEBC5-3D0E-4082-91AE-2B109165956A}" name="Column7663" dataDxfId="8722"/>
    <tableColumn id="7688" xr3:uid="{2482317E-21BD-435D-B3B9-AE3193F545DD}" name="Column7664" dataDxfId="8721"/>
    <tableColumn id="7689" xr3:uid="{EDCD9835-01DD-47C2-896D-1482B3DC950B}" name="Column7665" dataDxfId="8720"/>
    <tableColumn id="7690" xr3:uid="{0D1923DA-0711-478F-8C6F-42E64402944F}" name="Column7666" dataDxfId="8719"/>
    <tableColumn id="7691" xr3:uid="{2B80A8C4-9471-451A-8790-78D53E346D1A}" name="Column7667" dataDxfId="8718"/>
    <tableColumn id="7692" xr3:uid="{F08293C3-1E40-4DB8-B3FB-E8889AB55F39}" name="Column7668" dataDxfId="8717"/>
    <tableColumn id="7693" xr3:uid="{CE97E37F-03E6-44A5-984C-445BF4CF9C24}" name="Column7669" dataDxfId="8716"/>
    <tableColumn id="7694" xr3:uid="{3C997201-B611-4994-97DE-ED5D54025EDB}" name="Column7670" dataDxfId="8715"/>
    <tableColumn id="7695" xr3:uid="{4A30EA3C-9074-4C13-9DDF-3B04DE1FC1C7}" name="Column7671" dataDxfId="8714"/>
    <tableColumn id="7696" xr3:uid="{603C0962-04CD-4D00-98B0-89C94A15BD94}" name="Column7672" dataDxfId="8713"/>
    <tableColumn id="7697" xr3:uid="{99B0E8E2-C52B-4AD4-91E2-BE400CB3039C}" name="Column7673" dataDxfId="8712"/>
    <tableColumn id="7698" xr3:uid="{FEEA0F41-53AE-40C2-A86D-BB24ECBDB6C5}" name="Column7674" dataDxfId="8711"/>
    <tableColumn id="7699" xr3:uid="{EA5335D7-D7E5-43C4-B472-8D6B143688C8}" name="Column7675" dataDxfId="8710"/>
    <tableColumn id="7700" xr3:uid="{49F77F37-C1E1-47E4-94CF-5DECA39D1AA9}" name="Column7676" dataDxfId="8709"/>
    <tableColumn id="7701" xr3:uid="{DF051B26-B3A7-4593-B4B1-420A2BFB8BF1}" name="Column7677" dataDxfId="8708"/>
    <tableColumn id="7702" xr3:uid="{1BF1EEA6-4418-468B-A8E5-E82D58944132}" name="Column7678" dataDxfId="8707"/>
    <tableColumn id="7703" xr3:uid="{1B1246D6-3CF3-44F8-B5C0-50E9275BD082}" name="Column7679" dataDxfId="8706"/>
    <tableColumn id="7704" xr3:uid="{15095AD1-573A-4074-B99A-448150FB3B8E}" name="Column7680" dataDxfId="8705"/>
    <tableColumn id="7705" xr3:uid="{F994159D-7F03-49B0-B969-EF0C5D9D3FC3}" name="Column7681" dataDxfId="8704"/>
    <tableColumn id="7706" xr3:uid="{B6289332-6CF0-4DE6-B330-1D2A38F7052D}" name="Column7682" dataDxfId="8703"/>
    <tableColumn id="7707" xr3:uid="{E257DDCF-F85E-48D2-8691-05BA0E5EE2C9}" name="Column7683" dataDxfId="8702"/>
    <tableColumn id="7708" xr3:uid="{15DDD4B2-4F61-4C71-8904-632BCF025837}" name="Column7684" dataDxfId="8701"/>
    <tableColumn id="7709" xr3:uid="{FE8C29FF-5AA7-4F4B-80FC-14EB1C219593}" name="Column7685" dataDxfId="8700"/>
    <tableColumn id="7710" xr3:uid="{BEA0453D-7C27-4166-AF3E-19BC245BAFEE}" name="Column7686" dataDxfId="8699"/>
    <tableColumn id="7711" xr3:uid="{D147CE71-8E30-40A6-9486-E916B53B9434}" name="Column7687" dataDxfId="8698"/>
    <tableColumn id="7712" xr3:uid="{B4B3E29A-ADE3-4CAD-951B-6731C2A0056C}" name="Column7688" dataDxfId="8697"/>
    <tableColumn id="7713" xr3:uid="{77DD1D86-B85B-4079-979C-BC26F63A5282}" name="Column7689" dataDxfId="8696"/>
    <tableColumn id="7714" xr3:uid="{47379BD5-7914-40C1-BB37-80622D077866}" name="Column7690" dataDxfId="8695"/>
    <tableColumn id="7715" xr3:uid="{E9D2A7AA-8B1F-42AE-A1BF-AEEA2DB5239A}" name="Column7691" dataDxfId="8694"/>
    <tableColumn id="7716" xr3:uid="{9D6C3788-3C18-4D31-9DD7-0A82CEBAD7FF}" name="Column7692" dataDxfId="8693"/>
    <tableColumn id="7717" xr3:uid="{C3C2A7E7-3600-46BB-BF42-7AF0E5971131}" name="Column7693" dataDxfId="8692"/>
    <tableColumn id="7718" xr3:uid="{F790AEC4-76F4-4371-A575-CDADC864DD47}" name="Column7694" dataDxfId="8691"/>
    <tableColumn id="7719" xr3:uid="{3FF2E223-B92A-49CA-9A5B-563D011AF7CC}" name="Column7695" dataDxfId="8690"/>
    <tableColumn id="7720" xr3:uid="{3CF3E33F-E1D5-4342-B768-AA5B48C3F420}" name="Column7696" dataDxfId="8689"/>
    <tableColumn id="7721" xr3:uid="{276B6CC4-1093-4F26-A799-A69820B4DCD6}" name="Column7697" dataDxfId="8688"/>
    <tableColumn id="7722" xr3:uid="{46F2C5F9-1365-4DED-A562-4F3C3B221538}" name="Column7698" dataDxfId="8687"/>
    <tableColumn id="7723" xr3:uid="{51574DCB-5E83-461F-9A08-1D0C3568B054}" name="Column7699" dataDxfId="8686"/>
    <tableColumn id="7724" xr3:uid="{88D98E36-5E50-4186-921D-6270105230B3}" name="Column7700" dataDxfId="8685"/>
    <tableColumn id="7725" xr3:uid="{0D0E7D3D-D6A7-4D41-99DD-9B121346C7A9}" name="Column7701" dataDxfId="8684"/>
    <tableColumn id="7726" xr3:uid="{7D01A9EE-7253-4814-ADD6-4B8A29D33A79}" name="Column7702" dataDxfId="8683"/>
    <tableColumn id="7727" xr3:uid="{0B431D99-357A-4467-8989-7598980B7A1A}" name="Column7703" dataDxfId="8682"/>
    <tableColumn id="7728" xr3:uid="{F0A2DCB7-AB49-46AF-B05C-27D646402575}" name="Column7704" dataDxfId="8681"/>
    <tableColumn id="7729" xr3:uid="{238C420B-5728-4747-A716-A0C7C1DCC8E7}" name="Column7705" dataDxfId="8680"/>
    <tableColumn id="7730" xr3:uid="{DED29ABB-2786-4944-AF5F-4AA3F5E888EF}" name="Column7706" dataDxfId="8679"/>
    <tableColumn id="7731" xr3:uid="{71A8A305-96AB-41E9-8A6A-17CF03A777D9}" name="Column7707" dataDxfId="8678"/>
    <tableColumn id="7732" xr3:uid="{8C5ABEA6-35E4-4364-90CE-EACD66438131}" name="Column7708" dataDxfId="8677"/>
    <tableColumn id="7733" xr3:uid="{4E1D4118-5606-425E-9645-FDE1DBCCDFB1}" name="Column7709" dataDxfId="8676"/>
    <tableColumn id="7734" xr3:uid="{96F666D0-7646-4311-9240-213A0E36BE47}" name="Column7710" dataDxfId="8675"/>
    <tableColumn id="7735" xr3:uid="{140926D5-4559-438F-B8F8-67B151C0746B}" name="Column7711" dataDxfId="8674"/>
    <tableColumn id="7736" xr3:uid="{ED8B0344-F0FD-49A1-8FCE-C8AD8F27BD33}" name="Column7712" dataDxfId="8673"/>
    <tableColumn id="7737" xr3:uid="{753AF5E8-5E20-4B1E-AD1C-4E6A4551E6C7}" name="Column7713" dataDxfId="8672"/>
    <tableColumn id="7738" xr3:uid="{D1779E8C-CA17-472C-AFDC-5E09E02E6254}" name="Column7714" dataDxfId="8671"/>
    <tableColumn id="7739" xr3:uid="{0CACDDD1-4C80-4819-88A5-09B7E93D6EB0}" name="Column7715" dataDxfId="8670"/>
    <tableColumn id="7740" xr3:uid="{EEE00B65-58FC-4AA8-B96A-A377A9376F1A}" name="Column7716" dataDxfId="8669"/>
    <tableColumn id="7741" xr3:uid="{E8BAF35A-701D-445E-B45C-9BD9127AE8F3}" name="Column7717" dataDxfId="8668"/>
    <tableColumn id="7742" xr3:uid="{C12392D5-7595-4D5D-9358-8DAA87090C58}" name="Column7718" dataDxfId="8667"/>
    <tableColumn id="7743" xr3:uid="{35B1AD7C-B1B8-4FE9-972F-2E3B58D59A88}" name="Column7719" dataDxfId="8666"/>
    <tableColumn id="7744" xr3:uid="{E28D3C95-B110-4990-989F-3D801E074E30}" name="Column7720" dataDxfId="8665"/>
    <tableColumn id="7745" xr3:uid="{B7DDE4A6-5C38-4D02-985D-213065C26B26}" name="Column7721" dataDxfId="8664"/>
    <tableColumn id="7746" xr3:uid="{3076954A-E8BD-482E-A213-AB7344B39A68}" name="Column7722" dataDxfId="8663"/>
    <tableColumn id="7747" xr3:uid="{09FAD6FB-8F41-4517-AE8B-FB7827D2926A}" name="Column7723" dataDxfId="8662"/>
    <tableColumn id="7748" xr3:uid="{1D6D24B6-C712-4AE4-854E-80BBF174A0C8}" name="Column7724" dataDxfId="8661"/>
    <tableColumn id="7749" xr3:uid="{E69D6379-E23E-4EA6-BAA8-878883D10D68}" name="Column7725" dataDxfId="8660"/>
    <tableColumn id="7750" xr3:uid="{66812FE5-97BD-45A2-B510-54CF031C92BD}" name="Column7726" dataDxfId="8659"/>
    <tableColumn id="7751" xr3:uid="{DDDB58D9-8A72-40D5-B40E-908BDBCF69A8}" name="Column7727" dataDxfId="8658"/>
    <tableColumn id="7752" xr3:uid="{488BD112-C93F-4952-81E1-F0DB30C522E4}" name="Column7728" dataDxfId="8657"/>
    <tableColumn id="7753" xr3:uid="{2563F7FC-99C5-41B6-9C68-9DD96063E94C}" name="Column7729" dataDxfId="8656"/>
    <tableColumn id="7754" xr3:uid="{C021C428-33F6-4D13-99BB-6BA4F88F6870}" name="Column7730" dataDxfId="8655"/>
    <tableColumn id="7755" xr3:uid="{87AD3551-D427-42D7-B511-F4CAE344E9AB}" name="Column7731" dataDxfId="8654"/>
    <tableColumn id="7756" xr3:uid="{2A002FF4-C281-4AE5-9761-5A9A4B79589C}" name="Column7732" dataDxfId="8653"/>
    <tableColumn id="7757" xr3:uid="{5BB4B990-CBAC-41A9-B586-14C6841AF01C}" name="Column7733" dataDxfId="8652"/>
    <tableColumn id="7758" xr3:uid="{DC87A377-D199-4377-8C1B-187EEF9A8EF2}" name="Column7734" dataDxfId="8651"/>
    <tableColumn id="7759" xr3:uid="{0858B0EE-BDEB-4947-9227-020C2A27ABDB}" name="Column7735" dataDxfId="8650"/>
    <tableColumn id="7760" xr3:uid="{CD38042F-DB97-43EA-AC07-DAAF176A2E11}" name="Column7736" dataDxfId="8649"/>
    <tableColumn id="7761" xr3:uid="{083F7CA5-CCB7-48B4-93CD-6CC03028C769}" name="Column7737" dataDxfId="8648"/>
    <tableColumn id="7762" xr3:uid="{24E2B61F-46F6-4045-AE21-2D163C35E133}" name="Column7738" dataDxfId="8647"/>
    <tableColumn id="7763" xr3:uid="{EA54B407-5A5C-498A-98F7-8AD7503DE6D2}" name="Column7739" dataDxfId="8646"/>
    <tableColumn id="7764" xr3:uid="{92BAF004-54D4-437E-8DF3-A42928524D2A}" name="Column7740" dataDxfId="8645"/>
    <tableColumn id="7765" xr3:uid="{5BC0A8F6-BBA7-4E41-9FE9-64AEEFD242B5}" name="Column7741" dataDxfId="8644"/>
    <tableColumn id="7766" xr3:uid="{073FAEF1-D95F-483E-AE70-07F5271CAA5F}" name="Column7742" dataDxfId="8643"/>
    <tableColumn id="7767" xr3:uid="{2C219033-0D26-4888-9D46-C69E051B1767}" name="Column7743" dataDxfId="8642"/>
    <tableColumn id="7768" xr3:uid="{FBA7BE44-9177-441B-8EFB-32343B14E738}" name="Column7744" dataDxfId="8641"/>
    <tableColumn id="7769" xr3:uid="{93B5DB30-4FD9-4CF8-B62A-C19CA98DA1E5}" name="Column7745" dataDxfId="8640"/>
    <tableColumn id="7770" xr3:uid="{A02090C5-722D-4E11-B0BA-E10510296996}" name="Column7746" dataDxfId="8639"/>
    <tableColumn id="7771" xr3:uid="{09EDB48A-2F9F-487C-9920-294196E100C7}" name="Column7747" dataDxfId="8638"/>
    <tableColumn id="7772" xr3:uid="{8C0FA245-B8DB-485E-B284-18B73C0FD4CC}" name="Column7748" dataDxfId="8637"/>
    <tableColumn id="7773" xr3:uid="{DD207D07-36D1-4432-90AF-6D0900F97A6C}" name="Column7749" dataDxfId="8636"/>
    <tableColumn id="7774" xr3:uid="{1E300014-57D2-44A8-813C-2682DCEAF8D5}" name="Column7750" dataDxfId="8635"/>
    <tableColumn id="7775" xr3:uid="{6ED89CBC-03DF-4D2B-AAA9-9AFF68A171DE}" name="Column7751" dataDxfId="8634"/>
    <tableColumn id="7776" xr3:uid="{216CD397-3D1A-4706-AD1B-085256C306AC}" name="Column7752" dataDxfId="8633"/>
    <tableColumn id="7777" xr3:uid="{85C70458-8842-4F1F-8FC0-3D6F73CF55F9}" name="Column7753" dataDxfId="8632"/>
    <tableColumn id="7778" xr3:uid="{AFA5E58D-A8C3-4264-A3ED-A75D3816A76A}" name="Column7754" dataDxfId="8631"/>
    <tableColumn id="7779" xr3:uid="{F21F9F8C-50CB-4CE8-A07F-DFDB0DF0A9D4}" name="Column7755" dataDxfId="8630"/>
    <tableColumn id="7780" xr3:uid="{86C130AD-BB86-466F-A775-8E332107AB7A}" name="Column7756" dataDxfId="8629"/>
    <tableColumn id="7781" xr3:uid="{39B32F92-54D0-4D94-985F-B105A626DA02}" name="Column7757" dataDxfId="8628"/>
    <tableColumn id="7782" xr3:uid="{9F30C2B5-59A2-473C-BE11-3C0249844D3F}" name="Column7758" dataDxfId="8627"/>
    <tableColumn id="7783" xr3:uid="{8E80AE45-7BF4-4B43-9282-175EF01A1A7C}" name="Column7759" dataDxfId="8626"/>
    <tableColumn id="7784" xr3:uid="{2868D8F8-6456-415B-A082-C76D658EA643}" name="Column7760" dataDxfId="8625"/>
    <tableColumn id="7785" xr3:uid="{90995E67-4B67-453D-8AA5-9CF85487D3FF}" name="Column7761" dataDxfId="8624"/>
    <tableColumn id="7786" xr3:uid="{AE50B473-F0AC-45E9-B391-913C5F35984E}" name="Column7762" dataDxfId="8623"/>
    <tableColumn id="7787" xr3:uid="{AF092586-F13C-432E-9B01-21E606CF3611}" name="Column7763" dataDxfId="8622"/>
    <tableColumn id="7788" xr3:uid="{592A6228-FA43-4CB4-A179-5662A539E882}" name="Column7764" dataDxfId="8621"/>
    <tableColumn id="7789" xr3:uid="{A1A54273-2A05-4FB9-A2C0-ADEAAE41C9F6}" name="Column7765" dataDxfId="8620"/>
    <tableColumn id="7790" xr3:uid="{CED7B7AE-48C5-47BD-BDAB-6E320AF68337}" name="Column7766" dataDxfId="8619"/>
    <tableColumn id="7791" xr3:uid="{498C8521-4637-4E60-9818-FC61D9A08644}" name="Column7767" dataDxfId="8618"/>
    <tableColumn id="7792" xr3:uid="{CC45399E-B660-4E69-9B25-F468180F491A}" name="Column7768" dataDxfId="8617"/>
    <tableColumn id="7793" xr3:uid="{50FF6BA0-2E51-43E5-8440-F9FDD8206160}" name="Column7769" dataDxfId="8616"/>
    <tableColumn id="7794" xr3:uid="{7DBA69EA-9A37-44E8-98C4-75D1DCD3B92C}" name="Column7770" dataDxfId="8615"/>
    <tableColumn id="7795" xr3:uid="{0D6215E8-9E95-4B91-87B5-ED70FC863F0D}" name="Column7771" dataDxfId="8614"/>
    <tableColumn id="7796" xr3:uid="{B8663A3A-46AE-47FD-8C63-B56565AE2F0B}" name="Column7772" dataDxfId="8613"/>
    <tableColumn id="7797" xr3:uid="{7DEAB84F-4C66-4CBA-8D9C-126C58F97FF5}" name="Column7773" dataDxfId="8612"/>
    <tableColumn id="7798" xr3:uid="{7F4D915A-555E-47A8-AF09-344C78EBC2AC}" name="Column7774" dataDxfId="8611"/>
    <tableColumn id="7799" xr3:uid="{6C39413D-C42B-49F9-9D12-3020625D81E9}" name="Column7775" dataDxfId="8610"/>
    <tableColumn id="7800" xr3:uid="{8D967279-734C-475A-94FC-0E7B39862C31}" name="Column7776" dataDxfId="8609"/>
    <tableColumn id="7801" xr3:uid="{44999F29-8FD8-477B-B7CE-094DB3896803}" name="Column7777" dataDxfId="8608"/>
    <tableColumn id="7802" xr3:uid="{415BE42D-EBEB-42C2-B53C-5B8A9DDDB2F5}" name="Column7778" dataDxfId="8607"/>
    <tableColumn id="7803" xr3:uid="{F81A50A3-92AB-4223-B385-66F6EF227599}" name="Column7779" dataDxfId="8606"/>
    <tableColumn id="7804" xr3:uid="{D1C1FBE6-A51D-4549-86E9-859C0FCB6847}" name="Column7780" dataDxfId="8605"/>
    <tableColumn id="7805" xr3:uid="{F8736BFC-C2B2-4D92-A921-D07C0FC159ED}" name="Column7781" dataDxfId="8604"/>
    <tableColumn id="7806" xr3:uid="{E183774E-D044-4C87-A68C-F7DB6AE385D8}" name="Column7782" dataDxfId="8603"/>
    <tableColumn id="7807" xr3:uid="{557F50FB-555A-4A67-BA3F-84492E940A5C}" name="Column7783" dataDxfId="8602"/>
    <tableColumn id="7808" xr3:uid="{EFF50D2D-7F8B-4753-9D89-7C445CFDBE5A}" name="Column7784" dataDxfId="8601"/>
    <tableColumn id="7809" xr3:uid="{41A2CD24-FADA-44F7-9C68-52EE380324FB}" name="Column7785" dataDxfId="8600"/>
    <tableColumn id="7810" xr3:uid="{799883F6-17A9-4200-B71A-73A7AEA21885}" name="Column7786" dataDxfId="8599"/>
    <tableColumn id="7811" xr3:uid="{C458D590-C858-408D-B32D-2D6A6C35FF4A}" name="Column7787" dataDxfId="8598"/>
    <tableColumn id="7812" xr3:uid="{0D3D6EB4-6EFD-49A6-B9C7-3B1BC77A543C}" name="Column7788" dataDxfId="8597"/>
    <tableColumn id="7813" xr3:uid="{769AE1C2-606F-4587-AAC3-DB9B956617B6}" name="Column7789" dataDxfId="8596"/>
    <tableColumn id="7814" xr3:uid="{8E018654-F878-4CA7-AE5C-AEDC47B0C7A4}" name="Column7790" dataDxfId="8595"/>
    <tableColumn id="7815" xr3:uid="{274C2244-E0DC-4FD4-ACEC-7371886281A3}" name="Column7791" dataDxfId="8594"/>
    <tableColumn id="7816" xr3:uid="{1BFAEC2E-047C-4C57-9C94-28F9C2967AD9}" name="Column7792" dataDxfId="8593"/>
    <tableColumn id="7817" xr3:uid="{1CD22AE4-AED2-494A-8807-EAA7A75CFDCF}" name="Column7793" dataDxfId="8592"/>
    <tableColumn id="7818" xr3:uid="{1CF75509-3D7A-418B-BD83-3000E816A692}" name="Column7794" dataDxfId="8591"/>
    <tableColumn id="7819" xr3:uid="{FADFA1F9-C24B-4004-8D2F-5FE45220643C}" name="Column7795" dataDxfId="8590"/>
    <tableColumn id="7820" xr3:uid="{EE6E9DF8-8CDA-4BCF-8C66-EFECDFDFB238}" name="Column7796" dataDxfId="8589"/>
    <tableColumn id="7821" xr3:uid="{E55D8BDB-80EB-4183-AA7C-D66107E1DABF}" name="Column7797" dataDxfId="8588"/>
    <tableColumn id="7822" xr3:uid="{F5781241-636F-4448-B5FB-ED19B2C6AB46}" name="Column7798" dataDxfId="8587"/>
    <tableColumn id="7823" xr3:uid="{02E99ED3-ACB4-4CD4-93D0-866418090B90}" name="Column7799" dataDxfId="8586"/>
    <tableColumn id="7824" xr3:uid="{D9871784-C94C-4B82-AC63-F9ACA5C8273C}" name="Column7800" dataDxfId="8585"/>
    <tableColumn id="7825" xr3:uid="{31293A87-E5ED-49AC-B3F5-072D82F572DC}" name="Column7801" dataDxfId="8584"/>
    <tableColumn id="7826" xr3:uid="{36053522-CDD6-45EE-930D-775452FD39D8}" name="Column7802" dataDxfId="8583"/>
    <tableColumn id="7827" xr3:uid="{DBF0E46D-4FBA-46B1-B6B0-D0ABE23783A8}" name="Column7803" dataDxfId="8582"/>
    <tableColumn id="7828" xr3:uid="{B259868D-D675-4B43-8603-BE4A40A99606}" name="Column7804" dataDxfId="8581"/>
    <tableColumn id="7829" xr3:uid="{216F3C15-E801-4665-8E13-09E5462F1989}" name="Column7805" dataDxfId="8580"/>
    <tableColumn id="7830" xr3:uid="{24ADF733-B1E7-4DE6-B06E-28EF8F267B9C}" name="Column7806" dataDxfId="8579"/>
    <tableColumn id="7831" xr3:uid="{05FF1FAB-7068-4694-AD5A-6C36B3CD392C}" name="Column7807" dataDxfId="8578"/>
    <tableColumn id="7832" xr3:uid="{3FD85A2F-512A-4169-94DD-03474D4E6473}" name="Column7808" dataDxfId="8577"/>
    <tableColumn id="7833" xr3:uid="{0E675792-2545-4891-8C39-5E8EAB9716F8}" name="Column7809" dataDxfId="8576"/>
    <tableColumn id="7834" xr3:uid="{A1364F9B-3C1E-4CB2-A5E4-9BF818D7DD17}" name="Column7810" dataDxfId="8575"/>
    <tableColumn id="7835" xr3:uid="{C104A5FB-A269-4CC0-9626-A09CB95D52FA}" name="Column7811" dataDxfId="8574"/>
    <tableColumn id="7836" xr3:uid="{D6875041-37C6-4201-927B-7BCB9E10664B}" name="Column7812" dataDxfId="8573"/>
    <tableColumn id="7837" xr3:uid="{C7ED7121-873E-4D99-B184-CF83EC105320}" name="Column7813" dataDxfId="8572"/>
    <tableColumn id="7838" xr3:uid="{3C874356-F332-4772-9C84-5D37BA6B897D}" name="Column7814" dataDxfId="8571"/>
    <tableColumn id="7839" xr3:uid="{71D6733F-743C-4689-9EA4-B20B13753858}" name="Column7815" dataDxfId="8570"/>
    <tableColumn id="7840" xr3:uid="{DCB1D425-CE06-4E66-A6EF-E1B2681715C6}" name="Column7816" dataDxfId="8569"/>
    <tableColumn id="7841" xr3:uid="{107D0B78-DF9F-44EF-BAC4-BB4F531F9F52}" name="Column7817" dataDxfId="8568"/>
    <tableColumn id="7842" xr3:uid="{7DDF5452-93B4-47DF-BD9D-03B7CCE87F7B}" name="Column7818" dataDxfId="8567"/>
    <tableColumn id="7843" xr3:uid="{DFA28342-A07C-4915-82A8-75E7A38BFC42}" name="Column7819" dataDxfId="8566"/>
    <tableColumn id="7844" xr3:uid="{BD2E8AEF-7DF3-4CB2-B052-7B8BF1A27AFF}" name="Column7820" dataDxfId="8565"/>
    <tableColumn id="7845" xr3:uid="{1C433E35-940E-469B-9500-387D4BB89D33}" name="Column7821" dataDxfId="8564"/>
    <tableColumn id="7846" xr3:uid="{FD1B6D90-1CF1-4FF7-8A9C-07CCAFBD4E85}" name="Column7822" dataDxfId="8563"/>
    <tableColumn id="7847" xr3:uid="{F90A0862-369B-45D8-89BD-12EAB7D5F34E}" name="Column7823" dataDxfId="8562"/>
    <tableColumn id="7848" xr3:uid="{20D9C8B1-8291-474E-81FC-F7411A1AC771}" name="Column7824" dataDxfId="8561"/>
    <tableColumn id="7849" xr3:uid="{32300A29-F5E1-476D-BF27-4D8EA1C05744}" name="Column7825" dataDxfId="8560"/>
    <tableColumn id="7850" xr3:uid="{5EE01872-72B1-4DFF-969F-FD53B53224FC}" name="Column7826" dataDxfId="8559"/>
    <tableColumn id="7851" xr3:uid="{70B75B53-C3D6-408A-A469-29F0F5C80296}" name="Column7827" dataDxfId="8558"/>
    <tableColumn id="7852" xr3:uid="{758AA9CB-B53D-43B0-9E37-5F9B9BA8D80A}" name="Column7828" dataDxfId="8557"/>
    <tableColumn id="7853" xr3:uid="{103A0A4A-CD35-4065-80D4-E05FE59ABA41}" name="Column7829" dataDxfId="8556"/>
    <tableColumn id="7854" xr3:uid="{2BFB366B-D345-4010-9CDF-C1D21276819C}" name="Column7830" dataDxfId="8555"/>
    <tableColumn id="7855" xr3:uid="{C0C5C40E-0D52-4311-B91C-2663B5BCD324}" name="Column7831" dataDxfId="8554"/>
    <tableColumn id="7856" xr3:uid="{08C7F347-14C4-4B4A-A254-28BB527E8B1D}" name="Column7832" dataDxfId="8553"/>
    <tableColumn id="7857" xr3:uid="{3CEE3689-49CA-49D7-9F2A-77FE77EB5553}" name="Column7833" dataDxfId="8552"/>
    <tableColumn id="7858" xr3:uid="{7DC3331E-3482-4279-BF9D-FC4D8F949718}" name="Column7834" dataDxfId="8551"/>
    <tableColumn id="7859" xr3:uid="{93C0E7E1-67BA-43A4-AB89-4FA9DE4CF980}" name="Column7835" dataDxfId="8550"/>
    <tableColumn id="7860" xr3:uid="{BF8B0343-A764-4FF6-BC3A-F450560C2A55}" name="Column7836" dataDxfId="8549"/>
    <tableColumn id="7861" xr3:uid="{CD8AFD80-578E-48D9-AAB2-29E7A5D6B668}" name="Column7837" dataDxfId="8548"/>
    <tableColumn id="7862" xr3:uid="{CE8981D2-BB1C-463C-A855-1651A40A4645}" name="Column7838" dataDxfId="8547"/>
    <tableColumn id="7863" xr3:uid="{4671E538-3B07-479A-9292-34E47B15F70E}" name="Column7839" dataDxfId="8546"/>
    <tableColumn id="7864" xr3:uid="{24E5FBBD-7860-49D2-908A-8FB381B8C530}" name="Column7840" dataDxfId="8545"/>
    <tableColumn id="7865" xr3:uid="{CF1F1CCE-F836-4509-A554-83B1C713FF47}" name="Column7841" dataDxfId="8544"/>
    <tableColumn id="7866" xr3:uid="{13BF5874-C714-4F2B-B34F-FBA6FEFBECD3}" name="Column7842" dataDxfId="8543"/>
    <tableColumn id="7867" xr3:uid="{9B478AA0-2B92-4E82-8740-E7A7F3C8EBDC}" name="Column7843" dataDxfId="8542"/>
    <tableColumn id="7868" xr3:uid="{2E9011B2-885C-491B-B371-79E4B6448BE5}" name="Column7844" dataDxfId="8541"/>
    <tableColumn id="7869" xr3:uid="{366BDCD8-5474-4242-9977-48E0566914E0}" name="Column7845" dataDxfId="8540"/>
    <tableColumn id="7870" xr3:uid="{E02F71BE-FAAE-4C92-B898-D970A83293B0}" name="Column7846" dataDxfId="8539"/>
    <tableColumn id="7871" xr3:uid="{98C538B1-BAA3-4C89-B960-154C81905395}" name="Column7847" dataDxfId="8538"/>
    <tableColumn id="7872" xr3:uid="{130D9C4E-8462-4342-91D4-CE851AD192A9}" name="Column7848" dataDxfId="8537"/>
    <tableColumn id="7873" xr3:uid="{35D70C06-C86B-4518-8FF0-1BE574A81D71}" name="Column7849" dataDxfId="8536"/>
    <tableColumn id="7874" xr3:uid="{2FED43E9-AC5F-4B38-A714-2C28C9E0355E}" name="Column7850" dataDxfId="8535"/>
    <tableColumn id="7875" xr3:uid="{9FE4B8D4-3E82-46A6-B31C-66C8ED0C3264}" name="Column7851" dataDxfId="8534"/>
    <tableColumn id="7876" xr3:uid="{FD9B2351-5C29-48A0-B3DB-128522F9C2F4}" name="Column7852" dataDxfId="8533"/>
    <tableColumn id="7877" xr3:uid="{E65F412C-58F6-483C-AC6E-3E02E044FD5F}" name="Column7853" dataDxfId="8532"/>
    <tableColumn id="7878" xr3:uid="{39B84FA2-C405-4C5B-8D5A-B6210FE82482}" name="Column7854" dataDxfId="8531"/>
    <tableColumn id="7879" xr3:uid="{1880B707-BDD0-4C12-A526-D40776B5BC70}" name="Column7855" dataDxfId="8530"/>
    <tableColumn id="7880" xr3:uid="{105AB6FD-68A8-4124-ADC3-519F3252EF4A}" name="Column7856" dataDxfId="8529"/>
    <tableColumn id="7881" xr3:uid="{0AA3DDC7-F742-4943-BFF0-E8367A5A3340}" name="Column7857" dataDxfId="8528"/>
    <tableColumn id="7882" xr3:uid="{B5FDF52B-AB8C-4663-A869-74C1CA90E849}" name="Column7858" dataDxfId="8527"/>
    <tableColumn id="7883" xr3:uid="{611716A3-DEFB-483E-92EE-E4B6AC594395}" name="Column7859" dataDxfId="8526"/>
    <tableColumn id="7884" xr3:uid="{9D1A6121-532B-44BD-82C7-BCF3A5FCDBA4}" name="Column7860" dataDxfId="8525"/>
    <tableColumn id="7885" xr3:uid="{1794A057-AA34-47CC-88FF-7F858A1975A8}" name="Column7861" dataDxfId="8524"/>
    <tableColumn id="7886" xr3:uid="{8503E1CC-B130-4A20-99A0-CDAE0FA873EF}" name="Column7862" dataDxfId="8523"/>
    <tableColumn id="7887" xr3:uid="{D20F2942-3024-478D-AB21-5F09E231F4BC}" name="Column7863" dataDxfId="8522"/>
    <tableColumn id="7888" xr3:uid="{E437AB38-B198-49AC-8B66-9984D89F5981}" name="Column7864" dataDxfId="8521"/>
    <tableColumn id="7889" xr3:uid="{0E797257-A189-4C0E-B927-0B16EAF25720}" name="Column7865" dataDxfId="8520"/>
    <tableColumn id="7890" xr3:uid="{9B2694F9-2715-46C4-8A36-2308AE6C2718}" name="Column7866" dataDxfId="8519"/>
    <tableColumn id="7891" xr3:uid="{1C81AF3C-D5B9-4A92-83C7-E27CC568CBB7}" name="Column7867" dataDxfId="8518"/>
    <tableColumn id="7892" xr3:uid="{F7BE88D5-87E7-415A-BCCE-A47B9CC96E6A}" name="Column7868" dataDxfId="8517"/>
    <tableColumn id="7893" xr3:uid="{1D540EBC-BAA2-47BD-9FE2-0D21EADBDFFE}" name="Column7869" dataDxfId="8516"/>
    <tableColumn id="7894" xr3:uid="{9D4CDFAD-F572-45C4-8C45-BFE264A0DE05}" name="Column7870" dataDxfId="8515"/>
    <tableColumn id="7895" xr3:uid="{A5604D90-B862-4BD1-ADC2-849FECFD2740}" name="Column7871" dataDxfId="8514"/>
    <tableColumn id="7896" xr3:uid="{6421BD81-C963-46A6-A503-EF25656F9302}" name="Column7872" dataDxfId="8513"/>
    <tableColumn id="7897" xr3:uid="{3ABD0989-BB51-4170-868B-C41EC6141996}" name="Column7873" dataDxfId="8512"/>
    <tableColumn id="7898" xr3:uid="{1A6F9ED8-58A3-4139-96F2-590F29AE791F}" name="Column7874" dataDxfId="8511"/>
    <tableColumn id="7899" xr3:uid="{865576AD-3B8D-44EB-ACDD-66E2B7E7C4DB}" name="Column7875" dataDxfId="8510"/>
    <tableColumn id="7900" xr3:uid="{B8D3B542-0050-46DA-8CF7-0C7CFBC723FA}" name="Column7876" dataDxfId="8509"/>
    <tableColumn id="7901" xr3:uid="{AB5CA789-B36B-4493-B261-E79873D10B4A}" name="Column7877" dataDxfId="8508"/>
    <tableColumn id="7902" xr3:uid="{838963E2-16D4-43F6-908E-6AA06E8F8F9E}" name="Column7878" dataDxfId="8507"/>
    <tableColumn id="7903" xr3:uid="{DD71CCD0-11BA-4E57-B401-96A3FFD79713}" name="Column7879" dataDxfId="8506"/>
    <tableColumn id="7904" xr3:uid="{E9203A73-8278-4157-928F-B48E822C4B75}" name="Column7880" dataDxfId="8505"/>
    <tableColumn id="7905" xr3:uid="{32E6903B-AC7F-46FF-9F4F-9D1DCC32FAFF}" name="Column7881" dataDxfId="8504"/>
    <tableColumn id="7906" xr3:uid="{65A00C97-762E-4D73-99F4-2533490F617F}" name="Column7882" dataDxfId="8503"/>
    <tableColumn id="7907" xr3:uid="{8127C5AA-19DF-4A9F-A9F6-466FB319DBA3}" name="Column7883" dataDxfId="8502"/>
    <tableColumn id="7908" xr3:uid="{604528DA-BC1B-4985-B3E1-A2454B445AB4}" name="Column7884" dataDxfId="8501"/>
    <tableColumn id="7909" xr3:uid="{8BD977D8-37FA-4400-AB64-B5016F661D62}" name="Column7885" dataDxfId="8500"/>
    <tableColumn id="7910" xr3:uid="{264A7B29-3E67-4381-B11C-3853F823C35E}" name="Column7886" dataDxfId="8499"/>
    <tableColumn id="7911" xr3:uid="{C8F08D46-79F3-4022-87E4-FF25D8D9FFFE}" name="Column7887" dataDxfId="8498"/>
    <tableColumn id="7912" xr3:uid="{F766C285-BC54-4C0B-BB42-7AA4E16C4898}" name="Column7888" dataDxfId="8497"/>
    <tableColumn id="7913" xr3:uid="{EB70DBDD-3A02-49D5-A0FB-41C06078D408}" name="Column7889" dataDxfId="8496"/>
    <tableColumn id="7914" xr3:uid="{E892CCC6-35A4-4D5A-8A6D-3759CEAF2E20}" name="Column7890" dataDxfId="8495"/>
    <tableColumn id="7915" xr3:uid="{509FC979-CFE8-4961-AEC9-D36AA4A7C27C}" name="Column7891" dataDxfId="8494"/>
    <tableColumn id="7916" xr3:uid="{31E0B5E2-318F-4086-88C4-DA6918BE531A}" name="Column7892" dataDxfId="8493"/>
    <tableColumn id="7917" xr3:uid="{0C7A6172-FECC-40D1-A9B0-636A73AB28FE}" name="Column7893" dataDxfId="8492"/>
    <tableColumn id="7918" xr3:uid="{33FF7797-1E4A-45F5-94B0-2974E1A4C049}" name="Column7894" dataDxfId="8491"/>
    <tableColumn id="7919" xr3:uid="{24534F2F-4AC2-4487-B2F5-762703CE7BBB}" name="Column7895" dataDxfId="8490"/>
    <tableColumn id="7920" xr3:uid="{880A8CB7-AED6-438B-B284-BDC2CF8B37B8}" name="Column7896" dataDxfId="8489"/>
    <tableColumn id="7921" xr3:uid="{D150AA47-A585-4185-95D8-1A9123073450}" name="Column7897" dataDxfId="8488"/>
    <tableColumn id="7922" xr3:uid="{0DB6E773-9587-4F19-AF11-02D5C20C23C5}" name="Column7898" dataDxfId="8487"/>
    <tableColumn id="7923" xr3:uid="{77C9933C-3C9F-4F41-A83C-7766AA5247C1}" name="Column7899" dataDxfId="8486"/>
    <tableColumn id="7924" xr3:uid="{D5892CB1-FBE8-41DF-8ABB-3F7632EFD911}" name="Column7900" dataDxfId="8485"/>
    <tableColumn id="7925" xr3:uid="{9C5C32F8-0A28-4FE6-A7B7-03091EFB891C}" name="Column7901" dataDxfId="8484"/>
    <tableColumn id="7926" xr3:uid="{842C3FA5-EE2B-40DD-B6BA-D5E70A8D6040}" name="Column7902" dataDxfId="8483"/>
    <tableColumn id="7927" xr3:uid="{5A267938-9DE9-43F9-8118-CCA1F7C6DE38}" name="Column7903" dataDxfId="8482"/>
    <tableColumn id="7928" xr3:uid="{9EC4CDE5-0F30-431D-A523-5A24651DEC87}" name="Column7904" dataDxfId="8481"/>
    <tableColumn id="7929" xr3:uid="{DAB8D67B-86AB-4D73-80EE-125E3EC4D7EF}" name="Column7905" dataDxfId="8480"/>
    <tableColumn id="7930" xr3:uid="{DB410CE5-9D94-45E8-BBB0-F38BBC8D2E8C}" name="Column7906" dataDxfId="8479"/>
    <tableColumn id="7931" xr3:uid="{341B5E1D-AB00-4104-BF1E-8B6A68C0173D}" name="Column7907" dataDxfId="8478"/>
    <tableColumn id="7932" xr3:uid="{288F89E3-BA22-4449-BCF9-FDD67026EC83}" name="Column7908" dataDxfId="8477"/>
    <tableColumn id="7933" xr3:uid="{96B2CC2C-5C04-494F-8960-4C3A3F2D27D1}" name="Column7909" dataDxfId="8476"/>
    <tableColumn id="7934" xr3:uid="{6CDA6BC4-7859-42C2-BA16-210AFCC31F11}" name="Column7910" dataDxfId="8475"/>
    <tableColumn id="7935" xr3:uid="{4CBA0DE9-2356-480C-899E-016B04DD27CC}" name="Column7911" dataDxfId="8474"/>
    <tableColumn id="7936" xr3:uid="{7A5AAA54-2070-496D-9DDC-57C2E0C9A28F}" name="Column7912" dataDxfId="8473"/>
    <tableColumn id="7937" xr3:uid="{B3D481D5-82A5-490B-86C5-A489F2BC6D46}" name="Column7913" dataDxfId="8472"/>
    <tableColumn id="7938" xr3:uid="{EE4C8AB9-23BC-4D24-BEFF-38C367B52593}" name="Column7914" dataDxfId="8471"/>
    <tableColumn id="7939" xr3:uid="{B0E71ADA-2AD3-4608-B2DC-3240506C43E3}" name="Column7915" dataDxfId="8470"/>
    <tableColumn id="7940" xr3:uid="{04B2A7FD-7859-4C85-8102-81E18AEF0079}" name="Column7916" dataDxfId="8469"/>
    <tableColumn id="7941" xr3:uid="{2089005D-08B9-4698-A225-71500C6E1A1F}" name="Column7917" dataDxfId="8468"/>
    <tableColumn id="7942" xr3:uid="{60A7BDEA-DBAE-4B9E-B1DE-5FE10A49B959}" name="Column7918" dataDxfId="8467"/>
    <tableColumn id="7943" xr3:uid="{D2F126BA-B897-4F42-95B6-989765537B07}" name="Column7919" dataDxfId="8466"/>
    <tableColumn id="7944" xr3:uid="{1E5395F5-471C-4F0F-A0A4-20F1B924F458}" name="Column7920" dataDxfId="8465"/>
    <tableColumn id="7945" xr3:uid="{4700DC36-894B-49F5-9145-612438CFF47C}" name="Column7921" dataDxfId="8464"/>
    <tableColumn id="7946" xr3:uid="{5C0B70EE-5F06-45D4-B4DE-69F083F9B248}" name="Column7922" dataDxfId="8463"/>
    <tableColumn id="7947" xr3:uid="{024EA3CE-86B8-49BD-90BA-504E48CCE8E8}" name="Column7923" dataDxfId="8462"/>
    <tableColumn id="7948" xr3:uid="{C338A0FB-3A13-40DA-9522-F842D7F0BAEE}" name="Column7924" dataDxfId="8461"/>
    <tableColumn id="7949" xr3:uid="{E65B7E0F-0A06-4FE3-831F-8D682EC6DC0A}" name="Column7925" dataDxfId="8460"/>
    <tableColumn id="7950" xr3:uid="{91F54FA5-13F5-4363-A3B7-E82170DC9AAA}" name="Column7926" dataDxfId="8459"/>
    <tableColumn id="7951" xr3:uid="{2C959F0F-DA1E-43F3-A08D-D2FA9891FE46}" name="Column7927" dataDxfId="8458"/>
    <tableColumn id="7952" xr3:uid="{7A8DE4FF-1CBB-4911-9A3B-5A01C82B29D3}" name="Column7928" dataDxfId="8457"/>
    <tableColumn id="7953" xr3:uid="{5B3E42F7-5893-4B13-BA89-9C4FD2C6BB45}" name="Column7929" dataDxfId="8456"/>
    <tableColumn id="7954" xr3:uid="{6EC803C0-2A91-45E9-853C-016C47B710C0}" name="Column7930" dataDxfId="8455"/>
    <tableColumn id="7955" xr3:uid="{6C9D53E3-C7FC-4D03-B566-A9D530DCC7D1}" name="Column7931" dataDxfId="8454"/>
    <tableColumn id="7956" xr3:uid="{E345F98E-1CF8-4906-B207-53B4022D461D}" name="Column7932" dataDxfId="8453"/>
    <tableColumn id="7957" xr3:uid="{00F77D5F-4EC7-41AE-BA65-088C6E370C19}" name="Column7933" dataDxfId="8452"/>
    <tableColumn id="7958" xr3:uid="{C4343C4A-F7BD-427B-B6A9-05EBD4E5DBBA}" name="Column7934" dataDxfId="8451"/>
    <tableColumn id="7959" xr3:uid="{19D5A766-B3D1-48EA-8DA0-29AC7C449528}" name="Column7935" dataDxfId="8450"/>
    <tableColumn id="7960" xr3:uid="{602F8042-0CE8-4D30-BC02-665CA67F3681}" name="Column7936" dataDxfId="8449"/>
    <tableColumn id="7961" xr3:uid="{CC043C20-53A4-4DE9-9A6C-A04946DAFBCD}" name="Column7937" dataDxfId="8448"/>
    <tableColumn id="7962" xr3:uid="{B2461025-259A-46D7-8686-D4ECF8D8FEA8}" name="Column7938" dataDxfId="8447"/>
    <tableColumn id="7963" xr3:uid="{631F2859-92EF-4B25-95EE-5F30BF95DAB5}" name="Column7939" dataDxfId="8446"/>
    <tableColumn id="7964" xr3:uid="{C62F900E-C592-4A89-82A8-403CB459144C}" name="Column7940" dataDxfId="8445"/>
    <tableColumn id="7965" xr3:uid="{DCA54AF6-CB74-4170-8E23-E96D9BBE03DB}" name="Column7941" dataDxfId="8444"/>
    <tableColumn id="7966" xr3:uid="{FB9A4F56-EDFC-4D7A-93BA-877072BA6461}" name="Column7942" dataDxfId="8443"/>
    <tableColumn id="7967" xr3:uid="{177CFA04-F678-4AFC-80B0-2941601EC853}" name="Column7943" dataDxfId="8442"/>
    <tableColumn id="7968" xr3:uid="{F5105D8F-E7A7-44D0-B941-FF5FA4C849C5}" name="Column7944" dataDxfId="8441"/>
    <tableColumn id="7969" xr3:uid="{A8A69255-D0D1-415B-9005-9FFB534189BF}" name="Column7945" dataDxfId="8440"/>
    <tableColumn id="7970" xr3:uid="{A7455CEA-23F5-4957-B9FB-AA5CD93C2175}" name="Column7946" dataDxfId="8439"/>
    <tableColumn id="7971" xr3:uid="{24350D9C-726F-4677-9464-91073E9FD119}" name="Column7947" dataDxfId="8438"/>
    <tableColumn id="7972" xr3:uid="{1C6118AC-6D97-42FC-8A64-FA6F171C3FEB}" name="Column7948" dataDxfId="8437"/>
    <tableColumn id="7973" xr3:uid="{E48B9DA6-8398-45EF-8DB4-CDE27B69F458}" name="Column7949" dataDxfId="8436"/>
    <tableColumn id="7974" xr3:uid="{E7446E87-8F1E-4136-8371-34C5B98C277F}" name="Column7950" dataDxfId="8435"/>
    <tableColumn id="7975" xr3:uid="{4D359D3C-D7F6-483F-B2E9-35F67DA952E3}" name="Column7951" dataDxfId="8434"/>
    <tableColumn id="7976" xr3:uid="{AD2D9FA1-0E1B-43BD-A772-94F0E6A4DD37}" name="Column7952" dataDxfId="8433"/>
    <tableColumn id="7977" xr3:uid="{08DFBF02-CB4C-4D23-B332-EB71525B927D}" name="Column7953" dataDxfId="8432"/>
    <tableColumn id="7978" xr3:uid="{83625009-53BD-4948-8E74-0EE0A369ED1F}" name="Column7954" dataDxfId="8431"/>
    <tableColumn id="7979" xr3:uid="{7D3D6F9F-94B4-4D9E-AB46-44EA498F8555}" name="Column7955" dataDxfId="8430"/>
    <tableColumn id="7980" xr3:uid="{86711F35-7B92-416D-BBFD-156C82046C2C}" name="Column7956" dataDxfId="8429"/>
    <tableColumn id="7981" xr3:uid="{62B113CD-C682-4762-B418-8A185FF6AF7E}" name="Column7957" dataDxfId="8428"/>
    <tableColumn id="7982" xr3:uid="{DAEBF8F2-6756-4F39-8756-DDB46210950F}" name="Column7958" dataDxfId="8427"/>
    <tableColumn id="7983" xr3:uid="{72EEB921-07A9-4CC1-8004-BFDC35E090EA}" name="Column7959" dataDxfId="8426"/>
    <tableColumn id="7984" xr3:uid="{D6168833-DD90-4204-986C-89D11F15E5A0}" name="Column7960" dataDxfId="8425"/>
    <tableColumn id="7985" xr3:uid="{2CF66D5D-7BA5-4D74-B0AA-1699A5F23345}" name="Column7961" dataDxfId="8424"/>
    <tableColumn id="7986" xr3:uid="{274842E1-E9A7-4DD3-8B1E-13F966C9CE00}" name="Column7962" dataDxfId="8423"/>
    <tableColumn id="7987" xr3:uid="{28D6470F-D640-49FB-A103-EDCFA20194A5}" name="Column7963" dataDxfId="8422"/>
    <tableColumn id="7988" xr3:uid="{353B399A-F401-4833-B552-EEC53875C223}" name="Column7964" dataDxfId="8421"/>
    <tableColumn id="7989" xr3:uid="{84762D87-55D1-4D6D-B430-B3649CDC41F6}" name="Column7965" dataDxfId="8420"/>
    <tableColumn id="7990" xr3:uid="{8BFC0690-1497-4E8E-B0D6-7A852DD2C37A}" name="Column7966" dataDxfId="8419"/>
    <tableColumn id="7991" xr3:uid="{C1018FAF-DF38-4A20-92FB-CB428802C4DB}" name="Column7967" dataDxfId="8418"/>
    <tableColumn id="7992" xr3:uid="{906B8CFC-ABDA-47D0-AA5D-9AFA9CCCC35B}" name="Column7968" dataDxfId="8417"/>
    <tableColumn id="7993" xr3:uid="{CA91DB28-9FCF-4ACB-8DEC-60D0901E35C4}" name="Column7969" dataDxfId="8416"/>
    <tableColumn id="7994" xr3:uid="{FAD6DCC6-DC70-4D4A-A7FE-403E6F829747}" name="Column7970" dataDxfId="8415"/>
    <tableColumn id="7995" xr3:uid="{0E7AE20C-A092-4C38-9237-DCDE5E3F0CED}" name="Column7971" dataDxfId="8414"/>
    <tableColumn id="7996" xr3:uid="{BE0E19DA-7B4A-4BDB-9293-DF10D6930C93}" name="Column7972" dataDxfId="8413"/>
    <tableColumn id="7997" xr3:uid="{68729B66-9385-45FF-B2EE-6B1A8FDAE8E4}" name="Column7973" dataDxfId="8412"/>
    <tableColumn id="7998" xr3:uid="{7BBFE4B9-EC99-4452-9D7B-BB2CD8235F09}" name="Column7974" dataDxfId="8411"/>
    <tableColumn id="7999" xr3:uid="{6B8683E4-97E2-4259-9428-B1312A8DA0F6}" name="Column7975" dataDxfId="8410"/>
    <tableColumn id="8000" xr3:uid="{BD5BA662-6713-41AE-A0C1-8911DAB20B5C}" name="Column7976" dataDxfId="8409"/>
    <tableColumn id="8001" xr3:uid="{9C957AEF-9962-41ED-AE14-4326E6A6452B}" name="Column7977" dataDxfId="8408"/>
    <tableColumn id="8002" xr3:uid="{67CCC62C-CBE3-4813-AE16-B72812DC8568}" name="Column7978" dataDxfId="8407"/>
    <tableColumn id="8003" xr3:uid="{E8AD1B18-E439-410E-9967-E23610BE690D}" name="Column7979" dataDxfId="8406"/>
    <tableColumn id="8004" xr3:uid="{D0366F6F-3F14-467C-B277-9CC0B6789E82}" name="Column7980" dataDxfId="8405"/>
    <tableColumn id="8005" xr3:uid="{D5C96CC0-AB9D-4F7B-AD5B-2D58545BDE0E}" name="Column7981" dataDxfId="8404"/>
    <tableColumn id="8006" xr3:uid="{DB180D54-671D-4E14-9CD2-8208A229D055}" name="Column7982" dataDxfId="8403"/>
    <tableColumn id="8007" xr3:uid="{4F92CD88-CDA4-4276-9669-FA8478C38028}" name="Column7983" dataDxfId="8402"/>
    <tableColumn id="8008" xr3:uid="{D422D3A0-39B2-4463-B98D-E6AEB8AEEEB6}" name="Column7984" dataDxfId="8401"/>
    <tableColumn id="8009" xr3:uid="{398C6E70-E01A-4F3E-9F6E-308601F451FA}" name="Column7985" dataDxfId="8400"/>
    <tableColumn id="8010" xr3:uid="{2955CBBE-F25A-4C76-9A00-A821B944D99E}" name="Column7986" dataDxfId="8399"/>
    <tableColumn id="8011" xr3:uid="{BCE4B6B1-209F-44D7-976A-59FD1C1F8238}" name="Column7987" dataDxfId="8398"/>
    <tableColumn id="8012" xr3:uid="{5C7DBA29-F703-4F2A-A50A-715508A721FA}" name="Column7988" dataDxfId="8397"/>
    <tableColumn id="8013" xr3:uid="{BF3B99AF-1A3D-47F2-84E9-71D1F3109BCD}" name="Column7989" dataDxfId="8396"/>
    <tableColumn id="8014" xr3:uid="{31BC1EA3-66F5-4ACC-9C9F-656EB6C5F772}" name="Column7990" dataDxfId="8395"/>
    <tableColumn id="8015" xr3:uid="{159BFB92-20DC-4AF9-B9E7-DBC42B6E61F0}" name="Column7991" dataDxfId="8394"/>
    <tableColumn id="8016" xr3:uid="{A59EE1F0-B0A4-4D58-90D4-2446C62E0777}" name="Column7992" dataDxfId="8393"/>
    <tableColumn id="8017" xr3:uid="{ED67C3F9-F21C-431E-8730-D80C01EFF8A4}" name="Column7993" dataDxfId="8392"/>
    <tableColumn id="8018" xr3:uid="{2C9072D7-B6B3-4476-9B02-5ECC5DAABFE7}" name="Column7994" dataDxfId="8391"/>
    <tableColumn id="8019" xr3:uid="{42ABBAB4-79B1-4BA7-8C4D-AB78A0C4FED6}" name="Column7995" dataDxfId="8390"/>
    <tableColumn id="8020" xr3:uid="{04DB271A-360E-4C34-B858-308B63FD1595}" name="Column7996" dataDxfId="8389"/>
    <tableColumn id="8021" xr3:uid="{1E314BB4-2C9A-4BBC-B2FF-582CD41D7052}" name="Column7997" dataDxfId="8388"/>
    <tableColumn id="8022" xr3:uid="{2603BC1B-57D5-4ED5-A66A-98096C523BB3}" name="Column7998" dataDxfId="8387"/>
    <tableColumn id="8023" xr3:uid="{4FCF398E-00D7-471F-9CF8-B16E0F82C6DD}" name="Column7999" dataDxfId="8386"/>
    <tableColumn id="8024" xr3:uid="{D037310D-99AD-4A83-9CBF-02F209FC6DE8}" name="Column8000" dataDxfId="8385"/>
    <tableColumn id="8025" xr3:uid="{11CE5DF6-7677-43D4-8B98-B487508B9B25}" name="Column8001" dataDxfId="8384"/>
    <tableColumn id="8026" xr3:uid="{B124695F-F7A5-4D6E-8E16-8D7B980702FB}" name="Column8002" dataDxfId="8383"/>
    <tableColumn id="8027" xr3:uid="{9E522700-C92F-4F7E-9DD7-F64F1EC18223}" name="Column8003" dataDxfId="8382"/>
    <tableColumn id="8028" xr3:uid="{0F9CCC71-9487-49D2-AEDF-1919C1CF6AA3}" name="Column8004" dataDxfId="8381"/>
    <tableColumn id="8029" xr3:uid="{2512B8DA-834B-4753-B053-057DA2EDF4C6}" name="Column8005" dataDxfId="8380"/>
    <tableColumn id="8030" xr3:uid="{F99DBD20-99E8-4BF5-81C6-4A44E4182AAC}" name="Column8006" dataDxfId="8379"/>
    <tableColumn id="8031" xr3:uid="{92EB5E77-20C1-443E-B9D3-BCF3DB57E981}" name="Column8007" dataDxfId="8378"/>
    <tableColumn id="8032" xr3:uid="{A6274DBC-99E4-4643-A139-64B4BF84E393}" name="Column8008" dataDxfId="8377"/>
    <tableColumn id="8033" xr3:uid="{9D506005-7621-4F24-8BDB-C57A053D99D6}" name="Column8009" dataDxfId="8376"/>
    <tableColumn id="8034" xr3:uid="{E1C1F1D5-AEB7-448F-BED5-ADE15B819E5E}" name="Column8010" dataDxfId="8375"/>
    <tableColumn id="8035" xr3:uid="{A14F20F8-C463-4641-B50A-CDB55B6F317D}" name="Column8011" dataDxfId="8374"/>
    <tableColumn id="8036" xr3:uid="{340C8AE4-2708-42DA-8769-484F79A02813}" name="Column8012" dataDxfId="8373"/>
    <tableColumn id="8037" xr3:uid="{E0E3BAC3-FAC6-4948-82E1-D888ACDE27B3}" name="Column8013" dataDxfId="8372"/>
    <tableColumn id="8038" xr3:uid="{92614BAB-F9B0-4ECF-9427-97585C033D88}" name="Column8014" dataDxfId="8371"/>
    <tableColumn id="8039" xr3:uid="{8F4EBB6B-87F0-4CB0-8488-821EE49D4A6E}" name="Column8015" dataDxfId="8370"/>
    <tableColumn id="8040" xr3:uid="{893105D0-B8A7-4F9B-9B57-AD907DD146A2}" name="Column8016" dataDxfId="8369"/>
    <tableColumn id="8041" xr3:uid="{56E8680F-AAF4-4925-810E-6C76DE9F8BC0}" name="Column8017" dataDxfId="8368"/>
    <tableColumn id="8042" xr3:uid="{51E443D6-BE1F-4FBB-AE24-05AC289D1511}" name="Column8018" dataDxfId="8367"/>
    <tableColumn id="8043" xr3:uid="{1B295380-2F48-407D-A16F-B220704E8101}" name="Column8019" dataDxfId="8366"/>
    <tableColumn id="8044" xr3:uid="{D8567FFD-6810-462E-8FB7-71F744CB8DC1}" name="Column8020" dataDxfId="8365"/>
    <tableColumn id="8045" xr3:uid="{276A9BFD-8DBB-40BC-A104-ACE72B39737A}" name="Column8021" dataDxfId="8364"/>
    <tableColumn id="8046" xr3:uid="{EAC8FCFF-D593-4D93-A2CD-757A5505671F}" name="Column8022" dataDxfId="8363"/>
    <tableColumn id="8047" xr3:uid="{C19DD5A9-1663-4D16-A2E5-1F5A3943A77C}" name="Column8023" dataDxfId="8362"/>
    <tableColumn id="8048" xr3:uid="{2A65E3A2-81CC-47DD-A89A-B2FE01DD1B9F}" name="Column8024" dataDxfId="8361"/>
    <tableColumn id="8049" xr3:uid="{93386421-2CAA-4FC6-A1DD-309AD2837FC6}" name="Column8025" dataDxfId="8360"/>
    <tableColumn id="8050" xr3:uid="{323E3B82-90A8-4026-B859-090595CB53B1}" name="Column8026" dataDxfId="8359"/>
    <tableColumn id="8051" xr3:uid="{36BC24A3-535C-46F5-8163-FD4A7BD29AC8}" name="Column8027" dataDxfId="8358"/>
    <tableColumn id="8052" xr3:uid="{E7D7DC14-6511-4785-A550-167C111D4D2C}" name="Column8028" dataDxfId="8357"/>
    <tableColumn id="8053" xr3:uid="{D97C8438-23EA-48E4-B612-4E7735605127}" name="Column8029" dataDxfId="8356"/>
    <tableColumn id="8054" xr3:uid="{F6A43E88-3497-4654-B2EF-4ABDB3CFFC80}" name="Column8030" dataDxfId="8355"/>
    <tableColumn id="8055" xr3:uid="{544A3F8D-C8E3-4AAD-9B1B-7E1763E05DE5}" name="Column8031" dataDxfId="8354"/>
    <tableColumn id="8056" xr3:uid="{CD521451-33BA-4AF8-960B-1B4B68300190}" name="Column8032" dataDxfId="8353"/>
    <tableColumn id="8057" xr3:uid="{DC3A9E1A-3E7A-4195-AA06-2AE0846D9620}" name="Column8033" dataDxfId="8352"/>
    <tableColumn id="8058" xr3:uid="{E91FAD16-EF67-45F8-8D3D-971242C400A0}" name="Column8034" dataDxfId="8351"/>
    <tableColumn id="8059" xr3:uid="{0D3279D7-87E3-4C67-9D65-A052EEF7BCDA}" name="Column8035" dataDxfId="8350"/>
    <tableColumn id="8060" xr3:uid="{864C6D18-0598-40D0-81E7-69AE4E76869A}" name="Column8036" dataDxfId="8349"/>
    <tableColumn id="8061" xr3:uid="{62DCB157-CCF6-4D15-8900-DED7070ED773}" name="Column8037" dataDxfId="8348"/>
    <tableColumn id="8062" xr3:uid="{E4FCE707-0E06-4CDB-875D-490F760AA768}" name="Column8038" dataDxfId="8347"/>
    <tableColumn id="8063" xr3:uid="{81E2D55A-E17D-4BEE-B986-2CBA73235E5A}" name="Column8039" dataDxfId="8346"/>
    <tableColumn id="8064" xr3:uid="{445C5E65-F8A0-4FE7-BB6C-63D86006670F}" name="Column8040" dataDxfId="8345"/>
    <tableColumn id="8065" xr3:uid="{E9CBB2B9-A66F-467D-9127-EEFF6A480CCF}" name="Column8041" dataDxfId="8344"/>
    <tableColumn id="8066" xr3:uid="{43587136-8FD1-4665-AF84-42477DC681B5}" name="Column8042" dataDxfId="8343"/>
    <tableColumn id="8067" xr3:uid="{B9AB65A8-8649-46D8-B98C-E49BF5974CC0}" name="Column8043" dataDxfId="8342"/>
    <tableColumn id="8068" xr3:uid="{22D3688F-0B63-4C00-885C-A7ED17AF62BC}" name="Column8044" dataDxfId="8341"/>
    <tableColumn id="8069" xr3:uid="{12CBDBDE-3464-4E10-86C8-CAD546519410}" name="Column8045" dataDxfId="8340"/>
    <tableColumn id="8070" xr3:uid="{88BA1796-2BFE-42DD-8F8F-C0391C458744}" name="Column8046" dataDxfId="8339"/>
    <tableColumn id="8071" xr3:uid="{E476CAC4-BABE-4392-AACE-303EEA040B8C}" name="Column8047" dataDxfId="8338"/>
    <tableColumn id="8072" xr3:uid="{E6683781-E1E6-4AE7-8653-5D57F252AEBC}" name="Column8048" dataDxfId="8337"/>
    <tableColumn id="8073" xr3:uid="{5898106C-FFBF-4E6E-8372-1CF47FDC0565}" name="Column8049" dataDxfId="8336"/>
    <tableColumn id="8074" xr3:uid="{5CD059CE-3693-4E9D-BB7B-E8C148603463}" name="Column8050" dataDxfId="8335"/>
    <tableColumn id="8075" xr3:uid="{5A954178-F595-4DA7-97B7-0B835EC5A4A0}" name="Column8051" dataDxfId="8334"/>
    <tableColumn id="8076" xr3:uid="{1DCC3EF7-0975-4C88-8C2B-F9047ED52F99}" name="Column8052" dataDxfId="8333"/>
    <tableColumn id="8077" xr3:uid="{85BFE24D-9B84-4095-A916-01A36F23773E}" name="Column8053" dataDxfId="8332"/>
    <tableColumn id="8078" xr3:uid="{09037648-1238-4814-A2E2-EFBB46B7ACD2}" name="Column8054" dataDxfId="8331"/>
    <tableColumn id="8079" xr3:uid="{2C7CA979-4FEC-4092-9223-061A3BAC3EB3}" name="Column8055" dataDxfId="8330"/>
    <tableColumn id="8080" xr3:uid="{ED540D1B-1706-431C-8594-FA56BAE3D463}" name="Column8056" dataDxfId="8329"/>
    <tableColumn id="8081" xr3:uid="{D2AD2CE3-2AE1-4764-8972-3EA02DE39254}" name="Column8057" dataDxfId="8328"/>
    <tableColumn id="8082" xr3:uid="{B88F3C61-EC66-45C0-A9EE-0C7C9D927082}" name="Column8058" dataDxfId="8327"/>
    <tableColumn id="8083" xr3:uid="{E1244568-CA63-4955-B9D7-035DD7B8B2CA}" name="Column8059" dataDxfId="8326"/>
    <tableColumn id="8084" xr3:uid="{FD91B4CB-93EC-4568-9F5F-C6492181C49C}" name="Column8060" dataDxfId="8325"/>
    <tableColumn id="8085" xr3:uid="{ACA1BA50-9BA1-4CFD-AFF5-400D671C7E55}" name="Column8061" dataDxfId="8324"/>
    <tableColumn id="8086" xr3:uid="{49E90379-68DF-414E-984E-CED5E3A37FD3}" name="Column8062" dataDxfId="8323"/>
    <tableColumn id="8087" xr3:uid="{1C70943E-DE3C-45C4-B624-540DFF32006D}" name="Column8063" dataDxfId="8322"/>
    <tableColumn id="8088" xr3:uid="{6D03E6B8-38DC-4A3A-9E76-A5D4F984FC58}" name="Column8064" dataDxfId="8321"/>
    <tableColumn id="8089" xr3:uid="{06850B5E-9348-414B-9548-0EDDD053966B}" name="Column8065" dataDxfId="8320"/>
    <tableColumn id="8090" xr3:uid="{4C76EDC2-051C-42C9-81E5-4B13A8079F30}" name="Column8066" dataDxfId="8319"/>
    <tableColumn id="8091" xr3:uid="{5FF343B2-A2D5-4D01-B978-7179AE7A7AA0}" name="Column8067" dataDxfId="8318"/>
    <tableColumn id="8092" xr3:uid="{427CA97F-04A3-44CC-951B-1587A979B16D}" name="Column8068" dataDxfId="8317"/>
    <tableColumn id="8093" xr3:uid="{5FB0CC24-DAC0-4625-A7AB-95875671EDFE}" name="Column8069" dataDxfId="8316"/>
    <tableColumn id="8094" xr3:uid="{E3808F37-D251-4B81-BE0D-091A2EB23775}" name="Column8070" dataDxfId="8315"/>
    <tableColumn id="8095" xr3:uid="{1E6E9133-F1BF-494A-87BB-CFFC84F669A6}" name="Column8071" dataDxfId="8314"/>
    <tableColumn id="8096" xr3:uid="{2471947C-9504-45B8-B7C0-C783F4BBCF8B}" name="Column8072" dataDxfId="8313"/>
    <tableColumn id="8097" xr3:uid="{D7384B3F-3656-4CFF-B42D-F3A24A332030}" name="Column8073" dataDxfId="8312"/>
    <tableColumn id="8098" xr3:uid="{EB0CA3DD-BC6A-4755-AAD8-F07945D30493}" name="Column8074" dataDxfId="8311"/>
    <tableColumn id="8099" xr3:uid="{6A6B97FC-1878-445E-91EA-5F0E71C6FAAB}" name="Column8075" dataDxfId="8310"/>
    <tableColumn id="8100" xr3:uid="{9799B85D-4550-41D3-AD15-E17422AB5521}" name="Column8076" dataDxfId="8309"/>
    <tableColumn id="8101" xr3:uid="{A6C39149-A88F-4987-84E0-150B5268D9E4}" name="Column8077" dataDxfId="8308"/>
    <tableColumn id="8102" xr3:uid="{0581CE5A-9ED6-4BBD-B650-3215597F5124}" name="Column8078" dataDxfId="8307"/>
    <tableColumn id="8103" xr3:uid="{63487783-E170-4629-8BB3-B7762CFC8D93}" name="Column8079" dataDxfId="8306"/>
    <tableColumn id="8104" xr3:uid="{04F7DBFA-4BAC-40DC-9D1A-960ACA47B339}" name="Column8080" dataDxfId="8305"/>
    <tableColumn id="8105" xr3:uid="{067DBB31-A86A-46FE-8FE8-4A5612F27774}" name="Column8081" dataDxfId="8304"/>
    <tableColumn id="8106" xr3:uid="{B777BF9D-7A80-4B74-A140-8C5F3E23E776}" name="Column8082" dataDxfId="8303"/>
    <tableColumn id="8107" xr3:uid="{55F255C9-79CB-481C-9C69-EE411863D604}" name="Column8083" dataDxfId="8302"/>
    <tableColumn id="8108" xr3:uid="{F60F6610-6FA9-4B6A-961D-0EAD99956D61}" name="Column8084" dataDxfId="8301"/>
    <tableColumn id="8109" xr3:uid="{1960C0B1-6E38-48A6-8A9C-0EA756897A56}" name="Column8085" dataDxfId="8300"/>
    <tableColumn id="8110" xr3:uid="{92DB4F33-4F4C-417C-9CF8-33C243081E8F}" name="Column8086" dataDxfId="8299"/>
    <tableColumn id="8111" xr3:uid="{BA5249C4-9BC6-4EE7-B6E5-33CF6A824881}" name="Column8087" dataDxfId="8298"/>
    <tableColumn id="8112" xr3:uid="{EE5C7EC7-EC44-4C67-9432-2FC0A34A5BA7}" name="Column8088" dataDxfId="8297"/>
    <tableColumn id="8113" xr3:uid="{E0BF52DD-D1C4-4D4A-A92D-D8604C2C75C6}" name="Column8089" dataDxfId="8296"/>
    <tableColumn id="8114" xr3:uid="{411A73C7-C668-4533-B594-FD3447587C29}" name="Column8090" dataDxfId="8295"/>
    <tableColumn id="8115" xr3:uid="{AF345079-40E9-4DF6-8A8E-EB5644F127D4}" name="Column8091" dataDxfId="8294"/>
    <tableColumn id="8116" xr3:uid="{1F972668-ECDA-4D02-AB23-F3E934E65716}" name="Column8092" dataDxfId="8293"/>
    <tableColumn id="8117" xr3:uid="{C09FBA3D-072D-48B2-938C-FED01A01CB9A}" name="Column8093" dataDxfId="8292"/>
    <tableColumn id="8118" xr3:uid="{EFADC89B-8631-4FE0-95C4-1699419253D0}" name="Column8094" dataDxfId="8291"/>
    <tableColumn id="8119" xr3:uid="{4A4E8246-F5EF-414F-858C-67060AF9E232}" name="Column8095" dataDxfId="8290"/>
    <tableColumn id="8120" xr3:uid="{3F07A958-03A2-435F-98A9-095C6C98D1A6}" name="Column8096" dataDxfId="8289"/>
    <tableColumn id="8121" xr3:uid="{8C8D214D-B0D8-4EF3-9D85-466C01A17148}" name="Column8097" dataDxfId="8288"/>
    <tableColumn id="8122" xr3:uid="{7BA9F1D8-6DF1-441A-93CB-16BEF6028271}" name="Column8098" dataDxfId="8287"/>
    <tableColumn id="8123" xr3:uid="{03A84537-635F-4507-866C-905FDA497F03}" name="Column8099" dataDxfId="8286"/>
    <tableColumn id="8124" xr3:uid="{E6E232BE-9BA4-483D-8FEA-11426C2D6E83}" name="Column8100" dataDxfId="8285"/>
    <tableColumn id="8125" xr3:uid="{CB69EB03-5B0A-4A92-8ADB-27CD0F9F3F34}" name="Column8101" dataDxfId="8284"/>
    <tableColumn id="8126" xr3:uid="{5899114D-CE97-49F0-9F04-7482321761FC}" name="Column8102" dataDxfId="8283"/>
    <tableColumn id="8127" xr3:uid="{99C910C0-9321-4F94-892C-4DA64FBA246E}" name="Column8103" dataDxfId="8282"/>
    <tableColumn id="8128" xr3:uid="{837B6FF8-F830-48EE-B990-158E9E8E34A8}" name="Column8104" dataDxfId="8281"/>
    <tableColumn id="8129" xr3:uid="{D19403C9-D918-46C9-A5C8-4F5BF8EAF63A}" name="Column8105" dataDxfId="8280"/>
    <tableColumn id="8130" xr3:uid="{26EC9072-7A82-4127-A2B8-64516232BB09}" name="Column8106" dataDxfId="8279"/>
    <tableColumn id="8131" xr3:uid="{19DB8B60-4273-4922-AF22-679D5931E558}" name="Column8107" dataDxfId="8278"/>
    <tableColumn id="8132" xr3:uid="{23CB9A8A-36BB-4EF2-9EB2-FCEA7055AE30}" name="Column8108" dataDxfId="8277"/>
    <tableColumn id="8133" xr3:uid="{F55B5151-2AE1-4EC7-A227-22E008B9B13F}" name="Column8109" dataDxfId="8276"/>
    <tableColumn id="8134" xr3:uid="{39ADE8D8-B784-4947-96E6-9C9908211745}" name="Column8110" dataDxfId="8275"/>
    <tableColumn id="8135" xr3:uid="{CE9505B0-99BA-4584-A491-BAA9B3D811FC}" name="Column8111" dataDxfId="8274"/>
    <tableColumn id="8136" xr3:uid="{873FCD65-5CE9-495C-A155-A91DF7ED21FA}" name="Column8112" dataDxfId="8273"/>
    <tableColumn id="8137" xr3:uid="{851C092E-EAB9-46BD-866C-D6BD4505C848}" name="Column8113" dataDxfId="8272"/>
    <tableColumn id="8138" xr3:uid="{864D8A30-2782-48CD-A4FE-31FDE7F73477}" name="Column8114" dataDxfId="8271"/>
    <tableColumn id="8139" xr3:uid="{6EF75CD1-C741-474E-BDAF-6934811666E6}" name="Column8115" dataDxfId="8270"/>
    <tableColumn id="8140" xr3:uid="{12319260-46AD-4E9C-9498-F9DFE9410EE1}" name="Column8116" dataDxfId="8269"/>
    <tableColumn id="8141" xr3:uid="{1339F9B3-284E-4870-941E-6B0B4A4A921A}" name="Column8117" dataDxfId="8268"/>
    <tableColumn id="8142" xr3:uid="{CDA25D3C-6E9E-46AC-A591-250C2A2CFC24}" name="Column8118" dataDxfId="8267"/>
    <tableColumn id="8143" xr3:uid="{A5450F02-19E9-48A4-B3B6-F9FD3142EFE3}" name="Column8119" dataDxfId="8266"/>
    <tableColumn id="8144" xr3:uid="{E9682150-6B44-498E-ACFF-A24D7E3E8945}" name="Column8120" dataDxfId="8265"/>
    <tableColumn id="8145" xr3:uid="{C4C95C6F-2B4C-4AE2-A33F-FE8E5E2D93B5}" name="Column8121" dataDxfId="8264"/>
    <tableColumn id="8146" xr3:uid="{EE29C3BA-79A9-4EB9-8C45-B17685694111}" name="Column8122" dataDxfId="8263"/>
    <tableColumn id="8147" xr3:uid="{71AFFB19-9041-4B01-9390-F2F7338547C6}" name="Column8123" dataDxfId="8262"/>
    <tableColumn id="8148" xr3:uid="{0AC56928-EC63-4FC2-953E-C8CDEB1E7332}" name="Column8124" dataDxfId="8261"/>
    <tableColumn id="8149" xr3:uid="{A10905F6-9D58-4D9B-9234-5DBA3A804536}" name="Column8125" dataDxfId="8260"/>
    <tableColumn id="8150" xr3:uid="{7E17D686-2B33-4563-A1F3-FE367C2DDFBC}" name="Column8126" dataDxfId="8259"/>
    <tableColumn id="8151" xr3:uid="{1EC9C81C-6446-49B8-A52B-3BFBEC8A190D}" name="Column8127" dataDxfId="8258"/>
    <tableColumn id="8152" xr3:uid="{544025EE-BDEB-480B-81E3-ED827094F9B6}" name="Column8128" dataDxfId="8257"/>
    <tableColumn id="8153" xr3:uid="{95790A41-9DB0-4C75-940B-96DF833DFA9C}" name="Column8129" dataDxfId="8256"/>
    <tableColumn id="8154" xr3:uid="{13626933-B259-416D-AE50-58729AF45D04}" name="Column8130" dataDxfId="8255"/>
    <tableColumn id="8155" xr3:uid="{9836E609-8799-4195-81A1-36540E436527}" name="Column8131" dataDxfId="8254"/>
    <tableColumn id="8156" xr3:uid="{F140C1EB-67D5-490A-9271-DE48CD0575E9}" name="Column8132" dataDxfId="8253"/>
    <tableColumn id="8157" xr3:uid="{AFFF1D5F-FFA2-44B5-8776-ED3DCECB0502}" name="Column8133" dataDxfId="8252"/>
    <tableColumn id="8158" xr3:uid="{7B051685-0A0E-4A23-8F21-B35FE8A774DF}" name="Column8134" dataDxfId="8251"/>
    <tableColumn id="8159" xr3:uid="{29FBE090-CEFA-4B33-BB47-C9B4C7762433}" name="Column8135" dataDxfId="8250"/>
    <tableColumn id="8160" xr3:uid="{B92B7180-754E-4422-B041-4A336329A02E}" name="Column8136" dataDxfId="8249"/>
    <tableColumn id="8161" xr3:uid="{EA0F349C-6088-425F-A246-895F1E0D01A3}" name="Column8137" dataDxfId="8248"/>
    <tableColumn id="8162" xr3:uid="{6274CCBE-72DA-476F-AA56-DE253D2A2A75}" name="Column8138" dataDxfId="8247"/>
    <tableColumn id="8163" xr3:uid="{8B09B648-FA9F-42B4-9EB8-F5A88F033557}" name="Column8139" dataDxfId="8246"/>
    <tableColumn id="8164" xr3:uid="{E047ACDE-B9C1-43DD-A6D9-5560A21370EF}" name="Column8140" dataDxfId="8245"/>
    <tableColumn id="8165" xr3:uid="{FB2B51DE-C8ED-40C3-A0A5-B8C9E2FC66A2}" name="Column8141" dataDxfId="8244"/>
    <tableColumn id="8166" xr3:uid="{3825828C-F6B9-486D-A224-56FEC9C9073D}" name="Column8142" dataDxfId="8243"/>
    <tableColumn id="8167" xr3:uid="{F837C295-41CC-4C20-8A16-A2D311B7294B}" name="Column8143" dataDxfId="8242"/>
    <tableColumn id="8168" xr3:uid="{303554BA-83C9-4611-901F-FED8821F7BCA}" name="Column8144" dataDxfId="8241"/>
    <tableColumn id="8169" xr3:uid="{FEC84995-F0B8-4AB4-B77E-A36C4F9F2339}" name="Column8145" dataDxfId="8240"/>
    <tableColumn id="8170" xr3:uid="{1BDE8B77-345A-4162-BA00-67945DF776AD}" name="Column8146" dataDxfId="8239"/>
    <tableColumn id="8171" xr3:uid="{EC642FD8-8484-45DB-B0CD-3A652FCCEC84}" name="Column8147" dataDxfId="8238"/>
    <tableColumn id="8172" xr3:uid="{4018C1B9-242B-4389-ADE4-6BA0182E8D56}" name="Column8148" dataDxfId="8237"/>
    <tableColumn id="8173" xr3:uid="{8DF6B75B-89C6-4B01-A5CE-B45422F75DCD}" name="Column8149" dataDxfId="8236"/>
    <tableColumn id="8174" xr3:uid="{7630E87C-B350-4C94-8974-D22985C65374}" name="Column8150" dataDxfId="8235"/>
    <tableColumn id="8175" xr3:uid="{944D3944-C94F-43AD-ACD7-ED206E0CEDDF}" name="Column8151" dataDxfId="8234"/>
    <tableColumn id="8176" xr3:uid="{603821C7-BD1A-49B9-81D3-B52982673246}" name="Column8152" dataDxfId="8233"/>
    <tableColumn id="8177" xr3:uid="{4F9D3F75-F8E4-4E6E-825E-577CF99309E5}" name="Column8153" dataDxfId="8232"/>
    <tableColumn id="8178" xr3:uid="{BE82B081-2D06-4BF3-A681-07CF0D84EFAF}" name="Column8154" dataDxfId="8231"/>
    <tableColumn id="8179" xr3:uid="{D130F6A2-E598-47CD-A2F7-9ECC229FBAFD}" name="Column8155" dataDxfId="8230"/>
    <tableColumn id="8180" xr3:uid="{F38E0D6B-FBCD-4606-8992-05B10D75B3F7}" name="Column8156" dataDxfId="8229"/>
    <tableColumn id="8181" xr3:uid="{5E47FD2F-47CB-40FA-86C9-A2F0C811296B}" name="Column8157" dataDxfId="8228"/>
    <tableColumn id="8182" xr3:uid="{D4CD8614-0241-44EF-9A11-28D401EA6C8C}" name="Column8158" dataDxfId="8227"/>
    <tableColumn id="8183" xr3:uid="{0E1BF1AA-7E51-4BC6-ACBE-DB81C919F52D}" name="Column8159" dataDxfId="8226"/>
    <tableColumn id="8184" xr3:uid="{84EA75AA-C20E-4D48-BFDF-32E01057223F}" name="Column8160" dataDxfId="8225"/>
    <tableColumn id="8185" xr3:uid="{AFE37EE7-2E79-4A8D-A5A7-D69DE26A4615}" name="Column8161" dataDxfId="8224"/>
    <tableColumn id="8186" xr3:uid="{E5A73448-ED41-480A-840A-493C07B3FDBB}" name="Column8162" dataDxfId="8223"/>
    <tableColumn id="8187" xr3:uid="{30F9DAEF-D64C-4FC5-ACA8-89FFD2584531}" name="Column8163" dataDxfId="8222"/>
    <tableColumn id="8188" xr3:uid="{C4658D56-0718-4678-AC5B-F9160605E2FE}" name="Column8164" dataDxfId="8221"/>
    <tableColumn id="8189" xr3:uid="{9C340657-A351-4CF7-B621-BCCAFC72D052}" name="Column8165" dataDxfId="8220"/>
    <tableColumn id="8190" xr3:uid="{5A8E0672-F216-4848-9B63-EF5E8543FEC3}" name="Column8166" dataDxfId="8219"/>
    <tableColumn id="8191" xr3:uid="{10524776-B2B4-4391-853D-2D0A9DD13DE4}" name="Column8167" dataDxfId="8218"/>
    <tableColumn id="8192" xr3:uid="{D53E52D9-F21F-4F8F-A246-B5F7F5AAEC51}" name="Column8168" dataDxfId="8217"/>
    <tableColumn id="8193" xr3:uid="{AE7E4B2E-A730-44DC-92D2-98ED06C1F291}" name="Column8169" dataDxfId="8216"/>
    <tableColumn id="8194" xr3:uid="{C8402CC3-B1EA-4153-83DC-92CA41A3FA33}" name="Column8170" dataDxfId="8215"/>
    <tableColumn id="8195" xr3:uid="{36A0F37F-D070-43B2-A572-0CCD89FDE5E4}" name="Column8171" dataDxfId="8214"/>
    <tableColumn id="8196" xr3:uid="{DA847C16-33BA-488E-9B1D-6903587F868B}" name="Column8172" dataDxfId="8213"/>
    <tableColumn id="8197" xr3:uid="{FF0A226F-1A96-4B79-BD76-6A4A22C5F9D3}" name="Column8173" dataDxfId="8212"/>
    <tableColumn id="8198" xr3:uid="{32CBA218-66D2-4937-BEC2-014A013D275C}" name="Column8174" dataDxfId="8211"/>
    <tableColumn id="8199" xr3:uid="{D8414F21-D5B9-4397-B661-27EA16207DF7}" name="Column8175" dataDxfId="8210"/>
    <tableColumn id="8200" xr3:uid="{F04A5D38-14E7-404E-B7F1-D48F96A6F1B3}" name="Column8176" dataDxfId="8209"/>
    <tableColumn id="8201" xr3:uid="{B831CD79-615A-4B7E-B4E1-60F01AFF166B}" name="Column8177" dataDxfId="8208"/>
    <tableColumn id="8202" xr3:uid="{C1EA9068-0EA6-4397-98C5-6939CDD1336D}" name="Column8178" dataDxfId="8207"/>
    <tableColumn id="8203" xr3:uid="{582A61DC-DB60-4957-AF8A-F3BE028862EA}" name="Column8179" dataDxfId="8206"/>
    <tableColumn id="8204" xr3:uid="{05281649-D605-4601-9355-F7848D48493A}" name="Column8180" dataDxfId="8205"/>
    <tableColumn id="8205" xr3:uid="{9ED6DEC4-E007-45DE-B91F-ECD2912506CB}" name="Column8181" dataDxfId="8204"/>
    <tableColumn id="8206" xr3:uid="{959940AB-2E9C-4CF3-9DC7-A046B5EF106E}" name="Column8182" dataDxfId="8203"/>
    <tableColumn id="8207" xr3:uid="{D3B16E8F-641E-4765-AF50-A847E2E8DA9C}" name="Column8183" dataDxfId="8202"/>
    <tableColumn id="8208" xr3:uid="{C253A3B7-AB22-408F-9C00-BF89096F35E1}" name="Column8184" dataDxfId="8201"/>
    <tableColumn id="8209" xr3:uid="{B294565B-7B11-4D9F-903B-02E7038F4A04}" name="Column8185" dataDxfId="8200"/>
    <tableColumn id="8210" xr3:uid="{D2E4F31A-1F8C-4938-BC31-31E45F5C58D6}" name="Column8186" dataDxfId="8199"/>
    <tableColumn id="8211" xr3:uid="{854E5422-FAD8-42DC-B7A1-A6C9994D125F}" name="Column8187" dataDxfId="8198"/>
    <tableColumn id="8212" xr3:uid="{A9A02873-4D76-438B-BDCF-67C2D89030EE}" name="Column8188" dataDxfId="8197"/>
    <tableColumn id="8213" xr3:uid="{187E8A38-23A0-4266-9617-107A58D798D2}" name="Column8189" dataDxfId="8196"/>
    <tableColumn id="8214" xr3:uid="{E175174A-2E3F-49C1-B48A-DB3F36123A90}" name="Column8190" dataDxfId="8195"/>
    <tableColumn id="8215" xr3:uid="{6CBFC21D-D31B-4689-A0AD-6648139A37A9}" name="Column8191" dataDxfId="8194"/>
    <tableColumn id="8216" xr3:uid="{DF41EDE5-767D-408C-97E9-558553DED97B}" name="Column8192" dataDxfId="8193"/>
    <tableColumn id="8217" xr3:uid="{F26E92F2-FB85-4239-9680-6B79B585578F}" name="Column8193" dataDxfId="8192"/>
    <tableColumn id="8218" xr3:uid="{DD1518E7-27FF-4E0D-BC9D-6F20F72FF2E8}" name="Column8194" dataDxfId="8191"/>
    <tableColumn id="8219" xr3:uid="{0300570B-3718-4ADE-9CA8-D58CE2EDCA1B}" name="Column8195" dataDxfId="8190"/>
    <tableColumn id="8220" xr3:uid="{4A5173BC-91F6-45A8-A4B4-4E1C08683AC6}" name="Column8196" dataDxfId="8189"/>
    <tableColumn id="8221" xr3:uid="{63EE1923-289E-4E09-B648-42E33A613822}" name="Column8197" dataDxfId="8188"/>
    <tableColumn id="8222" xr3:uid="{5989FAD9-3E62-4C65-8EE8-0D26CA6880C3}" name="Column8198" dataDxfId="8187"/>
    <tableColumn id="8223" xr3:uid="{17535A8A-3B03-43C9-9ACD-E6B899DFD1EC}" name="Column8199" dataDxfId="8186"/>
    <tableColumn id="8224" xr3:uid="{488D63F4-687E-4FC1-8708-AAA184FEF4CD}" name="Column8200" dataDxfId="8185"/>
    <tableColumn id="8225" xr3:uid="{3EC2AAE7-B34A-43A8-8461-797D58DC04B5}" name="Column8201" dataDxfId="8184"/>
    <tableColumn id="8226" xr3:uid="{7F8BA842-CEE4-4A21-B80D-E8AAA1E16732}" name="Column8202" dataDxfId="8183"/>
    <tableColumn id="8227" xr3:uid="{50BF1800-D7CD-48C7-8E5D-5288AFAE86AB}" name="Column8203" dataDxfId="8182"/>
    <tableColumn id="8228" xr3:uid="{1B71B54D-CB12-485E-B72F-FC682609D07F}" name="Column8204" dataDxfId="8181"/>
    <tableColumn id="8229" xr3:uid="{09CEB9AA-6F30-48F5-A173-448D353F8BA3}" name="Column8205" dataDxfId="8180"/>
    <tableColumn id="8230" xr3:uid="{7567734E-3A50-44AD-AE8F-8E72E2E28C35}" name="Column8206" dataDxfId="8179"/>
    <tableColumn id="8231" xr3:uid="{1D0DBFDC-BB07-4202-A80B-35820027F6D4}" name="Column8207" dataDxfId="8178"/>
    <tableColumn id="8232" xr3:uid="{AE7237E3-3CD6-4221-9CCB-4771092F75A6}" name="Column8208" dataDxfId="8177"/>
    <tableColumn id="8233" xr3:uid="{24008744-379E-4A78-B5CA-24C6D6E01585}" name="Column8209" dataDxfId="8176"/>
    <tableColumn id="8234" xr3:uid="{FE864AD8-9451-4A85-8F03-40895C33F31A}" name="Column8210" dataDxfId="8175"/>
    <tableColumn id="8235" xr3:uid="{FFA18B4A-C21F-4DF6-AD32-CC9D321EA230}" name="Column8211" dataDxfId="8174"/>
    <tableColumn id="8236" xr3:uid="{92ABD0CA-0A84-4DB2-9FD1-D1EDAED787E9}" name="Column8212" dataDxfId="8173"/>
    <tableColumn id="8237" xr3:uid="{7A62A930-802F-4B71-9079-D8F5DC179E39}" name="Column8213" dataDxfId="8172"/>
    <tableColumn id="8238" xr3:uid="{F1369381-1FD2-4B56-9984-55E94ED59B16}" name="Column8214" dataDxfId="8171"/>
    <tableColumn id="8239" xr3:uid="{E219EABE-F91B-410A-88D8-7425F0C078BA}" name="Column8215" dataDxfId="8170"/>
    <tableColumn id="8240" xr3:uid="{EE5660D6-D8CE-44D9-AA8B-5CDBDA18662F}" name="Column8216" dataDxfId="8169"/>
    <tableColumn id="8241" xr3:uid="{30410491-0AE3-4EEC-BAE1-3210C2AA681D}" name="Column8217" dataDxfId="8168"/>
    <tableColumn id="8242" xr3:uid="{9C748CDC-965D-4238-BD9A-DA4BD300E1AE}" name="Column8218" dataDxfId="8167"/>
    <tableColumn id="8243" xr3:uid="{BFBD78B5-A11E-4FE8-B161-6D6E6B3C86BA}" name="Column8219" dataDxfId="8166"/>
    <tableColumn id="8244" xr3:uid="{3136ABC5-2D83-44A1-96FD-84C4B992A465}" name="Column8220" dataDxfId="8165"/>
    <tableColumn id="8245" xr3:uid="{7B166633-7F8C-4DDC-A7C0-44B10ACC97EB}" name="Column8221" dataDxfId="8164"/>
    <tableColumn id="8246" xr3:uid="{3D3334B4-2A4F-482F-AAE7-3C397C1B57FE}" name="Column8222" dataDxfId="8163"/>
    <tableColumn id="8247" xr3:uid="{1F660B78-93AC-4849-B999-C93BD387014A}" name="Column8223" dataDxfId="8162"/>
    <tableColumn id="8248" xr3:uid="{5C482317-EA23-40AC-AFD7-51FB1A905B5C}" name="Column8224" dataDxfId="8161"/>
    <tableColumn id="8249" xr3:uid="{58DA493C-C17E-46DE-946E-9C9F59A643C5}" name="Column8225" dataDxfId="8160"/>
    <tableColumn id="8250" xr3:uid="{7BE7AD85-3ED5-4A1A-9247-F4C7A4EF09D5}" name="Column8226" dataDxfId="8159"/>
    <tableColumn id="8251" xr3:uid="{B6C6D5CC-8545-49E7-81BC-A05869C9F297}" name="Column8227" dataDxfId="8158"/>
    <tableColumn id="8252" xr3:uid="{4E0DB1C5-B98F-43C4-976E-34F0397C0484}" name="Column8228" dataDxfId="8157"/>
    <tableColumn id="8253" xr3:uid="{0D4A1C2B-D1B9-4B9B-A3CE-1D1477C81D27}" name="Column8229" dataDxfId="8156"/>
    <tableColumn id="8254" xr3:uid="{0659B957-FFFD-4242-9187-B02096980161}" name="Column8230" dataDxfId="8155"/>
    <tableColumn id="8255" xr3:uid="{1313EDBB-4A54-4199-8780-C61591528FE3}" name="Column8231" dataDxfId="8154"/>
    <tableColumn id="8256" xr3:uid="{CBE824C1-C8AC-4264-8FCA-16A61ABBDB6A}" name="Column8232" dataDxfId="8153"/>
    <tableColumn id="8257" xr3:uid="{FC77BAFC-9FFD-4B4D-9FA6-E79A25A1BC5A}" name="Column8233" dataDxfId="8152"/>
    <tableColumn id="8258" xr3:uid="{DDE1F3F0-CEFF-4355-B6AD-70340BB5F350}" name="Column8234" dataDxfId="8151"/>
    <tableColumn id="8259" xr3:uid="{7E98891F-95C9-45D1-B176-B6B6A651EAFF}" name="Column8235" dataDxfId="8150"/>
    <tableColumn id="8260" xr3:uid="{B2DDFB8D-6A08-4798-B52A-C2BD5CF5B6B6}" name="Column8236" dataDxfId="8149"/>
    <tableColumn id="8261" xr3:uid="{696D58C4-9C45-4D2E-8A30-AE387B2717E8}" name="Column8237" dataDxfId="8148"/>
    <tableColumn id="8262" xr3:uid="{3CA0A553-21DF-49EB-AB27-F578B675114F}" name="Column8238" dataDxfId="8147"/>
    <tableColumn id="8263" xr3:uid="{B7848BA2-3B50-497E-919D-5DFF705ED644}" name="Column8239" dataDxfId="8146"/>
    <tableColumn id="8264" xr3:uid="{B031BE76-1C41-4FDC-8D5C-3A7C0EFBE6BA}" name="Column8240" dataDxfId="8145"/>
    <tableColumn id="8265" xr3:uid="{4BABECAB-E6A4-4998-AEF0-5E18C975A6B4}" name="Column8241" dataDxfId="8144"/>
    <tableColumn id="8266" xr3:uid="{428C69F9-1466-4108-B178-44D81479CA1B}" name="Column8242" dataDxfId="8143"/>
    <tableColumn id="8267" xr3:uid="{34BB471B-8D0B-456C-87F9-D2DD9471D5F4}" name="Column8243" dataDxfId="8142"/>
    <tableColumn id="8268" xr3:uid="{AF505C6A-6292-4C44-9118-56E41062FFB0}" name="Column8244" dataDxfId="8141"/>
    <tableColumn id="8269" xr3:uid="{DC17BE59-F042-4661-907B-7966709E92CA}" name="Column8245" dataDxfId="8140"/>
    <tableColumn id="8270" xr3:uid="{73A72959-97EE-4890-B559-56ED660C5001}" name="Column8246" dataDxfId="8139"/>
    <tableColumn id="8271" xr3:uid="{1A894662-DE5A-474C-BDBA-6D17BE7B4CE8}" name="Column8247" dataDxfId="8138"/>
    <tableColumn id="8272" xr3:uid="{844B0383-1AC7-4AA2-A094-BBEAFEC911EF}" name="Column8248" dataDxfId="8137"/>
    <tableColumn id="8273" xr3:uid="{DF570B5C-DA14-4A71-A75A-DFAE83166ABB}" name="Column8249" dataDxfId="8136"/>
    <tableColumn id="8274" xr3:uid="{929CEE6B-E829-4EB5-90BE-F5B9AFFD062C}" name="Column8250" dataDxfId="8135"/>
    <tableColumn id="8275" xr3:uid="{4369FD5D-82C8-4C39-ABD5-F67903428148}" name="Column8251" dataDxfId="8134"/>
    <tableColumn id="8276" xr3:uid="{2A23F00B-F7E1-4464-ACA0-1940B396FDD4}" name="Column8252" dataDxfId="8133"/>
    <tableColumn id="8277" xr3:uid="{5CE9F1E9-33B6-4E8F-8E63-FDE62682531E}" name="Column8253" dataDxfId="8132"/>
    <tableColumn id="8278" xr3:uid="{07F8644F-DB00-480D-BDF7-93074F397B4D}" name="Column8254" dataDxfId="8131"/>
    <tableColumn id="8279" xr3:uid="{BCEF5EC5-5137-4B8A-9B33-C26C2A0FE7C6}" name="Column8255" dataDxfId="8130"/>
    <tableColumn id="8280" xr3:uid="{4E10FDA5-35E1-4040-BAE7-4EBE917A7D3E}" name="Column8256" dataDxfId="8129"/>
    <tableColumn id="8281" xr3:uid="{27A1CC43-E0E9-48D5-8169-4C7916AE66A8}" name="Column8257" dataDxfId="8128"/>
    <tableColumn id="8282" xr3:uid="{DE074056-494D-4403-8CE0-654A11C6945C}" name="Column8258" dataDxfId="8127"/>
    <tableColumn id="8283" xr3:uid="{397CAAC2-5E8C-4E14-A60C-7F2A68114793}" name="Column8259" dataDxfId="8126"/>
    <tableColumn id="8284" xr3:uid="{C6A874EB-72F3-4B0F-9B80-1E8E1D2DD636}" name="Column8260" dataDxfId="8125"/>
    <tableColumn id="8285" xr3:uid="{C98B8735-4212-4E80-8295-2C4B19D96679}" name="Column8261" dataDxfId="8124"/>
    <tableColumn id="8286" xr3:uid="{D3EFDBFC-829D-4276-ACAD-A3D103A023ED}" name="Column8262" dataDxfId="8123"/>
    <tableColumn id="8287" xr3:uid="{0348BA69-2E85-4E14-AD7D-AA0F27A0EACE}" name="Column8263" dataDxfId="8122"/>
    <tableColumn id="8288" xr3:uid="{C45D0615-E689-4A7A-9A31-64800E6962CA}" name="Column8264" dataDxfId="8121"/>
    <tableColumn id="8289" xr3:uid="{587DC2D1-2916-42B2-99B3-3511E742E5BC}" name="Column8265" dataDxfId="8120"/>
    <tableColumn id="8290" xr3:uid="{FE28324C-0445-4391-BFA4-5F0A68717D61}" name="Column8266" dataDxfId="8119"/>
    <tableColumn id="8291" xr3:uid="{527A409A-C7A8-4378-BA9C-023402F1FE16}" name="Column8267" dataDxfId="8118"/>
    <tableColumn id="8292" xr3:uid="{0B33F59D-1309-4C0C-9417-3F517FC0DBE1}" name="Column8268" dataDxfId="8117"/>
    <tableColumn id="8293" xr3:uid="{3ED67120-4B6D-4E68-881E-D0E1E50DE1A9}" name="Column8269" dataDxfId="8116"/>
    <tableColumn id="8294" xr3:uid="{208D9441-D652-47C2-A303-56D77E993B6D}" name="Column8270" dataDxfId="8115"/>
    <tableColumn id="8295" xr3:uid="{72E95D28-159E-4D66-BBC2-3455EDAC20A9}" name="Column8271" dataDxfId="8114"/>
    <tableColumn id="8296" xr3:uid="{300D514C-B2E3-4D79-AC75-F24B673CA106}" name="Column8272" dataDxfId="8113"/>
    <tableColumn id="8297" xr3:uid="{D6EDEA32-C90F-402C-B9B5-2C5FC2F7A3F0}" name="Column8273" dataDxfId="8112"/>
    <tableColumn id="8298" xr3:uid="{406589A8-CC27-4E72-979E-61124E0CE75A}" name="Column8274" dataDxfId="8111"/>
    <tableColumn id="8299" xr3:uid="{BA1E7742-3245-4F8A-894F-FC02CC4C4E8B}" name="Column8275" dataDxfId="8110"/>
    <tableColumn id="8300" xr3:uid="{A54E1CA7-8BA3-45D7-A013-01ABFA481636}" name="Column8276" dataDxfId="8109"/>
    <tableColumn id="8301" xr3:uid="{B29BBD3E-C913-4BE4-A096-DCED6BB1D3A3}" name="Column8277" dataDxfId="8108"/>
    <tableColumn id="8302" xr3:uid="{4AFC7CAC-6160-42E9-A959-911C45E5F7F1}" name="Column8278" dataDxfId="8107"/>
    <tableColumn id="8303" xr3:uid="{11CCF96E-F7E3-4558-8F27-58C55A6C8425}" name="Column8279" dataDxfId="8106"/>
    <tableColumn id="8304" xr3:uid="{17A2A8F1-332A-402B-89CD-2F2C0BDB4544}" name="Column8280" dataDxfId="8105"/>
    <tableColumn id="8305" xr3:uid="{DD7F630A-F41F-49EA-BD06-678B79F0314F}" name="Column8281" dataDxfId="8104"/>
    <tableColumn id="8306" xr3:uid="{03288BE5-C0CD-41EA-A2B1-496B1A8E1534}" name="Column8282" dataDxfId="8103"/>
    <tableColumn id="8307" xr3:uid="{40475BC6-940A-48F2-AE10-F7C8E8038383}" name="Column8283" dataDxfId="8102"/>
    <tableColumn id="8308" xr3:uid="{47CA5FEF-9E05-403B-A267-A3C88553789E}" name="Column8284" dataDxfId="8101"/>
    <tableColumn id="8309" xr3:uid="{BD40ED2B-24C7-4648-8BFA-8F82987047D3}" name="Column8285" dataDxfId="8100"/>
    <tableColumn id="8310" xr3:uid="{38CE033F-A066-459D-869D-02FA09BF7089}" name="Column8286" dataDxfId="8099"/>
    <tableColumn id="8311" xr3:uid="{EF00CC7C-1C8E-468D-BB1A-9674DECFBFCF}" name="Column8287" dataDxfId="8098"/>
    <tableColumn id="8312" xr3:uid="{C766897F-3642-4E41-98BB-E885357113F1}" name="Column8288" dataDxfId="8097"/>
    <tableColumn id="8313" xr3:uid="{C13FD223-950A-4437-88BE-A662AC5B34EE}" name="Column8289" dataDxfId="8096"/>
    <tableColumn id="8314" xr3:uid="{15E602EA-1FF2-4D64-98C0-F17677591981}" name="Column8290" dataDxfId="8095"/>
    <tableColumn id="8315" xr3:uid="{426F0D5C-A828-4E45-A609-C91C9FC1E4A5}" name="Column8291" dataDxfId="8094"/>
    <tableColumn id="8316" xr3:uid="{551B4A32-9725-4EB8-AF46-F75EC4C435AB}" name="Column8292" dataDxfId="8093"/>
    <tableColumn id="8317" xr3:uid="{4E3754A8-AE0E-4002-A2FB-1582B6F47065}" name="Column8293" dataDxfId="8092"/>
    <tableColumn id="8318" xr3:uid="{E2B5E790-D334-4548-AF31-62480284852D}" name="Column8294" dataDxfId="8091"/>
    <tableColumn id="8319" xr3:uid="{3B7E21AC-18B6-4438-AB59-3D0EA22BC05D}" name="Column8295" dataDxfId="8090"/>
    <tableColumn id="8320" xr3:uid="{B82A2EAF-B905-42A8-85D5-949E4018981D}" name="Column8296" dataDxfId="8089"/>
    <tableColumn id="8321" xr3:uid="{12A93B7D-36E6-4C54-9A0A-E592AD1BAFC5}" name="Column8297" dataDxfId="8088"/>
    <tableColumn id="8322" xr3:uid="{F2005731-3D62-41D0-B83D-B3A012860FFB}" name="Column8298" dataDxfId="8087"/>
    <tableColumn id="8323" xr3:uid="{E01DBDB9-CAC2-49D0-9E95-43C6750D8D47}" name="Column8299" dataDxfId="8086"/>
    <tableColumn id="8324" xr3:uid="{EFE19222-C825-4A34-9134-F08457738DC1}" name="Column8300" dataDxfId="8085"/>
    <tableColumn id="8325" xr3:uid="{DB81A205-B69A-48C5-92EB-53C964ACE6A2}" name="Column8301" dataDxfId="8084"/>
    <tableColumn id="8326" xr3:uid="{520C211D-FF07-423E-9164-6ECFBAE4564F}" name="Column8302" dataDxfId="8083"/>
    <tableColumn id="8327" xr3:uid="{8C7A858E-DB07-4EDA-AF02-DC07F42FBCF1}" name="Column8303" dataDxfId="8082"/>
    <tableColumn id="8328" xr3:uid="{DE58E726-234C-4E73-B1BD-B21667AD0D8B}" name="Column8304" dataDxfId="8081"/>
    <tableColumn id="8329" xr3:uid="{FA1581F3-751E-4083-B22A-F446F94231C0}" name="Column8305" dataDxfId="8080"/>
    <tableColumn id="8330" xr3:uid="{603BB171-8C26-43BF-8871-B2B00772B8B6}" name="Column8306" dataDxfId="8079"/>
    <tableColumn id="8331" xr3:uid="{6926B255-FA6B-4CE8-B3DE-847F632989F8}" name="Column8307" dataDxfId="8078"/>
    <tableColumn id="8332" xr3:uid="{92E6E934-EE6A-4000-A499-26442C866E36}" name="Column8308" dataDxfId="8077"/>
    <tableColumn id="8333" xr3:uid="{52A7072C-7465-452A-ACA7-C3E4C2144BD8}" name="Column8309" dataDxfId="8076"/>
    <tableColumn id="8334" xr3:uid="{1AFFBC88-52FE-44D5-BBA1-4BC979EB899C}" name="Column8310" dataDxfId="8075"/>
    <tableColumn id="8335" xr3:uid="{3D014EA8-D449-424A-8139-1C12B1656FBB}" name="Column8311" dataDxfId="8074"/>
    <tableColumn id="8336" xr3:uid="{D8E80264-8FB0-46E2-844A-BC94075FC7A7}" name="Column8312" dataDxfId="8073"/>
    <tableColumn id="8337" xr3:uid="{27A1A52B-68B8-4E8E-A318-0E51ED0887AD}" name="Column8313" dataDxfId="8072"/>
    <tableColumn id="8338" xr3:uid="{619ECC7D-8EBE-472C-ACFB-EF9D08458039}" name="Column8314" dataDxfId="8071"/>
    <tableColumn id="8339" xr3:uid="{60F3E449-2276-4A14-842C-4A6BF84AC234}" name="Column8315" dataDxfId="8070"/>
    <tableColumn id="8340" xr3:uid="{8BF94CC3-3A70-4313-B286-3F3540860254}" name="Column8316" dataDxfId="8069"/>
    <tableColumn id="8341" xr3:uid="{FA7D5599-E749-4145-ABC2-6999DBBF38A6}" name="Column8317" dataDxfId="8068"/>
    <tableColumn id="8342" xr3:uid="{ED68ED2F-1412-4AB4-82CD-E065C5D939AC}" name="Column8318" dataDxfId="8067"/>
    <tableColumn id="8343" xr3:uid="{3EEEBF20-FA32-4681-A487-92ECFECA0AA0}" name="Column8319" dataDxfId="8066"/>
    <tableColumn id="8344" xr3:uid="{54C4C2E0-EB26-4E57-9548-FD14CAC855FD}" name="Column8320" dataDxfId="8065"/>
    <tableColumn id="8345" xr3:uid="{AF7D4BDC-C409-4BF8-9268-573ECD231C76}" name="Column8321" dataDxfId="8064"/>
    <tableColumn id="8346" xr3:uid="{12D1B17E-6192-42A5-99E3-950C6F589C93}" name="Column8322" dataDxfId="8063"/>
    <tableColumn id="8347" xr3:uid="{C5CDBC0E-BB36-4A14-BA6F-B2884E04CBA5}" name="Column8323" dataDxfId="8062"/>
    <tableColumn id="8348" xr3:uid="{31430B72-0EB5-4A57-A9E4-97CB30513C9D}" name="Column8324" dataDxfId="8061"/>
    <tableColumn id="8349" xr3:uid="{4D53AF0A-8ABE-43FA-8A65-168F8BCA8C8A}" name="Column8325" dataDxfId="8060"/>
    <tableColumn id="8350" xr3:uid="{66EBFBFC-63A2-49B4-8334-AE0FC1A82726}" name="Column8326" dataDxfId="8059"/>
    <tableColumn id="8351" xr3:uid="{313E44DD-C80C-4572-8E6E-014AC68E4137}" name="Column8327" dataDxfId="8058"/>
    <tableColumn id="8352" xr3:uid="{B01AB6F1-8194-485A-91F1-FC54514034C0}" name="Column8328" dataDxfId="8057"/>
    <tableColumn id="8353" xr3:uid="{E891C891-2287-4BA6-908F-9894164DB516}" name="Column8329" dataDxfId="8056"/>
    <tableColumn id="8354" xr3:uid="{E2EB133D-D605-4AD6-8441-6A3DDA5E0F3A}" name="Column8330" dataDxfId="8055"/>
    <tableColumn id="8355" xr3:uid="{0FC7C480-2940-4E17-B127-6D46CAFA43D2}" name="Column8331" dataDxfId="8054"/>
    <tableColumn id="8356" xr3:uid="{E6190BF9-4041-4A36-8B52-29E87C160CA3}" name="Column8332" dataDxfId="8053"/>
    <tableColumn id="8357" xr3:uid="{96F4551C-CEB6-48F0-B181-FB6EF11E5DEF}" name="Column8333" dataDxfId="8052"/>
    <tableColumn id="8358" xr3:uid="{345C7547-356F-444B-B155-FAE6D15CC4A7}" name="Column8334" dataDxfId="8051"/>
    <tableColumn id="8359" xr3:uid="{24CFD87E-46E2-4AFB-BB0A-012942D3C68A}" name="Column8335" dataDxfId="8050"/>
    <tableColumn id="8360" xr3:uid="{C54F0B6D-D391-439C-9CE1-9F411DFB134F}" name="Column8336" dataDxfId="8049"/>
    <tableColumn id="8361" xr3:uid="{BA13599B-9AC0-4ED8-ABD0-B873491A75EF}" name="Column8337" dataDxfId="8048"/>
    <tableColumn id="8362" xr3:uid="{7CD89F11-F84F-4B12-B7CB-382C25C597AC}" name="Column8338" dataDxfId="8047"/>
    <tableColumn id="8363" xr3:uid="{31A294AE-506B-4748-92BB-5F757BC83C7A}" name="Column8339" dataDxfId="8046"/>
    <tableColumn id="8364" xr3:uid="{D8F30D35-7568-48C2-9C2F-06EF1764B398}" name="Column8340" dataDxfId="8045"/>
    <tableColumn id="8365" xr3:uid="{266C9A1B-2D57-4399-8C83-7EF5E8228255}" name="Column8341" dataDxfId="8044"/>
    <tableColumn id="8366" xr3:uid="{B3662DC4-A04C-4F9E-B5BC-D5AA25AB27D9}" name="Column8342" dataDxfId="8043"/>
    <tableColumn id="8367" xr3:uid="{A50D2D04-C59A-4BF3-B8CF-8576FD22837D}" name="Column8343" dataDxfId="8042"/>
    <tableColumn id="8368" xr3:uid="{979FAD45-99DC-4B08-82D0-1DCA86BF7BAF}" name="Column8344" dataDxfId="8041"/>
    <tableColumn id="8369" xr3:uid="{4F27CC09-4077-4695-B855-FB50B5738026}" name="Column8345" dataDxfId="8040"/>
    <tableColumn id="8370" xr3:uid="{038D820D-FDAD-4096-B8E2-1D5FF9B48CF6}" name="Column8346" dataDxfId="8039"/>
    <tableColumn id="8371" xr3:uid="{65D07AC9-2DE7-4960-891F-D1BA5F59D79D}" name="Column8347" dataDxfId="8038"/>
    <tableColumn id="8372" xr3:uid="{977A3244-D44F-46C7-A418-0532E0EFC219}" name="Column8348" dataDxfId="8037"/>
    <tableColumn id="8373" xr3:uid="{22763F82-4347-4E01-97F9-8AC6890005A5}" name="Column8349" dataDxfId="8036"/>
    <tableColumn id="8374" xr3:uid="{2F202D41-53CE-4483-94C7-B41A14921F2E}" name="Column8350" dataDxfId="8035"/>
    <tableColumn id="8375" xr3:uid="{D4AC3AE4-09D8-428B-BE8F-3EC47581E0D8}" name="Column8351" dataDxfId="8034"/>
    <tableColumn id="8376" xr3:uid="{E7A82FFD-9086-450C-8597-80528072EF9D}" name="Column8352" dataDxfId="8033"/>
    <tableColumn id="8377" xr3:uid="{756EFAEF-B2EA-4583-B914-BC626849C1CE}" name="Column8353" dataDxfId="8032"/>
    <tableColumn id="8378" xr3:uid="{497718B9-6EB1-4309-9ED7-B39685928408}" name="Column8354" dataDxfId="8031"/>
    <tableColumn id="8379" xr3:uid="{C2B27BAA-AC8F-4FA8-A352-7FBB84579A00}" name="Column8355" dataDxfId="8030"/>
    <tableColumn id="8380" xr3:uid="{B8002589-F852-4A97-9308-70E42CDD66D2}" name="Column8356" dataDxfId="8029"/>
    <tableColumn id="8381" xr3:uid="{D70C1A5F-ADF1-4AD7-987F-9E0B22ADD41F}" name="Column8357" dataDxfId="8028"/>
    <tableColumn id="8382" xr3:uid="{6F04DB8B-0CB5-42AC-9B8D-34966067FF2A}" name="Column8358" dataDxfId="8027"/>
    <tableColumn id="8383" xr3:uid="{F9E9546D-B3AD-4864-94A2-BB82A0244A2E}" name="Column8359" dataDxfId="8026"/>
    <tableColumn id="8384" xr3:uid="{6587E956-9C39-4DED-96DA-0237ADB69312}" name="Column8360" dataDxfId="8025"/>
    <tableColumn id="8385" xr3:uid="{EAD21CA6-7E96-471E-9C48-57D1E07456B5}" name="Column8361" dataDxfId="8024"/>
    <tableColumn id="8386" xr3:uid="{E339B4F8-0CD4-4603-AEC3-1D617972AFB3}" name="Column8362" dataDxfId="8023"/>
    <tableColumn id="8387" xr3:uid="{22547447-2959-4D8A-8C64-57087356B048}" name="Column8363" dataDxfId="8022"/>
    <tableColumn id="8388" xr3:uid="{5CDC0A3E-8D77-42F5-A701-90B55950B7C8}" name="Column8364" dataDxfId="8021"/>
    <tableColumn id="8389" xr3:uid="{DE09B32A-AF81-40FA-B0B5-84947BDE0F7E}" name="Column8365" dataDxfId="8020"/>
    <tableColumn id="8390" xr3:uid="{7026FB82-3BD2-4002-B584-C6F36736CA7B}" name="Column8366" dataDxfId="8019"/>
    <tableColumn id="8391" xr3:uid="{9E4D7F22-5DEC-4493-B71B-0FFA334658BE}" name="Column8367" dataDxfId="8018"/>
    <tableColumn id="8392" xr3:uid="{E0FB3D12-E6B4-4532-BDC3-2FB5CD93286A}" name="Column8368" dataDxfId="8017"/>
    <tableColumn id="8393" xr3:uid="{F90F4B64-81BA-4E76-A9BF-886570B0DD1C}" name="Column8369" dataDxfId="8016"/>
    <tableColumn id="8394" xr3:uid="{3BA27D43-5EE4-4791-858D-D263B9B1B6CF}" name="Column8370" dataDxfId="8015"/>
    <tableColumn id="8395" xr3:uid="{BB970DDD-BE63-49E2-ABAE-CD5291E300D2}" name="Column8371" dataDxfId="8014"/>
    <tableColumn id="8396" xr3:uid="{CF2B4EB6-C186-453B-8DB9-6330DAA4CDD7}" name="Column8372" dataDxfId="8013"/>
    <tableColumn id="8397" xr3:uid="{3119C47C-1E41-449E-82D6-50F7C2899E9B}" name="Column8373" dataDxfId="8012"/>
    <tableColumn id="8398" xr3:uid="{9B0E6ED6-8BCD-42EB-B5D1-E363175E6A84}" name="Column8374" dataDxfId="8011"/>
    <tableColumn id="8399" xr3:uid="{751E3CB1-14D5-41DB-A7F5-7483100B7E0E}" name="Column8375" dataDxfId="8010"/>
    <tableColumn id="8400" xr3:uid="{D4F13381-7EE1-4027-B5F1-F883E435E25C}" name="Column8376" dataDxfId="8009"/>
    <tableColumn id="8401" xr3:uid="{4BC24FDC-50DF-4867-ADB7-F61CB8F61E23}" name="Column8377" dataDxfId="8008"/>
    <tableColumn id="8402" xr3:uid="{8B8D3962-56D5-46C8-8089-628322D3042D}" name="Column8378" dataDxfId="8007"/>
    <tableColumn id="8403" xr3:uid="{DA049139-451A-4E2C-A074-F1BF2799EF12}" name="Column8379" dataDxfId="8006"/>
    <tableColumn id="8404" xr3:uid="{6E2695F9-C33D-4F25-9A81-CE6851FC60A2}" name="Column8380" dataDxfId="8005"/>
    <tableColumn id="8405" xr3:uid="{9C5C5254-C30E-4A87-AA8A-1EF88420546E}" name="Column8381" dataDxfId="8004"/>
    <tableColumn id="8406" xr3:uid="{22905913-214B-452B-A078-865640903383}" name="Column8382" dataDxfId="8003"/>
    <tableColumn id="8407" xr3:uid="{1054CD7D-83B1-4DFE-A6D6-275AFE5E2AA1}" name="Column8383" dataDxfId="8002"/>
    <tableColumn id="8408" xr3:uid="{BB971D67-14C8-4B8F-833B-A32F3AE9F0A1}" name="Column8384" dataDxfId="8001"/>
    <tableColumn id="8409" xr3:uid="{992E6672-2288-4F0C-9414-0BC281E3E2B7}" name="Column8385" dataDxfId="8000"/>
    <tableColumn id="8410" xr3:uid="{3C7D505A-5967-41DA-8D4F-5EF51215257C}" name="Column8386" dataDxfId="7999"/>
    <tableColumn id="8411" xr3:uid="{8869C185-9F27-4C1A-8545-9B2A1DFBFF22}" name="Column8387" dataDxfId="7998"/>
    <tableColumn id="8412" xr3:uid="{F3CBE3E0-8E97-4C8F-AEE4-CCFE6FD5CCC4}" name="Column8388" dataDxfId="7997"/>
    <tableColumn id="8413" xr3:uid="{0145EAA3-D7CB-4136-A5FD-FEB5BC545D71}" name="Column8389" dataDxfId="7996"/>
    <tableColumn id="8414" xr3:uid="{1C205E94-FD5E-49B3-915C-7517D74163A6}" name="Column8390" dataDxfId="7995"/>
    <tableColumn id="8415" xr3:uid="{4C90C59D-8E81-4EEA-9B62-A570DB04922A}" name="Column8391" dataDxfId="7994"/>
    <tableColumn id="8416" xr3:uid="{FEE57C12-3707-4FA0-B869-0C4060C28D72}" name="Column8392" dataDxfId="7993"/>
    <tableColumn id="8417" xr3:uid="{EE084D39-0487-44EA-8DD0-4683CDE2ADFD}" name="Column8393" dataDxfId="7992"/>
    <tableColumn id="8418" xr3:uid="{8E90F15A-30F7-446F-AD71-3A12E43AA21E}" name="Column8394" dataDxfId="7991"/>
    <tableColumn id="8419" xr3:uid="{374FBE19-7372-4310-8518-2C4F77E49620}" name="Column8395" dataDxfId="7990"/>
    <tableColumn id="8420" xr3:uid="{541BF92D-FA7C-404E-B80B-4BE3AD069E66}" name="Column8396" dataDxfId="7989"/>
    <tableColumn id="8421" xr3:uid="{841D4C0F-033D-4A6B-8CA0-B051BDBA56B5}" name="Column8397" dataDxfId="7988"/>
    <tableColumn id="8422" xr3:uid="{FA483776-D232-41FB-B22E-E80AAA661106}" name="Column8398" dataDxfId="7987"/>
    <tableColumn id="8423" xr3:uid="{4E3AADA0-9F3C-4060-9FDD-FA1F0AEA63D5}" name="Column8399" dataDxfId="7986"/>
    <tableColumn id="8424" xr3:uid="{3F026B25-AF41-4C19-B5AE-0F09398E35C6}" name="Column8400" dataDxfId="7985"/>
    <tableColumn id="8425" xr3:uid="{6B1AEEEB-4802-458B-B303-B2560F97418D}" name="Column8401" dataDxfId="7984"/>
    <tableColumn id="8426" xr3:uid="{347CC3BE-AC55-4B29-A52A-8D63963EE5D9}" name="Column8402" dataDxfId="7983"/>
    <tableColumn id="8427" xr3:uid="{F385CCC4-782C-4D96-800A-49628B85EF76}" name="Column8403" dataDxfId="7982"/>
    <tableColumn id="8428" xr3:uid="{5BB33AF2-2497-4E5D-91CA-9E87DB997CB6}" name="Column8404" dataDxfId="7981"/>
    <tableColumn id="8429" xr3:uid="{7A0B72ED-8263-442F-AD1A-D745FC2DC620}" name="Column8405" dataDxfId="7980"/>
    <tableColumn id="8430" xr3:uid="{C7EED8C5-3E90-4665-A06F-F6044D8871B5}" name="Column8406" dataDxfId="7979"/>
    <tableColumn id="8431" xr3:uid="{CB9C2136-E6B6-4E4D-B531-FC988E56962D}" name="Column8407" dataDxfId="7978"/>
    <tableColumn id="8432" xr3:uid="{B0B145E7-B687-42EC-981A-E3ABA36908F6}" name="Column8408" dataDxfId="7977"/>
    <tableColumn id="8433" xr3:uid="{2CDA921F-6923-4F1E-A6A4-74F7F1DF17A0}" name="Column8409" dataDxfId="7976"/>
    <tableColumn id="8434" xr3:uid="{5BD8F16B-02CD-49FA-BEB8-CACD1E4DDDC0}" name="Column8410" dataDxfId="7975"/>
    <tableColumn id="8435" xr3:uid="{2D0AB593-AEBC-4932-B515-6BD42964AD98}" name="Column8411" dataDxfId="7974"/>
    <tableColumn id="8436" xr3:uid="{EF188099-28F2-405B-951C-8FF095B8F080}" name="Column8412" dataDxfId="7973"/>
    <tableColumn id="8437" xr3:uid="{D3D63E69-36F3-4A30-877B-4C25BF07E12C}" name="Column8413" dataDxfId="7972"/>
    <tableColumn id="8438" xr3:uid="{62C8255B-F82C-4E5C-B67E-B1B238748596}" name="Column8414" dataDxfId="7971"/>
    <tableColumn id="8439" xr3:uid="{D2AB38E4-1036-469D-889E-7EFE092CEC93}" name="Column8415" dataDxfId="7970"/>
    <tableColumn id="8440" xr3:uid="{E90DD9CC-D737-4F55-B434-A699E1BA363F}" name="Column8416" dataDxfId="7969"/>
    <tableColumn id="8441" xr3:uid="{B185B850-9EC3-40E6-9386-552B7EB1F423}" name="Column8417" dataDxfId="7968"/>
    <tableColumn id="8442" xr3:uid="{446848C6-AB54-4C68-A186-3EECF127EAB3}" name="Column8418" dataDxfId="7967"/>
    <tableColumn id="8443" xr3:uid="{0C5A4FF9-D7CC-4CB8-9378-72FA285F1CE5}" name="Column8419" dataDxfId="7966"/>
    <tableColumn id="8444" xr3:uid="{2E0933E0-5E0D-4FC0-8E97-4DB96ED48C8B}" name="Column8420" dataDxfId="7965"/>
    <tableColumn id="8445" xr3:uid="{F1E1FC3B-C4D0-4025-8ABD-C25CA23C243E}" name="Column8421" dataDxfId="7964"/>
    <tableColumn id="8446" xr3:uid="{A6A2E8D9-627E-4691-8DED-5D220D5B865B}" name="Column8422" dataDxfId="7963"/>
    <tableColumn id="8447" xr3:uid="{2B5896A5-0FAA-4C5F-8BCD-2D3AB2AD4D2F}" name="Column8423" dataDxfId="7962"/>
    <tableColumn id="8448" xr3:uid="{D587EFC8-F55E-4DC9-BD69-47C048D15A3C}" name="Column8424" dataDxfId="7961"/>
    <tableColumn id="8449" xr3:uid="{3C995DCD-EF52-4DF2-8DAF-F1BACBC40B0B}" name="Column8425" dataDxfId="7960"/>
    <tableColumn id="8450" xr3:uid="{F91CAF48-5346-4089-99A4-671AA0470CFF}" name="Column8426" dataDxfId="7959"/>
    <tableColumn id="8451" xr3:uid="{D26EB6D4-A17D-4B02-AD54-F238BC4593F0}" name="Column8427" dataDxfId="7958"/>
    <tableColumn id="8452" xr3:uid="{40054979-0B59-4E8C-B66F-1C799645F007}" name="Column8428" dataDxfId="7957"/>
    <tableColumn id="8453" xr3:uid="{799F7B65-3764-41C6-BF76-49935EDE55B9}" name="Column8429" dataDxfId="7956"/>
    <tableColumn id="8454" xr3:uid="{AFB6A9E3-9038-44CD-A83F-3E6CA6034A74}" name="Column8430" dataDxfId="7955"/>
    <tableColumn id="8455" xr3:uid="{0718CD6B-C31E-494D-B079-C6764B4A0972}" name="Column8431" dataDxfId="7954"/>
    <tableColumn id="8456" xr3:uid="{166ED7CF-E698-4FAA-8699-421A007FC146}" name="Column8432" dataDxfId="7953"/>
    <tableColumn id="8457" xr3:uid="{1CEDA9EF-C1C3-46EA-BEA3-D561C86E0E61}" name="Column8433" dataDxfId="7952"/>
    <tableColumn id="8458" xr3:uid="{89480004-33E0-4066-A16C-6930984C3695}" name="Column8434" dataDxfId="7951"/>
    <tableColumn id="8459" xr3:uid="{AFFBC87F-8E0F-4654-BBBF-694F23D83B37}" name="Column8435" dataDxfId="7950"/>
    <tableColumn id="8460" xr3:uid="{A1089706-F6A5-414E-9C0E-1A0DDDA6BE26}" name="Column8436" dataDxfId="7949"/>
    <tableColumn id="8461" xr3:uid="{3AB78741-33D9-439B-BB5D-92734DC2AF67}" name="Column8437" dataDxfId="7948"/>
    <tableColumn id="8462" xr3:uid="{B11432C1-E33A-43C1-BCBA-527BA476A31D}" name="Column8438" dataDxfId="7947"/>
    <tableColumn id="8463" xr3:uid="{07C7B0D9-7277-4413-AEB5-331898AD18FF}" name="Column8439" dataDxfId="7946"/>
    <tableColumn id="8464" xr3:uid="{C0065E94-3F84-41C5-A37F-6065980EFDF3}" name="Column8440" dataDxfId="7945"/>
    <tableColumn id="8465" xr3:uid="{4A47969A-464C-42D4-9457-B13450A83608}" name="Column8441" dataDxfId="7944"/>
    <tableColumn id="8466" xr3:uid="{FB2A1EE2-A463-49E4-A234-275456443B93}" name="Column8442" dataDxfId="7943"/>
    <tableColumn id="8467" xr3:uid="{BD350231-FD58-414D-8171-D6245D901500}" name="Column8443" dataDxfId="7942"/>
    <tableColumn id="8468" xr3:uid="{DC044EEC-F041-4275-A6F6-54748E0ECC96}" name="Column8444" dataDxfId="7941"/>
    <tableColumn id="8469" xr3:uid="{4C4F45D8-A41F-4752-BD4F-5FA7547591A5}" name="Column8445" dataDxfId="7940"/>
    <tableColumn id="8470" xr3:uid="{5C879FC1-65D4-4CC9-8A51-A0C81FF66636}" name="Column8446" dataDxfId="7939"/>
    <tableColumn id="8471" xr3:uid="{17237047-18C8-47E5-855B-26FFF8A5727F}" name="Column8447" dataDxfId="7938"/>
    <tableColumn id="8472" xr3:uid="{5D5C6076-5B36-4871-9532-1DF3E1618E45}" name="Column8448" dataDxfId="7937"/>
    <tableColumn id="8473" xr3:uid="{E95BFB22-22EE-499B-BB73-E6694F09B390}" name="Column8449" dataDxfId="7936"/>
    <tableColumn id="8474" xr3:uid="{6235C2BE-970D-46D4-A623-019B47A70ADF}" name="Column8450" dataDxfId="7935"/>
    <tableColumn id="8475" xr3:uid="{FE74F3D8-DD80-4B5E-B864-2276B402BA7E}" name="Column8451" dataDxfId="7934"/>
    <tableColumn id="8476" xr3:uid="{62D9903E-7522-4324-BDC2-26E974944989}" name="Column8452" dataDxfId="7933"/>
    <tableColumn id="8477" xr3:uid="{0D63E2EE-32B9-45DC-9610-D93E207FF790}" name="Column8453" dataDxfId="7932"/>
    <tableColumn id="8478" xr3:uid="{894A2084-3DA5-417A-9A41-1FB34B1C6CF1}" name="Column8454" dataDxfId="7931"/>
    <tableColumn id="8479" xr3:uid="{C115A4DD-484E-46E6-BDC9-68F3FF395EC2}" name="Column8455" dataDxfId="7930"/>
    <tableColumn id="8480" xr3:uid="{FA99F7C6-5169-4850-9A51-D8A05F8992E2}" name="Column8456" dataDxfId="7929"/>
    <tableColumn id="8481" xr3:uid="{FEE22570-1818-4AAE-8E06-CF150254A364}" name="Column8457" dataDxfId="7928"/>
    <tableColumn id="8482" xr3:uid="{1F15575F-9F21-4A3E-B64C-BCE6AECF3445}" name="Column8458" dataDxfId="7927"/>
    <tableColumn id="8483" xr3:uid="{4779F092-0CEE-49EF-B3BD-C9CEC55BC14D}" name="Column8459" dataDxfId="7926"/>
    <tableColumn id="8484" xr3:uid="{BEE054F5-B5D8-4DDC-A854-4DAFE5BC6124}" name="Column8460" dataDxfId="7925"/>
    <tableColumn id="8485" xr3:uid="{C6721092-9A98-4BBD-88D6-2937906CAAFE}" name="Column8461" dataDxfId="7924"/>
    <tableColumn id="8486" xr3:uid="{71FB79ED-D820-4C03-BD71-227098320D53}" name="Column8462" dataDxfId="7923"/>
    <tableColumn id="8487" xr3:uid="{4AB182FC-A14B-4907-B9E0-3457214AC705}" name="Column8463" dataDxfId="7922"/>
    <tableColumn id="8488" xr3:uid="{CC2E2D07-8B2A-4266-ACD6-B1E0F4D3910C}" name="Column8464" dataDxfId="7921"/>
    <tableColumn id="8489" xr3:uid="{79441012-779E-4DB9-998E-2BDAF928C25C}" name="Column8465" dataDxfId="7920"/>
    <tableColumn id="8490" xr3:uid="{CBFCCDFE-6A16-4AA1-A3F0-9BF4D8B0D4A0}" name="Column8466" dataDxfId="7919"/>
    <tableColumn id="8491" xr3:uid="{62C0779C-FD08-4A83-9BB4-1EEEEA0158BC}" name="Column8467" dataDxfId="7918"/>
    <tableColumn id="8492" xr3:uid="{67021E52-E274-45D5-BA1A-8FF5713703EA}" name="Column8468" dataDxfId="7917"/>
    <tableColumn id="8493" xr3:uid="{6CB5FBC4-C0EA-4FE2-8E2E-B64201E9E985}" name="Column8469" dataDxfId="7916"/>
    <tableColumn id="8494" xr3:uid="{A9D8BF1A-4B87-4A63-8B32-EB70C6300D95}" name="Column8470" dataDxfId="7915"/>
    <tableColumn id="8495" xr3:uid="{7C0B8F83-D5F7-4D2D-818F-81EE2E29A15E}" name="Column8471" dataDxfId="7914"/>
    <tableColumn id="8496" xr3:uid="{6DECE65A-EC04-4DC7-BB19-1D70D32EC7DF}" name="Column8472" dataDxfId="7913"/>
    <tableColumn id="8497" xr3:uid="{210472FA-9041-49CD-B58A-C3A8DF313A52}" name="Column8473" dataDxfId="7912"/>
    <tableColumn id="8498" xr3:uid="{4468706C-4EBB-4D15-9AD1-42157565B46C}" name="Column8474" dataDxfId="7911"/>
    <tableColumn id="8499" xr3:uid="{23F781ED-9BA3-4350-8885-4A8B0F12CEF7}" name="Column8475" dataDxfId="7910"/>
    <tableColumn id="8500" xr3:uid="{7107FDF6-7C14-40ED-8C20-16A13DA4D54D}" name="Column8476" dataDxfId="7909"/>
    <tableColumn id="8501" xr3:uid="{89FD5CEC-4542-46B0-B6C5-763DDBD5DF81}" name="Column8477" dataDxfId="7908"/>
    <tableColumn id="8502" xr3:uid="{484B0024-4011-428E-BA78-C91694C0D911}" name="Column8478" dataDxfId="7907"/>
    <tableColumn id="8503" xr3:uid="{84ADD8F6-43A7-43D9-B7E6-419108271E68}" name="Column8479" dataDxfId="7906"/>
    <tableColumn id="8504" xr3:uid="{ADC91815-C545-4BC6-9E0A-F0C94EE5DD3C}" name="Column8480" dataDxfId="7905"/>
    <tableColumn id="8505" xr3:uid="{4827F9F7-309A-404D-A30C-94610F07B421}" name="Column8481" dataDxfId="7904"/>
    <tableColumn id="8506" xr3:uid="{852D821D-10A2-4520-9307-1D08906F6525}" name="Column8482" dataDxfId="7903"/>
    <tableColumn id="8507" xr3:uid="{51EBF739-6BFD-42C4-A889-703751C2DAF8}" name="Column8483" dataDxfId="7902"/>
    <tableColumn id="8508" xr3:uid="{FB9918C0-BB71-4BB8-8BD5-80B586BCC653}" name="Column8484" dataDxfId="7901"/>
    <tableColumn id="8509" xr3:uid="{4BA88221-C13D-4F45-9644-1B3FDB957C8E}" name="Column8485" dataDxfId="7900"/>
    <tableColumn id="8510" xr3:uid="{CDCCAA9D-B652-464B-946D-3E876637BF03}" name="Column8486" dataDxfId="7899"/>
    <tableColumn id="8511" xr3:uid="{E17EA9CB-2BD0-46FA-A21B-FB98C04013CC}" name="Column8487" dataDxfId="7898"/>
    <tableColumn id="8512" xr3:uid="{C2F93929-74B6-4CA4-8557-DF930DC675BF}" name="Column8488" dataDxfId="7897"/>
    <tableColumn id="8513" xr3:uid="{122409C6-DA7B-47D4-A473-CCE21FFF1242}" name="Column8489" dataDxfId="7896"/>
    <tableColumn id="8514" xr3:uid="{880386DD-3B01-4204-8588-42885E427946}" name="Column8490" dataDxfId="7895"/>
    <tableColumn id="8515" xr3:uid="{03B6C838-33E2-4A7D-B60F-1F32DC1D6AAC}" name="Column8491" dataDxfId="7894"/>
    <tableColumn id="8516" xr3:uid="{8D9D27B6-4EE1-4C1A-8C4C-169B07B5727D}" name="Column8492" dataDxfId="7893"/>
    <tableColumn id="8517" xr3:uid="{942461F3-C2E1-4084-9FE1-F81065BEE302}" name="Column8493" dataDxfId="7892"/>
    <tableColumn id="8518" xr3:uid="{EB16BDA6-F037-43D7-ACAD-308F751E951E}" name="Column8494" dataDxfId="7891"/>
    <tableColumn id="8519" xr3:uid="{103A43C9-8399-4DB9-AAB8-501FA3168851}" name="Column8495" dataDxfId="7890"/>
    <tableColumn id="8520" xr3:uid="{90BA5A2A-05FC-496F-96C6-56BB4AB73332}" name="Column8496" dataDxfId="7889"/>
    <tableColumn id="8521" xr3:uid="{4062DBB3-744E-4327-AF7F-866F4037A585}" name="Column8497" dataDxfId="7888"/>
    <tableColumn id="8522" xr3:uid="{8F55E9D9-0626-4352-A105-D1BBD4E18651}" name="Column8498" dataDxfId="7887"/>
    <tableColumn id="8523" xr3:uid="{855D32BA-37F6-43A2-99B0-DE26B88B976C}" name="Column8499" dataDxfId="7886"/>
    <tableColumn id="8524" xr3:uid="{FAD26B0C-A327-488D-9A42-E2B3EB21D9B8}" name="Column8500" dataDxfId="7885"/>
    <tableColumn id="8525" xr3:uid="{BEBE7D74-1D89-4E74-983F-485A7013BEF6}" name="Column8501" dataDxfId="7884"/>
    <tableColumn id="8526" xr3:uid="{3648A9ED-5E3D-4AB7-9EEF-85ADCD358264}" name="Column8502" dataDxfId="7883"/>
    <tableColumn id="8527" xr3:uid="{57485F98-4686-4D13-B467-A0890D30876E}" name="Column8503" dataDxfId="7882"/>
    <tableColumn id="8528" xr3:uid="{C1AE7290-9A06-4D10-AABB-3CC96D12E159}" name="Column8504" dataDxfId="7881"/>
    <tableColumn id="8529" xr3:uid="{556F351B-B320-45BA-BF24-53DAA5793944}" name="Column8505" dataDxfId="7880"/>
    <tableColumn id="8530" xr3:uid="{CEF2BF4A-1F8D-4E4E-A7BF-BE4806831E00}" name="Column8506" dataDxfId="7879"/>
    <tableColumn id="8531" xr3:uid="{4E1B96AA-3B63-4975-BC4A-336FE973CFFE}" name="Column8507" dataDxfId="7878"/>
    <tableColumn id="8532" xr3:uid="{01A88015-6ACF-476E-B794-180066450E53}" name="Column8508" dataDxfId="7877"/>
    <tableColumn id="8533" xr3:uid="{050EF372-FC27-4E04-AAD9-C1DEE19C9589}" name="Column8509" dataDxfId="7876"/>
    <tableColumn id="8534" xr3:uid="{E4F7B7C4-91CC-4F56-BC2A-4144630F712B}" name="Column8510" dataDxfId="7875"/>
    <tableColumn id="8535" xr3:uid="{52EA0CCB-EF6E-4E8B-82F9-E4384BE53497}" name="Column8511" dataDxfId="7874"/>
    <tableColumn id="8536" xr3:uid="{DBD5DBF1-AEBC-4F9E-A8AA-F91712DFFD4C}" name="Column8512" dataDxfId="7873"/>
    <tableColumn id="8537" xr3:uid="{A0F6CBC3-7A50-4338-BCE1-DABE7549A55E}" name="Column8513" dataDxfId="7872"/>
    <tableColumn id="8538" xr3:uid="{649DBDCA-5906-4D36-99FD-824961E45E06}" name="Column8514" dataDxfId="7871"/>
    <tableColumn id="8539" xr3:uid="{991F0C4C-84E5-4766-95FB-A5E44D47C0D1}" name="Column8515" dataDxfId="7870"/>
    <tableColumn id="8540" xr3:uid="{86BAE18A-0581-494D-9337-5F9998086909}" name="Column8516" dataDxfId="7869"/>
    <tableColumn id="8541" xr3:uid="{D99796DB-07F0-4FCC-A736-60AAC732DC4C}" name="Column8517" dataDxfId="7868"/>
    <tableColumn id="8542" xr3:uid="{6BDB80F7-3F14-411A-9537-2E041493DF0E}" name="Column8518" dataDxfId="7867"/>
    <tableColumn id="8543" xr3:uid="{850BA33C-7E6B-4646-A97D-BF69515E8695}" name="Column8519" dataDxfId="7866"/>
    <tableColumn id="8544" xr3:uid="{0CF77A00-4376-40C9-85E0-DFFCA8687CCD}" name="Column8520" dataDxfId="7865"/>
    <tableColumn id="8545" xr3:uid="{0D41FF8D-628E-47D5-A1B5-859CEDAD20B0}" name="Column8521" dataDxfId="7864"/>
    <tableColumn id="8546" xr3:uid="{3C90156E-CCAA-4272-8586-D28B76F2FD65}" name="Column8522" dataDxfId="7863"/>
    <tableColumn id="8547" xr3:uid="{8E4E898B-22F4-4BD1-BC33-4183A12C7121}" name="Column8523" dataDxfId="7862"/>
    <tableColumn id="8548" xr3:uid="{9D3605D9-E2C4-4CDD-963A-E7D49F06BC4D}" name="Column8524" dataDxfId="7861"/>
    <tableColumn id="8549" xr3:uid="{DC8CCA41-F3F1-4F52-8AC1-7616508B4B23}" name="Column8525" dataDxfId="7860"/>
    <tableColumn id="8550" xr3:uid="{68B3E50A-0628-49CF-9B3D-5E9AE000C703}" name="Column8526" dataDxfId="7859"/>
    <tableColumn id="8551" xr3:uid="{1EEA33D3-85C8-4D1D-A855-33683717FA34}" name="Column8527" dataDxfId="7858"/>
    <tableColumn id="8552" xr3:uid="{4D7D17FA-5BD0-45A4-AEE9-38287B2BC5E7}" name="Column8528" dataDxfId="7857"/>
    <tableColumn id="8553" xr3:uid="{3B7B0DD5-CDC1-44C4-B550-00B7F206D45E}" name="Column8529" dataDxfId="7856"/>
    <tableColumn id="8554" xr3:uid="{121A212A-113D-480D-AC14-0D731BFA3B51}" name="Column8530" dataDxfId="7855"/>
    <tableColumn id="8555" xr3:uid="{15C8C448-0FA0-419E-9FC5-AD26FA6D0CBB}" name="Column8531" dataDxfId="7854"/>
    <tableColumn id="8556" xr3:uid="{10BA56BF-8F40-487B-9ABC-D479650BEBFB}" name="Column8532" dataDxfId="7853"/>
    <tableColumn id="8557" xr3:uid="{5B1A457A-3C70-44C0-942E-B05466B36B72}" name="Column8533" dataDxfId="7852"/>
    <tableColumn id="8558" xr3:uid="{ACA70F61-9705-4911-AA77-65C54F17CFD9}" name="Column8534" dataDxfId="7851"/>
    <tableColumn id="8559" xr3:uid="{73DE219A-5CAA-4F8E-B74E-C1CFC4846488}" name="Column8535" dataDxfId="7850"/>
    <tableColumn id="8560" xr3:uid="{07098830-3BFD-433E-95D5-8CA1A0239EB1}" name="Column8536" dataDxfId="7849"/>
    <tableColumn id="8561" xr3:uid="{94FDA599-6BCC-46B8-AF31-ABCCB211D773}" name="Column8537" dataDxfId="7848"/>
    <tableColumn id="8562" xr3:uid="{2C4F3497-F761-4CF5-8F58-F51F09DFFD49}" name="Column8538" dataDxfId="7847"/>
    <tableColumn id="8563" xr3:uid="{2A0C03E5-4125-408E-A613-EBBC78BE77CC}" name="Column8539" dataDxfId="7846"/>
    <tableColumn id="8564" xr3:uid="{1A3EBC10-F98B-46F2-A876-9618C6FB6176}" name="Column8540" dataDxfId="7845"/>
    <tableColumn id="8565" xr3:uid="{ED2A531D-B631-4858-8419-09ADB1A8BA59}" name="Column8541" dataDxfId="7844"/>
    <tableColumn id="8566" xr3:uid="{A11F3254-FB3A-4DDB-BA01-95E209C0E06A}" name="Column8542" dataDxfId="7843"/>
    <tableColumn id="8567" xr3:uid="{BD8051C5-D607-411D-9B03-1FACC4AED439}" name="Column8543" dataDxfId="7842"/>
    <tableColumn id="8568" xr3:uid="{F99FB470-3BE1-443A-9D1F-6D40E7ECECC5}" name="Column8544" dataDxfId="7841"/>
    <tableColumn id="8569" xr3:uid="{5E7B6412-6271-4533-B085-FC805FEFA79D}" name="Column8545" dataDxfId="7840"/>
    <tableColumn id="8570" xr3:uid="{F05BE3FA-9588-4611-933E-C0CCAD7DF90C}" name="Column8546" dataDxfId="7839"/>
    <tableColumn id="8571" xr3:uid="{DCFD4834-FCAD-4990-8225-27DA47E62ACB}" name="Column8547" dataDxfId="7838"/>
    <tableColumn id="8572" xr3:uid="{A6A9204E-EDF1-4BA9-BE49-50B3A06C69B1}" name="Column8548" dataDxfId="7837"/>
    <tableColumn id="8573" xr3:uid="{07371130-25EC-4DEC-9F98-933D15DF0C2E}" name="Column8549" dataDxfId="7836"/>
    <tableColumn id="8574" xr3:uid="{49DC7FC4-5609-420C-B1B1-08A11E985E0F}" name="Column8550" dataDxfId="7835"/>
    <tableColumn id="8575" xr3:uid="{E537F8B4-469C-46BA-9B20-66AB7A9A97BA}" name="Column8551" dataDxfId="7834"/>
    <tableColumn id="8576" xr3:uid="{EF906D8E-A160-4E23-A8CE-B5C1FAF5DE85}" name="Column8552" dataDxfId="7833"/>
    <tableColumn id="8577" xr3:uid="{C9EDDE21-B0DA-4F09-AB96-910B069773CE}" name="Column8553" dataDxfId="7832"/>
    <tableColumn id="8578" xr3:uid="{FA5C5E25-0260-4171-BC34-4E0066C2953B}" name="Column8554" dataDxfId="7831"/>
    <tableColumn id="8579" xr3:uid="{D9E22221-36C5-424E-B6BA-40A60B087D0D}" name="Column8555" dataDxfId="7830"/>
    <tableColumn id="8580" xr3:uid="{34ECC1DA-5BE4-4A23-8EF0-88827B0D80C2}" name="Column8556" dataDxfId="7829"/>
    <tableColumn id="8581" xr3:uid="{F725B436-6EEF-4B6B-83C1-2F232795DF91}" name="Column8557" dataDxfId="7828"/>
    <tableColumn id="8582" xr3:uid="{04BDC16A-CBAA-4037-A506-3D727720DFFA}" name="Column8558" dataDxfId="7827"/>
    <tableColumn id="8583" xr3:uid="{47E4A1CC-824E-4D02-BC81-FB4D3AE26EC3}" name="Column8559" dataDxfId="7826"/>
    <tableColumn id="8584" xr3:uid="{FA3E8372-7B08-4DEE-9542-80442937E010}" name="Column8560" dataDxfId="7825"/>
    <tableColumn id="8585" xr3:uid="{063877C8-0AA0-4C69-81CA-8542F7FEA5D8}" name="Column8561" dataDxfId="7824"/>
    <tableColumn id="8586" xr3:uid="{F2DC4053-977F-4932-ACBB-DF76EBA13639}" name="Column8562" dataDxfId="7823"/>
    <tableColumn id="8587" xr3:uid="{E77D2C44-A5EF-4EED-A4FF-D03C581CE5E7}" name="Column8563" dataDxfId="7822"/>
    <tableColumn id="8588" xr3:uid="{998CA7EA-3091-481B-AA4D-0CD6D51D5439}" name="Column8564" dataDxfId="7821"/>
    <tableColumn id="8589" xr3:uid="{C760815F-3D3C-4F4D-BD46-7B11B9B82068}" name="Column8565" dataDxfId="7820"/>
    <tableColumn id="8590" xr3:uid="{956CC176-FF4E-4D8E-BA51-07243E4FA967}" name="Column8566" dataDxfId="7819"/>
    <tableColumn id="8591" xr3:uid="{4CC0559A-D6FF-4FC1-9C4E-FEE663205091}" name="Column8567" dataDxfId="7818"/>
    <tableColumn id="8592" xr3:uid="{05CA4C9B-D10B-4920-8489-3CC52E6A12B5}" name="Column8568" dataDxfId="7817"/>
    <tableColumn id="8593" xr3:uid="{01328550-6014-4193-B971-3456827AB42C}" name="Column8569" dataDxfId="7816"/>
    <tableColumn id="8594" xr3:uid="{8FA64C2C-084C-49E7-8539-168091D6D6B0}" name="Column8570" dataDxfId="7815"/>
    <tableColumn id="8595" xr3:uid="{AEF1C80B-6A29-47A8-83E8-1FB4CFD72EF7}" name="Column8571" dataDxfId="7814"/>
    <tableColumn id="8596" xr3:uid="{D423F01B-BDD5-4A67-9144-B0AAAE061784}" name="Column8572" dataDxfId="7813"/>
    <tableColumn id="8597" xr3:uid="{3AAC8157-C4AD-4665-B130-5EF36BFA4F3C}" name="Column8573" dataDxfId="7812"/>
    <tableColumn id="8598" xr3:uid="{A178B9BB-78F0-49A3-9D5F-B4538FEE207B}" name="Column8574" dataDxfId="7811"/>
    <tableColumn id="8599" xr3:uid="{F4C2DC18-6F83-4AC6-A968-6972C15B89C7}" name="Column8575" dataDxfId="7810"/>
    <tableColumn id="8600" xr3:uid="{6BEEC244-B790-40AD-9A3F-F537BDD345ED}" name="Column8576" dataDxfId="7809"/>
    <tableColumn id="8601" xr3:uid="{A8FBC15B-83BD-4AF5-A3E1-E4491CB1DC60}" name="Column8577" dataDxfId="7808"/>
    <tableColumn id="8602" xr3:uid="{C0A21812-6978-4073-A4B2-65BD7B051FE3}" name="Column8578" dataDxfId="7807"/>
    <tableColumn id="8603" xr3:uid="{A40E194F-4454-49DA-A43F-EE6FEC949449}" name="Column8579" dataDxfId="7806"/>
    <tableColumn id="8604" xr3:uid="{1B3F8A19-76FD-4A90-89AF-3D572B01BFE1}" name="Column8580" dataDxfId="7805"/>
    <tableColumn id="8605" xr3:uid="{9A9ADEBE-01E7-4894-A345-C9FB67E67D29}" name="Column8581" dataDxfId="7804"/>
    <tableColumn id="8606" xr3:uid="{87ED7BA0-1B6C-4228-9E1A-BEA313CCDC03}" name="Column8582" dataDxfId="7803"/>
    <tableColumn id="8607" xr3:uid="{7FC2CEC6-0435-49A3-8A30-8E598997D16C}" name="Column8583" dataDxfId="7802"/>
    <tableColumn id="8608" xr3:uid="{9F707DBF-8E65-4333-9574-AFB64E6683FE}" name="Column8584" dataDxfId="7801"/>
    <tableColumn id="8609" xr3:uid="{C304BCDF-9C4F-4A6C-8766-7A5397B2A5A4}" name="Column8585" dataDxfId="7800"/>
    <tableColumn id="8610" xr3:uid="{28C8B5B8-D2C3-43DD-85F9-A413449F61E6}" name="Column8586" dataDxfId="7799"/>
    <tableColumn id="8611" xr3:uid="{A7F2A71D-40E9-4C58-8C09-F44D12C41BD4}" name="Column8587" dataDxfId="7798"/>
    <tableColumn id="8612" xr3:uid="{B3D0B399-8A5B-4C37-BB7D-F6A0F5683EFF}" name="Column8588" dataDxfId="7797"/>
    <tableColumn id="8613" xr3:uid="{112B6FB9-5683-4700-97CB-23E1B6D35EFC}" name="Column8589" dataDxfId="7796"/>
    <tableColumn id="8614" xr3:uid="{B7705DA1-B870-4F59-BD9D-91EBF88F3682}" name="Column8590" dataDxfId="7795"/>
    <tableColumn id="8615" xr3:uid="{EE616510-93EA-437C-B0C0-F22A6DC1109A}" name="Column8591" dataDxfId="7794"/>
    <tableColumn id="8616" xr3:uid="{7C1D664A-EC37-4842-A016-2268DD05B14C}" name="Column8592" dataDxfId="7793"/>
    <tableColumn id="8617" xr3:uid="{2ED965A2-AD60-4D72-8D82-D55F14B8FD25}" name="Column8593" dataDxfId="7792"/>
    <tableColumn id="8618" xr3:uid="{3C164E35-7B2C-4B73-B79F-93E54C89DE93}" name="Column8594" dataDxfId="7791"/>
    <tableColumn id="8619" xr3:uid="{A909B646-B7B3-4196-AFA1-6A77CE00606A}" name="Column8595" dataDxfId="7790"/>
    <tableColumn id="8620" xr3:uid="{37881126-05F5-4E67-A308-9177DB52BE8E}" name="Column8596" dataDxfId="7789"/>
    <tableColumn id="8621" xr3:uid="{827C878B-5AA3-49CF-84E6-CC2FD03BF82E}" name="Column8597" dataDxfId="7788"/>
    <tableColumn id="8622" xr3:uid="{4926295F-7845-41E5-B8B2-64AC65406B5D}" name="Column8598" dataDxfId="7787"/>
    <tableColumn id="8623" xr3:uid="{95CA7DD1-6A00-4274-9973-FB81A97E6B9A}" name="Column8599" dataDxfId="7786"/>
    <tableColumn id="8624" xr3:uid="{D07B7FC8-6F3C-40D9-98A4-F1F5106DD1B4}" name="Column8600" dataDxfId="7785"/>
    <tableColumn id="8625" xr3:uid="{1F18CE32-D558-4FA7-8522-FB7086E9D1AB}" name="Column8601" dataDxfId="7784"/>
    <tableColumn id="8626" xr3:uid="{21528817-A42D-4E52-BF31-6F8D35FCA25E}" name="Column8602" dataDxfId="7783"/>
    <tableColumn id="8627" xr3:uid="{21C3B621-32E9-42D5-87BD-F196E0C8F10D}" name="Column8603" dataDxfId="7782"/>
    <tableColumn id="8628" xr3:uid="{15B9F075-2E94-47F9-A17B-54D4E5FACEDE}" name="Column8604" dataDxfId="7781"/>
    <tableColumn id="8629" xr3:uid="{EDCE31AE-5293-4658-8D0F-D7CCF968320F}" name="Column8605" dataDxfId="7780"/>
    <tableColumn id="8630" xr3:uid="{C7029F9E-2B33-4135-BFD4-716B0E5792DD}" name="Column8606" dataDxfId="7779"/>
    <tableColumn id="8631" xr3:uid="{78F254D5-6790-4889-A892-941A4E3B35B1}" name="Column8607" dataDxfId="7778"/>
    <tableColumn id="8632" xr3:uid="{16860817-65D5-455B-B5D3-1C5D4BA220D1}" name="Column8608" dataDxfId="7777"/>
    <tableColumn id="8633" xr3:uid="{42C1750D-7663-4E2B-BDBB-CD85121EE6E5}" name="Column8609" dataDxfId="7776"/>
    <tableColumn id="8634" xr3:uid="{4F815ABE-0475-406B-B6FB-23F4E7D6F3AE}" name="Column8610" dataDxfId="7775"/>
    <tableColumn id="8635" xr3:uid="{42FB14E7-5369-4F64-BFB9-F41F9BBF0861}" name="Column8611" dataDxfId="7774"/>
    <tableColumn id="8636" xr3:uid="{1B02216A-8647-42E8-AF43-DDBDB8AC7E7E}" name="Column8612" dataDxfId="7773"/>
    <tableColumn id="8637" xr3:uid="{FE3A4058-96F9-4C46-8EC6-128A96B1B9C0}" name="Column8613" dataDxfId="7772"/>
    <tableColumn id="8638" xr3:uid="{9D4AC81E-50FA-4106-8D99-4E26CFA08DDE}" name="Column8614" dataDxfId="7771"/>
    <tableColumn id="8639" xr3:uid="{B6C3B2A6-9E53-4782-856C-3AC1981EE9FA}" name="Column8615" dataDxfId="7770"/>
    <tableColumn id="8640" xr3:uid="{FC8E93C1-8B48-4EAB-8E37-AFEAC4FE07A4}" name="Column8616" dataDxfId="7769"/>
    <tableColumn id="8641" xr3:uid="{D2F64B3C-5BD1-4250-85BB-0F36DBEBBBA5}" name="Column8617" dataDxfId="7768"/>
    <tableColumn id="8642" xr3:uid="{237FA0F8-F729-48DE-BE43-90FF74DA1704}" name="Column8618" dataDxfId="7767"/>
    <tableColumn id="8643" xr3:uid="{641301DB-6D15-41CD-B5AD-82C4A4BAD454}" name="Column8619" dataDxfId="7766"/>
    <tableColumn id="8644" xr3:uid="{651E78FC-C3CB-4877-91FF-668B515C0B28}" name="Column8620" dataDxfId="7765"/>
    <tableColumn id="8645" xr3:uid="{B28DD3AB-5743-42A8-A17A-CAEE8A1FC16A}" name="Column8621" dataDxfId="7764"/>
    <tableColumn id="8646" xr3:uid="{B95D90C0-532E-40D2-89BB-08FE27DA7467}" name="Column8622" dataDxfId="7763"/>
    <tableColumn id="8647" xr3:uid="{B57F556F-8087-48CB-8BF2-30746767C2F6}" name="Column8623" dataDxfId="7762"/>
    <tableColumn id="8648" xr3:uid="{1C7DAC90-27C4-4F39-9A5F-382264D27A3C}" name="Column8624" dataDxfId="7761"/>
    <tableColumn id="8649" xr3:uid="{E9D71CCD-5BB7-4C15-84ED-A4A98D66C538}" name="Column8625" dataDxfId="7760"/>
    <tableColumn id="8650" xr3:uid="{F090912E-3C61-43EC-805B-9C6F64E142C3}" name="Column8626" dataDxfId="7759"/>
    <tableColumn id="8651" xr3:uid="{3B54FDF6-C145-4BCF-9172-2A9B0D8B28AA}" name="Column8627" dataDxfId="7758"/>
    <tableColumn id="8652" xr3:uid="{8D3AFC9D-CA36-408E-83FF-F6F7B33BE9E4}" name="Column8628" dataDxfId="7757"/>
    <tableColumn id="8653" xr3:uid="{F4C9D30F-6E5B-41DA-B704-2C565EF4C385}" name="Column8629" dataDxfId="7756"/>
    <tableColumn id="8654" xr3:uid="{4D1D1669-4B9F-47BA-9952-67BE9DB870D0}" name="Column8630" dataDxfId="7755"/>
    <tableColumn id="8655" xr3:uid="{BA1F56EC-45E5-4A40-9D6E-83752C283FF4}" name="Column8631" dataDxfId="7754"/>
    <tableColumn id="8656" xr3:uid="{FABCDE77-053D-4C08-BC16-EC2387387C7B}" name="Column8632" dataDxfId="7753"/>
    <tableColumn id="8657" xr3:uid="{5129D960-2E49-41F9-94C3-6BA8B25F36C4}" name="Column8633" dataDxfId="7752"/>
    <tableColumn id="8658" xr3:uid="{D03F8E10-60EE-4B46-BBA7-F313BDD2AD3E}" name="Column8634" dataDxfId="7751"/>
    <tableColumn id="8659" xr3:uid="{C51835D0-D9FB-4262-8B0F-25AD841D6860}" name="Column8635" dataDxfId="7750"/>
    <tableColumn id="8660" xr3:uid="{27D84EF9-0833-4D05-8BBC-C091918C3B25}" name="Column8636" dataDxfId="7749"/>
    <tableColumn id="8661" xr3:uid="{A0DBD468-31CC-4ACB-9057-D354A7DECFE0}" name="Column8637" dataDxfId="7748"/>
    <tableColumn id="8662" xr3:uid="{3C1C50B4-8740-4AE5-A0BA-2A6B22A46EC6}" name="Column8638" dataDxfId="7747"/>
    <tableColumn id="8663" xr3:uid="{5147AF55-4FF5-4967-B0BB-5A6089265C7E}" name="Column8639" dataDxfId="7746"/>
    <tableColumn id="8664" xr3:uid="{EB9B7CE6-838D-4535-927C-D0B5C9943CB0}" name="Column8640" dataDxfId="7745"/>
    <tableColumn id="8665" xr3:uid="{30710289-B58B-4485-969B-736A4F2034DA}" name="Column8641" dataDxfId="7744"/>
    <tableColumn id="8666" xr3:uid="{F590BD17-A044-45B8-AF15-E623844B2B10}" name="Column8642" dataDxfId="7743"/>
    <tableColumn id="8667" xr3:uid="{76D0EAFE-CE14-4F57-877E-A96BAEE28579}" name="Column8643" dataDxfId="7742"/>
    <tableColumn id="8668" xr3:uid="{658B218E-25C2-416E-9D9A-1A496A180CFF}" name="Column8644" dataDxfId="7741"/>
    <tableColumn id="8669" xr3:uid="{193EDFE4-6340-47F3-AC2D-978E844F8CB2}" name="Column8645" dataDxfId="7740"/>
    <tableColumn id="8670" xr3:uid="{AF45E329-A98E-40E0-A19E-B59086EC4036}" name="Column8646" dataDxfId="7739"/>
    <tableColumn id="8671" xr3:uid="{63D4F2C1-3C07-453E-91D8-78756CBF8818}" name="Column8647" dataDxfId="7738"/>
    <tableColumn id="8672" xr3:uid="{CF23A3AA-7DA7-4C80-867E-DC052AA0E272}" name="Column8648" dataDxfId="7737"/>
    <tableColumn id="8673" xr3:uid="{74DBD128-FE86-4C48-9780-389C5854ECEC}" name="Column8649" dataDxfId="7736"/>
    <tableColumn id="8674" xr3:uid="{632FBD8D-299D-418F-871C-B90B2D630AAE}" name="Column8650" dataDxfId="7735"/>
    <tableColumn id="8675" xr3:uid="{5E9A422C-334F-4FBD-BD8B-A3AA9B9AD825}" name="Column8651" dataDxfId="7734"/>
    <tableColumn id="8676" xr3:uid="{D01C01DE-9526-4344-9D92-8FB9F4A6291C}" name="Column8652" dataDxfId="7733"/>
    <tableColumn id="8677" xr3:uid="{A4E512F3-CC2A-47EC-8C9D-2ED6582DF59B}" name="Column8653" dataDxfId="7732"/>
    <tableColumn id="8678" xr3:uid="{642C88DC-2A3C-4EE9-80D8-F5AD7CF035F7}" name="Column8654" dataDxfId="7731"/>
    <tableColumn id="8679" xr3:uid="{1A456B04-8FCA-45C0-A7E3-BBA99BC994C6}" name="Column8655" dataDxfId="7730"/>
    <tableColumn id="8680" xr3:uid="{43F64D4A-F85F-46E8-90A2-0BCF57FB9B73}" name="Column8656" dataDxfId="7729"/>
    <tableColumn id="8681" xr3:uid="{693FA5FF-CF5E-4B48-A008-EA5EE1D175EE}" name="Column8657" dataDxfId="7728"/>
    <tableColumn id="8682" xr3:uid="{74357BF3-3A70-40A2-BC06-C15B5D2ABC35}" name="Column8658" dataDxfId="7727"/>
    <tableColumn id="8683" xr3:uid="{EC277BB9-C825-492D-8302-970F663FFCEA}" name="Column8659" dataDxfId="7726"/>
    <tableColumn id="8684" xr3:uid="{23C027AD-9AC7-468D-B887-23BD11A4BA69}" name="Column8660" dataDxfId="7725"/>
    <tableColumn id="8685" xr3:uid="{4B9CF73C-C57C-404E-8424-005A0B430874}" name="Column8661" dataDxfId="7724"/>
    <tableColumn id="8686" xr3:uid="{D0932C31-CABA-4839-B1EF-11333F6FD862}" name="Column8662" dataDxfId="7723"/>
    <tableColumn id="8687" xr3:uid="{4E11F1C7-C84F-4998-946A-AE5CF047D071}" name="Column8663" dataDxfId="7722"/>
    <tableColumn id="8688" xr3:uid="{B5BAC6AE-1F69-41C5-BFAB-A0D921168958}" name="Column8664" dataDxfId="7721"/>
    <tableColumn id="8689" xr3:uid="{7980EB3E-E93C-4F31-AEFA-EEEA6780D3B5}" name="Column8665" dataDxfId="7720"/>
    <tableColumn id="8690" xr3:uid="{B8CAACF0-B7F3-431E-9F05-279DF8D9DC4E}" name="Column8666" dataDxfId="7719"/>
    <tableColumn id="8691" xr3:uid="{6CA38432-5477-4F36-B9A2-AA523ED74C95}" name="Column8667" dataDxfId="7718"/>
    <tableColumn id="8692" xr3:uid="{3D4C9D20-C4E0-46A5-9950-E49BFDEAAF5C}" name="Column8668" dataDxfId="7717"/>
    <tableColumn id="8693" xr3:uid="{5D9BE1AF-91DA-4ADE-BBE9-2E01A4D94CB4}" name="Column8669" dataDxfId="7716"/>
    <tableColumn id="8694" xr3:uid="{A65AF416-83C0-4850-9A4E-B523E38A2C71}" name="Column8670" dataDxfId="7715"/>
    <tableColumn id="8695" xr3:uid="{A993420D-8B74-404A-AD1D-C8105C9F40D6}" name="Column8671" dataDxfId="7714"/>
    <tableColumn id="8696" xr3:uid="{DE382606-1A39-4458-ACFB-8BCACA0821CE}" name="Column8672" dataDxfId="7713"/>
    <tableColumn id="8697" xr3:uid="{3D2792F5-7D60-4D78-AE0A-801F40DF400C}" name="Column8673" dataDxfId="7712"/>
    <tableColumn id="8698" xr3:uid="{3961F390-6C45-46E2-AE0A-723E3D2EFCE3}" name="Column8674" dataDxfId="7711"/>
    <tableColumn id="8699" xr3:uid="{FF24C01D-D596-4885-BCBC-E6D0B69F8DC5}" name="Column8675" dataDxfId="7710"/>
    <tableColumn id="8700" xr3:uid="{646BA8C5-3721-45EE-8A39-D3B759C5515D}" name="Column8676" dataDxfId="7709"/>
    <tableColumn id="8701" xr3:uid="{6DE45422-98DC-4B87-84AA-A3185B17D981}" name="Column8677" dataDxfId="7708"/>
    <tableColumn id="8702" xr3:uid="{7BBEDCA1-C8C5-464C-BFF8-3E3D530F2812}" name="Column8678" dataDxfId="7707"/>
    <tableColumn id="8703" xr3:uid="{FB18C435-2718-444F-BD00-A9B4E60F998B}" name="Column8679" dataDxfId="7706"/>
    <tableColumn id="8704" xr3:uid="{7C7F743A-0B1D-45FC-9248-E06A455A7D25}" name="Column8680" dataDxfId="7705"/>
    <tableColumn id="8705" xr3:uid="{49206950-3529-4E7C-B87C-5DE9F3121D89}" name="Column8681" dataDxfId="7704"/>
    <tableColumn id="8706" xr3:uid="{BEEE5D60-9AFF-4E44-B5DA-34D4EDBC0B09}" name="Column8682" dataDxfId="7703"/>
    <tableColumn id="8707" xr3:uid="{4428B065-508B-450D-88E1-6A4C7A56AE10}" name="Column8683" dataDxfId="7702"/>
    <tableColumn id="8708" xr3:uid="{4D9519E4-3C8B-43F6-8063-1CD5F685167F}" name="Column8684" dataDxfId="7701"/>
    <tableColumn id="8709" xr3:uid="{480AACF1-2FD7-4FA4-8653-E2D8261A2C9C}" name="Column8685" dataDxfId="7700"/>
    <tableColumn id="8710" xr3:uid="{BFDDD3DE-00FB-4887-93FC-9BCC016473CE}" name="Column8686" dataDxfId="7699"/>
    <tableColumn id="8711" xr3:uid="{2EC2906E-FC51-4CE4-B7FF-6F2000EC1DB8}" name="Column8687" dataDxfId="7698"/>
    <tableColumn id="8712" xr3:uid="{14086EAC-1734-4DCA-BCE0-05E36BECA03B}" name="Column8688" dataDxfId="7697"/>
    <tableColumn id="8713" xr3:uid="{39CB925A-E9FF-4D6B-A48E-5D03CAE7A8D9}" name="Column8689" dataDxfId="7696"/>
    <tableColumn id="8714" xr3:uid="{ECB4CA52-9029-4045-9A09-0DF91D9E6E92}" name="Column8690" dataDxfId="7695"/>
    <tableColumn id="8715" xr3:uid="{AC85335B-EC96-497E-A3BD-A5BFC8B89352}" name="Column8691" dataDxfId="7694"/>
    <tableColumn id="8716" xr3:uid="{885A73A7-8F3A-41AB-BF61-53088694956E}" name="Column8692" dataDxfId="7693"/>
    <tableColumn id="8717" xr3:uid="{B684E866-5465-46CB-8826-04B8F76FC779}" name="Column8693" dataDxfId="7692"/>
    <tableColumn id="8718" xr3:uid="{E637FF1A-91CC-4565-A5AB-6611C650592E}" name="Column8694" dataDxfId="7691"/>
    <tableColumn id="8719" xr3:uid="{F685E876-7741-4EA7-A356-D7CF8F02FDEA}" name="Column8695" dataDxfId="7690"/>
    <tableColumn id="8720" xr3:uid="{4CCE750C-BAC6-4855-AC92-B36E935A7089}" name="Column8696" dataDxfId="7689"/>
    <tableColumn id="8721" xr3:uid="{C1AC5EB3-C835-457E-9BB3-5593F824A4B3}" name="Column8697" dataDxfId="7688"/>
    <tableColumn id="8722" xr3:uid="{C025A061-8B43-4359-BEEE-142EEE764D51}" name="Column8698" dataDxfId="7687"/>
    <tableColumn id="8723" xr3:uid="{6B0B8D0F-FA21-4B21-A0A9-D3BEE20E5ADB}" name="Column8699" dataDxfId="7686"/>
    <tableColumn id="8724" xr3:uid="{DB5DC605-C2CF-4EDF-8342-E79CEECD5C63}" name="Column8700" dataDxfId="7685"/>
    <tableColumn id="8725" xr3:uid="{DB078791-90D1-439D-BA73-33B7F73F872E}" name="Column8701" dataDxfId="7684"/>
    <tableColumn id="8726" xr3:uid="{9E4D334E-C4A2-4E87-B2FB-7060D530CF1E}" name="Column8702" dataDxfId="7683"/>
    <tableColumn id="8727" xr3:uid="{A05FFF21-1BE2-4BA9-AF43-02A7A207ABA1}" name="Column8703" dataDxfId="7682"/>
    <tableColumn id="8728" xr3:uid="{0B317399-EB6C-443A-B8C9-B92A6F606D84}" name="Column8704" dataDxfId="7681"/>
    <tableColumn id="8729" xr3:uid="{76FDD3F7-B5C7-4D0C-8403-6B673A81B1E9}" name="Column8705" dataDxfId="7680"/>
    <tableColumn id="8730" xr3:uid="{81C3B380-D847-498A-9ED3-F8C5122E671E}" name="Column8706" dataDxfId="7679"/>
    <tableColumn id="8731" xr3:uid="{31827E70-A17B-4E54-B23F-9A817AC82394}" name="Column8707" dataDxfId="7678"/>
    <tableColumn id="8732" xr3:uid="{F48C928A-9373-4E61-A12D-6EF5280D7D77}" name="Column8708" dataDxfId="7677"/>
    <tableColumn id="8733" xr3:uid="{D4D9A6FD-ECF2-4ABC-B02E-7B0822F1A51D}" name="Column8709" dataDxfId="7676"/>
    <tableColumn id="8734" xr3:uid="{994118F9-F646-4B02-8713-026A93C7306E}" name="Column8710" dataDxfId="7675"/>
    <tableColumn id="8735" xr3:uid="{D660BBA9-D7C9-4E01-8DFD-AF81DC66AEA5}" name="Column8711" dataDxfId="7674"/>
    <tableColumn id="8736" xr3:uid="{45847A3F-9D77-4681-8035-AD3263D5A5D7}" name="Column8712" dataDxfId="7673"/>
    <tableColumn id="8737" xr3:uid="{AC3FDEB8-9EC2-43AB-8369-E7F7081E59E3}" name="Column8713" dataDxfId="7672"/>
    <tableColumn id="8738" xr3:uid="{C4B48D61-93AD-4473-AF51-057129C7F392}" name="Column8714" dataDxfId="7671"/>
    <tableColumn id="8739" xr3:uid="{D38A059F-F65C-415A-A618-98A4F436F402}" name="Column8715" dataDxfId="7670"/>
    <tableColumn id="8740" xr3:uid="{53743B50-BD3A-45DD-86C1-B6D32821696D}" name="Column8716" dataDxfId="7669"/>
    <tableColumn id="8741" xr3:uid="{A10BAA11-6069-4B28-95F4-3898EDB40DC7}" name="Column8717" dataDxfId="7668"/>
    <tableColumn id="8742" xr3:uid="{D9BA83E2-79B6-4770-ABED-49EED2D82363}" name="Column8718" dataDxfId="7667"/>
    <tableColumn id="8743" xr3:uid="{16046155-D985-436F-8940-B0903CF22655}" name="Column8719" dataDxfId="7666"/>
    <tableColumn id="8744" xr3:uid="{243D03FA-D0B5-4E5B-AEC5-C79A6F211B1B}" name="Column8720" dataDxfId="7665"/>
    <tableColumn id="8745" xr3:uid="{C2892304-2C8C-48E4-BA7B-A0DCF8060D37}" name="Column8721" dataDxfId="7664"/>
    <tableColumn id="8746" xr3:uid="{9CD73BE1-0F27-47BC-891F-554B2A3705B2}" name="Column8722" dataDxfId="7663"/>
    <tableColumn id="8747" xr3:uid="{52FDAD23-84C6-456E-8FC2-34D3F1806D34}" name="Column8723" dataDxfId="7662"/>
    <tableColumn id="8748" xr3:uid="{E95F3281-4753-428B-9F31-23A358269439}" name="Column8724" dataDxfId="7661"/>
    <tableColumn id="8749" xr3:uid="{90880FB6-A9BE-40CB-B9D5-2B65A023436E}" name="Column8725" dataDxfId="7660"/>
    <tableColumn id="8750" xr3:uid="{34E41937-66EA-43EB-B20F-062EBAF9F7FB}" name="Column8726" dataDxfId="7659"/>
    <tableColumn id="8751" xr3:uid="{1122B0B8-9E56-4676-86D4-BF94C5D79076}" name="Column8727" dataDxfId="7658"/>
    <tableColumn id="8752" xr3:uid="{684E5C60-A0DD-4423-B446-0E2A83F96428}" name="Column8728" dataDxfId="7657"/>
    <tableColumn id="8753" xr3:uid="{0BB7CC01-AF18-4E4D-BC9C-DD0C3848AB22}" name="Column8729" dataDxfId="7656"/>
    <tableColumn id="8754" xr3:uid="{F45820A1-B2BB-4E00-B5DB-CFDD737BD176}" name="Column8730" dataDxfId="7655"/>
    <tableColumn id="8755" xr3:uid="{3036EE90-B684-4BAD-8651-78BFB365D583}" name="Column8731" dataDxfId="7654"/>
    <tableColumn id="8756" xr3:uid="{FB3B932F-C0FA-4DA4-9F26-4541C569BC88}" name="Column8732" dataDxfId="7653"/>
    <tableColumn id="8757" xr3:uid="{BFEBB161-60D6-4250-9B11-386772939C59}" name="Column8733" dataDxfId="7652"/>
    <tableColumn id="8758" xr3:uid="{393E2CF0-7FEB-4E5B-9716-B3318C2CB116}" name="Column8734" dataDxfId="7651"/>
    <tableColumn id="8759" xr3:uid="{BBA3698B-42FB-4A36-982E-27EA68E26915}" name="Column8735" dataDxfId="7650"/>
    <tableColumn id="8760" xr3:uid="{00770988-F418-4286-9312-C94E37E2286C}" name="Column8736" dataDxfId="7649"/>
    <tableColumn id="8761" xr3:uid="{0B58897B-26EE-4A07-ADDC-13CA160EE168}" name="Column8737" dataDxfId="7648"/>
    <tableColumn id="8762" xr3:uid="{3B18FA4F-3CAC-4C10-88A7-41C6D0D09F3A}" name="Column8738" dataDxfId="7647"/>
    <tableColumn id="8763" xr3:uid="{CCEDFC32-7B3F-4B50-AD3B-7D9FB492C8B6}" name="Column8739" dataDxfId="7646"/>
    <tableColumn id="8764" xr3:uid="{A5B12787-3CD3-4B2A-A0BF-0686038DE623}" name="Column8740" dataDxfId="7645"/>
    <tableColumn id="8765" xr3:uid="{594E6130-7B9F-48D3-8579-91264F2CB8EE}" name="Column8741" dataDxfId="7644"/>
    <tableColumn id="8766" xr3:uid="{8B2F4F1E-994C-4E2B-BEB5-0EBC88F10451}" name="Column8742" dataDxfId="7643"/>
    <tableColumn id="8767" xr3:uid="{6280B904-4913-4AC2-AEC1-CAF30D29FB8D}" name="Column8743" dataDxfId="7642"/>
    <tableColumn id="8768" xr3:uid="{CD57D123-19B1-4BA5-802B-712DDFEC62A5}" name="Column8744" dataDxfId="7641"/>
    <tableColumn id="8769" xr3:uid="{2B94386B-C049-4AD5-B941-1F9438764CE9}" name="Column8745" dataDxfId="7640"/>
    <tableColumn id="8770" xr3:uid="{24D86F35-38D9-4D52-B623-0C3304D15CDB}" name="Column8746" dataDxfId="7639"/>
    <tableColumn id="8771" xr3:uid="{10F59BE6-B590-47EF-9452-B4093BDAA94B}" name="Column8747" dataDxfId="7638"/>
    <tableColumn id="8772" xr3:uid="{EB5B3E1D-48C8-48A2-832B-92AC664B0140}" name="Column8748" dataDxfId="7637"/>
    <tableColumn id="8773" xr3:uid="{4907D7FA-CC18-4156-A290-4D4BE29E22A9}" name="Column8749" dataDxfId="7636"/>
    <tableColumn id="8774" xr3:uid="{4D7DAB35-6BCA-4266-A311-10518C23803D}" name="Column8750" dataDxfId="7635"/>
    <tableColumn id="8775" xr3:uid="{B7DEE5F7-F991-4D86-BCC9-0DC67F029773}" name="Column8751" dataDxfId="7634"/>
    <tableColumn id="8776" xr3:uid="{CB39F733-1ABC-4121-8C00-F0B4DB0332AC}" name="Column8752" dataDxfId="7633"/>
    <tableColumn id="8777" xr3:uid="{70F0593F-A95A-4F9F-959C-7F91268938B6}" name="Column8753" dataDxfId="7632"/>
    <tableColumn id="8778" xr3:uid="{7C989541-5A47-41DC-91C1-A652B99CD896}" name="Column8754" dataDxfId="7631"/>
    <tableColumn id="8779" xr3:uid="{071FE0D0-9133-4E14-A8AB-DF7C5BF03E60}" name="Column8755" dataDxfId="7630"/>
    <tableColumn id="8780" xr3:uid="{F545F691-9441-4B32-8A89-5A2310087282}" name="Column8756" dataDxfId="7629"/>
    <tableColumn id="8781" xr3:uid="{EE5F3BA1-0B8E-4C85-BBFF-A4DD5BB2FD25}" name="Column8757" dataDxfId="7628"/>
    <tableColumn id="8782" xr3:uid="{0ADF866A-9F53-4B8D-871C-0FB81BBC336B}" name="Column8758" dataDxfId="7627"/>
    <tableColumn id="8783" xr3:uid="{5E0638FA-1F4E-4CA5-B71C-3C0ED1475B91}" name="Column8759" dataDxfId="7626"/>
    <tableColumn id="8784" xr3:uid="{C49E5EFC-3E37-49F9-AEEA-279A533C4974}" name="Column8760" dataDxfId="7625"/>
    <tableColumn id="8785" xr3:uid="{E542D87D-06CD-447D-80DB-F81A880640CD}" name="Column8761" dataDxfId="7624"/>
    <tableColumn id="8786" xr3:uid="{095BD641-5DC4-4A76-8AC1-DFF010851757}" name="Column8762" dataDxfId="7623"/>
    <tableColumn id="8787" xr3:uid="{3B88D97B-B474-4561-8E7E-FC2EA2E4CFD6}" name="Column8763" dataDxfId="7622"/>
    <tableColumn id="8788" xr3:uid="{2A735678-910D-4489-85C0-7686E891E7E1}" name="Column8764" dataDxfId="7621"/>
    <tableColumn id="8789" xr3:uid="{061DBEC8-630C-4A91-9370-78C2CF3B356C}" name="Column8765" dataDxfId="7620"/>
    <tableColumn id="8790" xr3:uid="{0CEF23BB-DA66-420E-BB13-575EC4EB4EB3}" name="Column8766" dataDxfId="7619"/>
    <tableColumn id="8791" xr3:uid="{EF5A97BD-285F-4C9F-A52C-01F4D29CB22A}" name="Column8767" dataDxfId="7618"/>
    <tableColumn id="8792" xr3:uid="{891BF6CA-BABF-4304-B6F9-72A5E00CFEF4}" name="Column8768" dataDxfId="7617"/>
    <tableColumn id="8793" xr3:uid="{EB96AE18-3B4B-4862-83F5-E37846E34EB9}" name="Column8769" dataDxfId="7616"/>
    <tableColumn id="8794" xr3:uid="{499CA2EF-C9B1-4579-9CA8-742A52FA38F9}" name="Column8770" dataDxfId="7615"/>
    <tableColumn id="8795" xr3:uid="{15DCC931-2F14-464A-B712-A154C347FE31}" name="Column8771" dataDxfId="7614"/>
    <tableColumn id="8796" xr3:uid="{BD4125F3-E261-43D5-92EF-7A151E1705CE}" name="Column8772" dataDxfId="7613"/>
    <tableColumn id="8797" xr3:uid="{6AD11F4F-8275-4F12-9DBE-AE1CF4F5B377}" name="Column8773" dataDxfId="7612"/>
    <tableColumn id="8798" xr3:uid="{6DA4F172-CA8D-4669-9D4D-C2EBA963292D}" name="Column8774" dataDxfId="7611"/>
    <tableColumn id="8799" xr3:uid="{2112C061-7651-48C8-9461-17992FCB4166}" name="Column8775" dataDxfId="7610"/>
    <tableColumn id="8800" xr3:uid="{3C4AB482-0248-4676-B18E-C19270286677}" name="Column8776" dataDxfId="7609"/>
    <tableColumn id="8801" xr3:uid="{41BF8429-C054-4C67-A871-21577C5937B8}" name="Column8777" dataDxfId="7608"/>
    <tableColumn id="8802" xr3:uid="{51BD03E9-7283-40D9-B7D1-25FC837DAF7F}" name="Column8778" dataDxfId="7607"/>
    <tableColumn id="8803" xr3:uid="{D6A4F3F2-6C4E-403B-8621-5EFC563F10B9}" name="Column8779" dataDxfId="7606"/>
    <tableColumn id="8804" xr3:uid="{55B592E6-0EE8-482C-8A99-1040BB66E852}" name="Column8780" dataDxfId="7605"/>
    <tableColumn id="8805" xr3:uid="{DD8BB28A-F4BB-4A57-BD59-218630649939}" name="Column8781" dataDxfId="7604"/>
    <tableColumn id="8806" xr3:uid="{ABE29E49-85EF-4DDE-B057-D5E248290530}" name="Column8782" dataDxfId="7603"/>
    <tableColumn id="8807" xr3:uid="{C9D2D47B-58E9-4E36-ADEB-90BC4515F3F9}" name="Column8783" dataDxfId="7602"/>
    <tableColumn id="8808" xr3:uid="{12DF7D4D-3641-416B-82EB-EE102623D92A}" name="Column8784" dataDxfId="7601"/>
    <tableColumn id="8809" xr3:uid="{3695A39E-F13A-4BF6-99C6-169B0997719E}" name="Column8785" dataDxfId="7600"/>
    <tableColumn id="8810" xr3:uid="{ACAE5C00-1621-41F6-9B4A-974E5CC8ADF2}" name="Column8786" dataDxfId="7599"/>
    <tableColumn id="8811" xr3:uid="{693DB842-F7A2-4A21-941C-86779692C015}" name="Column8787" dataDxfId="7598"/>
    <tableColumn id="8812" xr3:uid="{6B8D16AA-93EA-4820-90BD-16B55B0D9513}" name="Column8788" dataDxfId="7597"/>
    <tableColumn id="8813" xr3:uid="{829FD91C-38D4-4B0C-AE43-2414273A0103}" name="Column8789" dataDxfId="7596"/>
    <tableColumn id="8814" xr3:uid="{61D63812-DFF2-4D52-AEF2-3A2792287FE6}" name="Column8790" dataDxfId="7595"/>
    <tableColumn id="8815" xr3:uid="{E0BEF0FE-DEE8-4519-8C67-21777B56B8C4}" name="Column8791" dataDxfId="7594"/>
    <tableColumn id="8816" xr3:uid="{BCA0590F-EBEF-4B34-B236-CC3278832A3A}" name="Column8792" dataDxfId="7593"/>
    <tableColumn id="8817" xr3:uid="{BB527992-1FF4-4C8A-B33C-F7DAB4D733F1}" name="Column8793" dataDxfId="7592"/>
    <tableColumn id="8818" xr3:uid="{A835B8D1-727B-4DC9-8777-5BD7849C0942}" name="Column8794" dataDxfId="7591"/>
    <tableColumn id="8819" xr3:uid="{EF18F296-6B44-4C0F-969D-BEC68C1B72EA}" name="Column8795" dataDxfId="7590"/>
    <tableColumn id="8820" xr3:uid="{6C996AD0-A782-4C91-82C5-916B57E04E10}" name="Column8796" dataDxfId="7589"/>
    <tableColumn id="8821" xr3:uid="{DE5C6424-74FF-4038-84FE-A4203BF1FA87}" name="Column8797" dataDxfId="7588"/>
    <tableColumn id="8822" xr3:uid="{0738B47C-AE64-4826-9FA6-F1F56B7839A1}" name="Column8798" dataDxfId="7587"/>
    <tableColumn id="8823" xr3:uid="{B13463F7-140A-4B6E-A6C8-2CED2F11F61D}" name="Column8799" dataDxfId="7586"/>
    <tableColumn id="8824" xr3:uid="{CDF3DB9F-0978-4D1C-BDFC-916E4A63FEB6}" name="Column8800" dataDxfId="7585"/>
    <tableColumn id="8825" xr3:uid="{1F11C222-DF96-464F-AA81-70FC0578E727}" name="Column8801" dataDxfId="7584"/>
    <tableColumn id="8826" xr3:uid="{5431F8EA-A6B2-4A4B-A37B-76E49D5F5E4C}" name="Column8802" dataDxfId="7583"/>
    <tableColumn id="8827" xr3:uid="{8D8ADE2A-561F-4901-9E10-E92E1FA1107E}" name="Column8803" dataDxfId="7582"/>
    <tableColumn id="8828" xr3:uid="{06A4B1AB-8D81-4AAF-A4B4-FA0B03F510FE}" name="Column8804" dataDxfId="7581"/>
    <tableColumn id="8829" xr3:uid="{53C0816A-7A54-4FE9-8BBA-D53487F99B2B}" name="Column8805" dataDxfId="7580"/>
    <tableColumn id="8830" xr3:uid="{A6781434-11EF-4D35-86A8-7D86972EC96F}" name="Column8806" dataDxfId="7579"/>
    <tableColumn id="8831" xr3:uid="{F095A053-0C40-4AA2-ABEE-CEF66223FBCD}" name="Column8807" dataDxfId="7578"/>
    <tableColumn id="8832" xr3:uid="{FFA9BF38-15C9-4455-8E92-D14147A8527B}" name="Column8808" dataDxfId="7577"/>
    <tableColumn id="8833" xr3:uid="{7E14B5CA-638B-48EB-9377-717135F5A21C}" name="Column8809" dataDxfId="7576"/>
    <tableColumn id="8834" xr3:uid="{029F504A-4B5D-4076-9BDB-F7504EC81CC4}" name="Column8810" dataDxfId="7575"/>
    <tableColumn id="8835" xr3:uid="{D66A9454-B573-44FD-BD7A-ACFC35DED486}" name="Column8811" dataDxfId="7574"/>
    <tableColumn id="8836" xr3:uid="{A0CC9F36-9629-458B-9413-3E84F5B9134F}" name="Column8812" dataDxfId="7573"/>
    <tableColumn id="8837" xr3:uid="{A9B8E239-D492-4A2B-A155-55767853DEE2}" name="Column8813" dataDxfId="7572"/>
    <tableColumn id="8838" xr3:uid="{E80FCF5F-0D14-43F7-A176-5FE2C668AF24}" name="Column8814" dataDxfId="7571"/>
    <tableColumn id="8839" xr3:uid="{BD9C2165-017C-4592-BB22-91A9802E239B}" name="Column8815" dataDxfId="7570"/>
    <tableColumn id="8840" xr3:uid="{E547BE34-7C4D-48B9-9EC0-D9801E654A93}" name="Column8816" dataDxfId="7569"/>
    <tableColumn id="8841" xr3:uid="{D3AE01CC-0CA3-4457-9C1D-843915864CAE}" name="Column8817" dataDxfId="7568"/>
    <tableColumn id="8842" xr3:uid="{43D8731B-0E17-417D-ACF6-D81DBC785F31}" name="Column8818" dataDxfId="7567"/>
    <tableColumn id="8843" xr3:uid="{DD96E758-178E-43D1-B419-0C4EC1990F8A}" name="Column8819" dataDxfId="7566"/>
    <tableColumn id="8844" xr3:uid="{93780092-9015-4432-969A-1BB6F711B3A3}" name="Column8820" dataDxfId="7565"/>
    <tableColumn id="8845" xr3:uid="{87408F4F-9F65-454C-9546-83FB69CA46F6}" name="Column8821" dataDxfId="7564"/>
    <tableColumn id="8846" xr3:uid="{A2D99FBC-4386-4BCD-8A9D-B49AE4A082BF}" name="Column8822" dataDxfId="7563"/>
    <tableColumn id="8847" xr3:uid="{789C52C6-A3BE-41CB-8BE1-F44E70951CC9}" name="Column8823" dataDxfId="7562"/>
    <tableColumn id="8848" xr3:uid="{992EBD79-175D-4AB7-8D85-B96962CBDDE0}" name="Column8824" dataDxfId="7561"/>
    <tableColumn id="8849" xr3:uid="{A2D86425-6F3B-4E0E-9FFB-A79D7CD7D164}" name="Column8825" dataDxfId="7560"/>
    <tableColumn id="8850" xr3:uid="{E9FACCC8-0812-4A24-81F7-1C585F50AF76}" name="Column8826" dataDxfId="7559"/>
    <tableColumn id="8851" xr3:uid="{DE0E50D1-0C28-4BCA-A0BD-76B0694875FA}" name="Column8827" dataDxfId="7558"/>
    <tableColumn id="8852" xr3:uid="{E678F0CD-917C-47A2-BDCE-5637B2622C08}" name="Column8828" dataDxfId="7557"/>
    <tableColumn id="8853" xr3:uid="{ADCC6431-15F8-4A55-92A7-097003847FE9}" name="Column8829" dataDxfId="7556"/>
    <tableColumn id="8854" xr3:uid="{691EE090-897F-46CA-9A35-59D9AE52B5A9}" name="Column8830" dataDxfId="7555"/>
    <tableColumn id="8855" xr3:uid="{C62B8A6C-7467-43C0-8DC4-EF6599B8DF62}" name="Column8831" dataDxfId="7554"/>
    <tableColumn id="8856" xr3:uid="{DF0505C6-1566-4BF3-8133-A351DCAF3192}" name="Column8832" dataDxfId="7553"/>
    <tableColumn id="8857" xr3:uid="{83D8A3F2-8219-44F2-AF3E-48ED5BBC3CC0}" name="Column8833" dataDxfId="7552"/>
    <tableColumn id="8858" xr3:uid="{96A9AD6C-A63B-49BA-A7C6-C418759D743A}" name="Column8834" dataDxfId="7551"/>
    <tableColumn id="8859" xr3:uid="{07FB6A26-DEE0-4160-BB45-936324C44D02}" name="Column8835" dataDxfId="7550"/>
    <tableColumn id="8860" xr3:uid="{C9EDE1FD-F7CA-4B6E-AA6C-E04A1556D8A0}" name="Column8836" dataDxfId="7549"/>
    <tableColumn id="8861" xr3:uid="{354CF5FF-D56F-4F4A-8B9A-E1DD0BA1857E}" name="Column8837" dataDxfId="7548"/>
    <tableColumn id="8862" xr3:uid="{FF98F3E5-752E-4FF4-B206-C8DB8E39EC14}" name="Column8838" dataDxfId="7547"/>
    <tableColumn id="8863" xr3:uid="{96F31C87-F689-45A1-8CB6-B8F94CBD0801}" name="Column8839" dataDxfId="7546"/>
    <tableColumn id="8864" xr3:uid="{EE864655-AF76-41E9-9DF1-A433C8D0AACA}" name="Column8840" dataDxfId="7545"/>
    <tableColumn id="8865" xr3:uid="{33B17B2C-E1B0-48C0-AD28-B06EE3AC5574}" name="Column8841" dataDxfId="7544"/>
    <tableColumn id="8866" xr3:uid="{0743204A-2AAA-46D4-B415-A5388036B1BE}" name="Column8842" dataDxfId="7543"/>
    <tableColumn id="8867" xr3:uid="{5BBFF0C9-2349-4396-9F03-726C0C9E4E53}" name="Column8843" dataDxfId="7542"/>
    <tableColumn id="8868" xr3:uid="{FD17957A-DF07-46DB-946D-C4AFFA4624E4}" name="Column8844" dataDxfId="7541"/>
    <tableColumn id="8869" xr3:uid="{0813D831-E84F-48F4-AD47-5EDF40F8B993}" name="Column8845" dataDxfId="7540"/>
    <tableColumn id="8870" xr3:uid="{03BE5B03-8AEB-434C-9FC6-1856B17116EB}" name="Column8846" dataDxfId="7539"/>
    <tableColumn id="8871" xr3:uid="{8F97130F-0364-4FCB-B2DB-E26E37999E34}" name="Column8847" dataDxfId="7538"/>
    <tableColumn id="8872" xr3:uid="{3F4368FF-337C-4BEF-B6D8-3FE5487D070C}" name="Column8848" dataDxfId="7537"/>
    <tableColumn id="8873" xr3:uid="{3FEDC447-65AD-48BB-9413-5A18F06BE946}" name="Column8849" dataDxfId="7536"/>
    <tableColumn id="8874" xr3:uid="{3CC83A92-B000-4E99-85D1-A7738D1233AB}" name="Column8850" dataDxfId="7535"/>
    <tableColumn id="8875" xr3:uid="{BCED0895-40AE-48E3-A708-29B085291ED4}" name="Column8851" dataDxfId="7534"/>
    <tableColumn id="8876" xr3:uid="{8E38B2B0-2CBE-46DD-B60B-0B302759B7B5}" name="Column8852" dataDxfId="7533"/>
    <tableColumn id="8877" xr3:uid="{F46B8D9B-0706-4FF3-8371-4888032C394A}" name="Column8853" dataDxfId="7532"/>
    <tableColumn id="8878" xr3:uid="{61CBCD84-383B-47C1-814D-FC29C195A050}" name="Column8854" dataDxfId="7531"/>
    <tableColumn id="8879" xr3:uid="{46CF5DD8-D60A-46C1-BEFE-B943D89954ED}" name="Column8855" dataDxfId="7530"/>
    <tableColumn id="8880" xr3:uid="{1C4BEAD8-8F2D-41D9-A559-841B5FAF189C}" name="Column8856" dataDxfId="7529"/>
    <tableColumn id="8881" xr3:uid="{096F912B-B605-4F02-AB45-412616CDE7C9}" name="Column8857" dataDxfId="7528"/>
    <tableColumn id="8882" xr3:uid="{B5A5C028-9CB8-41C3-8579-25C80712216A}" name="Column8858" dataDxfId="7527"/>
    <tableColumn id="8883" xr3:uid="{DDB22092-8214-4BCD-BBA6-B28EF0D97B29}" name="Column8859" dataDxfId="7526"/>
    <tableColumn id="8884" xr3:uid="{060F4848-907C-41BD-A4B6-39D88FA4F2CE}" name="Column8860" dataDxfId="7525"/>
    <tableColumn id="8885" xr3:uid="{A5C43185-4819-4B98-A428-B6229266CB1E}" name="Column8861" dataDxfId="7524"/>
    <tableColumn id="8886" xr3:uid="{44269B1A-6DCE-4658-BB10-E93862696498}" name="Column8862" dataDxfId="7523"/>
    <tableColumn id="8887" xr3:uid="{403E2647-64A8-464C-A4D9-09881191E142}" name="Column8863" dataDxfId="7522"/>
    <tableColumn id="8888" xr3:uid="{CDB6B8BE-4089-4549-B4B6-EA8D4EC0301E}" name="Column8864" dataDxfId="7521"/>
    <tableColumn id="8889" xr3:uid="{D7142956-D303-4E54-8915-FE1789E82192}" name="Column8865" dataDxfId="7520"/>
    <tableColumn id="8890" xr3:uid="{6C080EE8-F0FC-41C8-B5AD-A1530F7C9A26}" name="Column8866" dataDxfId="7519"/>
    <tableColumn id="8891" xr3:uid="{767C9999-6875-4199-83DF-35B1F45DE27B}" name="Column8867" dataDxfId="7518"/>
    <tableColumn id="8892" xr3:uid="{9692DC10-F8E0-44C9-B953-38AC1FB820CD}" name="Column8868" dataDxfId="7517"/>
    <tableColumn id="8893" xr3:uid="{BFD547F6-6BC4-48F9-8D39-07A526C251EF}" name="Column8869" dataDxfId="7516"/>
    <tableColumn id="8894" xr3:uid="{46F985A8-B43B-448A-BBC4-1705BE1F9D70}" name="Column8870" dataDxfId="7515"/>
    <tableColumn id="8895" xr3:uid="{192FC403-8B83-48BF-A3E3-3D2F44CFFB4F}" name="Column8871" dataDxfId="7514"/>
    <tableColumn id="8896" xr3:uid="{721AFF3A-5D8F-4611-B181-39ADF646D5CA}" name="Column8872" dataDxfId="7513"/>
    <tableColumn id="8897" xr3:uid="{EF9C5456-EE1F-421E-AAA7-775340038D29}" name="Column8873" dataDxfId="7512"/>
    <tableColumn id="8898" xr3:uid="{DEDE2F63-580B-4C9A-926B-327847794B62}" name="Column8874" dataDxfId="7511"/>
    <tableColumn id="8899" xr3:uid="{738E558C-EE34-4DBE-9055-532ECF3A83DF}" name="Column8875" dataDxfId="7510"/>
    <tableColumn id="8900" xr3:uid="{7CE9AA3A-387D-4760-A42C-A64C104FF76F}" name="Column8876" dataDxfId="7509"/>
    <tableColumn id="8901" xr3:uid="{D1C5D2DA-60C1-45BE-B68A-0083B304F504}" name="Column8877" dataDxfId="7508"/>
    <tableColumn id="8902" xr3:uid="{66F0007C-0C67-45E4-BDBA-8397CF9B62DE}" name="Column8878" dataDxfId="7507"/>
    <tableColumn id="8903" xr3:uid="{4C4CB559-21E9-42CB-8BBA-27DA0E64A45B}" name="Column8879" dataDxfId="7506"/>
    <tableColumn id="8904" xr3:uid="{8CDCB171-F9AC-42B6-94A9-C7017042F85B}" name="Column8880" dataDxfId="7505"/>
    <tableColumn id="8905" xr3:uid="{3FD8A1CE-B265-4C65-B0B6-4EDE990D0A09}" name="Column8881" dataDxfId="7504"/>
    <tableColumn id="8906" xr3:uid="{2878E1C2-0AD3-4730-BB7B-9FB338E9A599}" name="Column8882" dataDxfId="7503"/>
    <tableColumn id="8907" xr3:uid="{E3958114-B25D-4088-91FB-54EA9C374A49}" name="Column8883" dataDxfId="7502"/>
    <tableColumn id="8908" xr3:uid="{8D36C80C-D0C2-4753-8CD7-3DFB87A283FD}" name="Column8884" dataDxfId="7501"/>
    <tableColumn id="8909" xr3:uid="{303FEA37-D099-4F49-A892-E37FAEAB61DD}" name="Column8885" dataDxfId="7500"/>
    <tableColumn id="8910" xr3:uid="{91D38842-6740-4F23-AA20-17B508E50AD1}" name="Column8886" dataDxfId="7499"/>
    <tableColumn id="8911" xr3:uid="{1BECEF8B-F214-44EA-A567-95479E9C1535}" name="Column8887" dataDxfId="7498"/>
    <tableColumn id="8912" xr3:uid="{A784793A-CEFE-4482-897D-38B9E2E5A652}" name="Column8888" dataDxfId="7497"/>
    <tableColumn id="8913" xr3:uid="{CE527734-D195-40EA-B44B-6F91A9139DB5}" name="Column8889" dataDxfId="7496"/>
    <tableColumn id="8914" xr3:uid="{4940A1A0-BA45-411D-8C46-812DEC2DF8C0}" name="Column8890" dataDxfId="7495"/>
    <tableColumn id="8915" xr3:uid="{2717DD50-8D9D-4967-BC0E-3235197057E4}" name="Column8891" dataDxfId="7494"/>
    <tableColumn id="8916" xr3:uid="{8913F3F7-4FD6-474F-89DE-849B88824EC3}" name="Column8892" dataDxfId="7493"/>
    <tableColumn id="8917" xr3:uid="{DBEAD7C3-0FE2-4E18-AC4C-BEF59813F959}" name="Column8893" dataDxfId="7492"/>
    <tableColumn id="8918" xr3:uid="{3A7C7A88-90E4-4AC5-A7FE-2B4BC21EB485}" name="Column8894" dataDxfId="7491"/>
    <tableColumn id="8919" xr3:uid="{7A0E29F2-6E15-4CF8-801D-217CCE5BAF94}" name="Column8895" dataDxfId="7490"/>
    <tableColumn id="8920" xr3:uid="{52628B6D-D817-409E-AD83-E9A9C745B402}" name="Column8896" dataDxfId="7489"/>
    <tableColumn id="8921" xr3:uid="{B0709A0C-EC6D-43B3-A873-91572E5434C8}" name="Column8897" dataDxfId="7488"/>
    <tableColumn id="8922" xr3:uid="{7A2E7DFB-F845-41CC-BB09-51051DE8874E}" name="Column8898" dataDxfId="7487"/>
    <tableColumn id="8923" xr3:uid="{736A2102-A518-4F57-9E46-14DD311AA0A3}" name="Column8899" dataDxfId="7486"/>
    <tableColumn id="8924" xr3:uid="{27601229-444B-43A6-AA70-F4B31FCB0BC4}" name="Column8900" dataDxfId="7485"/>
    <tableColumn id="8925" xr3:uid="{581E001B-D80C-4BA1-8A7D-C8AA7460E909}" name="Column8901" dataDxfId="7484"/>
    <tableColumn id="8926" xr3:uid="{265385C2-F846-4E1F-AE38-096686D95840}" name="Column8902" dataDxfId="7483"/>
    <tableColumn id="8927" xr3:uid="{F0D5F114-41B9-4C19-ABB3-B3953ADB558E}" name="Column8903" dataDxfId="7482"/>
    <tableColumn id="8928" xr3:uid="{7180E0B5-7E76-46E8-A463-C4B2F6758B4B}" name="Column8904" dataDxfId="7481"/>
    <tableColumn id="8929" xr3:uid="{16135E0B-3599-405D-A4EE-21D023B342EF}" name="Column8905" dataDxfId="7480"/>
    <tableColumn id="8930" xr3:uid="{DFFEB21C-9B74-4C6F-ABF4-F3308484A2E7}" name="Column8906" dataDxfId="7479"/>
    <tableColumn id="8931" xr3:uid="{41C39A62-2A1C-4A89-B772-4FDA9BABB3EB}" name="Column8907" dataDxfId="7478"/>
    <tableColumn id="8932" xr3:uid="{9EBEA806-8280-4BF1-9A5B-451CEAB86370}" name="Column8908" dataDxfId="7477"/>
    <tableColumn id="8933" xr3:uid="{95B3C40B-3FA7-4B81-8216-B14DF1E08429}" name="Column8909" dataDxfId="7476"/>
    <tableColumn id="8934" xr3:uid="{AADCD6A4-C2D5-4CA3-AD5E-1BDD4AAA9A7A}" name="Column8910" dataDxfId="7475"/>
    <tableColumn id="8935" xr3:uid="{F43B1D9F-55A7-49E5-A751-EE162140AE68}" name="Column8911" dataDxfId="7474"/>
    <tableColumn id="8936" xr3:uid="{7009270A-A270-4534-915E-B8FFEBC4FE0D}" name="Column8912" dataDxfId="7473"/>
    <tableColumn id="8937" xr3:uid="{9A84BCC5-B13F-4C06-A678-E1BB1174A958}" name="Column8913" dataDxfId="7472"/>
    <tableColumn id="8938" xr3:uid="{6F044F53-7B88-4A7D-9963-7656998B1415}" name="Column8914" dataDxfId="7471"/>
    <tableColumn id="8939" xr3:uid="{B8CAD5BA-C740-46FF-8FD4-27DA3655F465}" name="Column8915" dataDxfId="7470"/>
    <tableColumn id="8940" xr3:uid="{550D86E0-8A7D-4AF5-A8AE-BC5A42EC54E6}" name="Column8916" dataDxfId="7469"/>
    <tableColumn id="8941" xr3:uid="{9919A470-9039-4424-99E8-C4056034575C}" name="Column8917" dataDxfId="7468"/>
    <tableColumn id="8942" xr3:uid="{9CBB2E07-6D24-44BF-A4D3-854CEF029B66}" name="Column8918" dataDxfId="7467"/>
    <tableColumn id="8943" xr3:uid="{423F4F9E-C0F5-41E8-8175-5FDA6271F063}" name="Column8919" dataDxfId="7466"/>
    <tableColumn id="8944" xr3:uid="{FCFB6039-C34E-4C2B-A8C1-EAD9D2BC869A}" name="Column8920" dataDxfId="7465"/>
    <tableColumn id="8945" xr3:uid="{6A6F38AA-9F61-4E26-943C-22E9BF218C94}" name="Column8921" dataDxfId="7464"/>
    <tableColumn id="8946" xr3:uid="{CA6DA07A-3EC3-4C96-8229-53E850C1D8BD}" name="Column8922" dataDxfId="7463"/>
    <tableColumn id="8947" xr3:uid="{4676705D-2E2E-4B14-9233-314EAEBDD974}" name="Column8923" dataDxfId="7462"/>
    <tableColumn id="8948" xr3:uid="{BBDD9C8A-72B5-4D03-8B3D-9254BAE8871E}" name="Column8924" dataDxfId="7461"/>
    <tableColumn id="8949" xr3:uid="{520B1320-894E-4C61-8F40-4BAEEFD3E99A}" name="Column8925" dataDxfId="7460"/>
    <tableColumn id="8950" xr3:uid="{EEEC3B59-BFAE-4FEF-99F9-5F3044C3EB8C}" name="Column8926" dataDxfId="7459"/>
    <tableColumn id="8951" xr3:uid="{D4230304-E1C5-40E9-87E5-A9C647C9AF5F}" name="Column8927" dataDxfId="7458"/>
    <tableColumn id="8952" xr3:uid="{CEA79FEC-D51C-47A5-9AC9-83421673CDE0}" name="Column8928" dataDxfId="7457"/>
    <tableColumn id="8953" xr3:uid="{9F01DD87-C852-4279-9835-B86FB5941192}" name="Column8929" dataDxfId="7456"/>
    <tableColumn id="8954" xr3:uid="{ACCA4E48-2C2A-402B-B536-064EC3C64EEC}" name="Column8930" dataDxfId="7455"/>
    <tableColumn id="8955" xr3:uid="{10E1BB9C-39E1-4F45-A440-E5AF49878A87}" name="Column8931" dataDxfId="7454"/>
    <tableColumn id="8956" xr3:uid="{8DAF72B7-C488-4E1C-B05E-ECFDD4BA098E}" name="Column8932" dataDxfId="7453"/>
    <tableColumn id="8957" xr3:uid="{F7B3750F-BA49-453D-AB19-CCC669FFDF2C}" name="Column8933" dataDxfId="7452"/>
    <tableColumn id="8958" xr3:uid="{365CF0F9-04AA-4B0D-B99C-4237521B1145}" name="Column8934" dataDxfId="7451"/>
    <tableColumn id="8959" xr3:uid="{35A32EDB-3CD8-41E6-97FE-AEB55529944A}" name="Column8935" dataDxfId="7450"/>
    <tableColumn id="8960" xr3:uid="{31CB8EB8-837B-45D9-B540-1F3DB07D2F90}" name="Column8936" dataDxfId="7449"/>
    <tableColumn id="8961" xr3:uid="{10501ABC-0AC1-49B1-94D7-C29C13D934A4}" name="Column8937" dataDxfId="7448"/>
    <tableColumn id="8962" xr3:uid="{2A515568-D9B8-4447-AA0C-E2FFB573B8C7}" name="Column8938" dataDxfId="7447"/>
    <tableColumn id="8963" xr3:uid="{AD99EF73-2DED-4913-AAEF-2A106FF6E920}" name="Column8939" dataDxfId="7446"/>
    <tableColumn id="8964" xr3:uid="{8987E653-89B8-4144-85CF-FEC26223EEE1}" name="Column8940" dataDxfId="7445"/>
    <tableColumn id="8965" xr3:uid="{6C6C6554-8149-4CFC-9510-A01D6654FBE6}" name="Column8941" dataDxfId="7444"/>
    <tableColumn id="8966" xr3:uid="{EF8E372C-3A2D-4241-833D-95A2FDB9F294}" name="Column8942" dataDxfId="7443"/>
    <tableColumn id="8967" xr3:uid="{C7E1ABD7-378B-475A-9C48-A35859E31801}" name="Column8943" dataDxfId="7442"/>
    <tableColumn id="8968" xr3:uid="{B4AFEB9C-C6D0-48C3-B2EF-3497E4A1B876}" name="Column8944" dataDxfId="7441"/>
    <tableColumn id="8969" xr3:uid="{0406751E-BB10-461E-8870-B7C76A05EA1C}" name="Column8945" dataDxfId="7440"/>
    <tableColumn id="8970" xr3:uid="{B10717B6-EE8F-4CCD-8933-8D75199E934D}" name="Column8946" dataDxfId="7439"/>
    <tableColumn id="8971" xr3:uid="{66BE8170-BEC2-4841-A614-24C26A254448}" name="Column8947" dataDxfId="7438"/>
    <tableColumn id="8972" xr3:uid="{F120E987-D082-48C6-85B2-46462524D1D3}" name="Column8948" dataDxfId="7437"/>
    <tableColumn id="8973" xr3:uid="{B4D8A09D-E6E7-4D7B-83FD-28E9C9E59B03}" name="Column8949" dataDxfId="7436"/>
    <tableColumn id="8974" xr3:uid="{15D5FDA6-4250-4387-8F45-565CADD45B34}" name="Column8950" dataDxfId="7435"/>
    <tableColumn id="8975" xr3:uid="{01413B62-EDEA-4E4F-84EF-24818C2C5453}" name="Column8951" dataDxfId="7434"/>
    <tableColumn id="8976" xr3:uid="{E4CA267C-7F56-47E3-91B7-59C96E7E850D}" name="Column8952" dataDxfId="7433"/>
    <tableColumn id="8977" xr3:uid="{29095FF6-F879-4724-8F9A-251B04B473B6}" name="Column8953" dataDxfId="7432"/>
    <tableColumn id="8978" xr3:uid="{3F487642-DD92-43E0-AE83-4EBE578D4D6E}" name="Column8954" dataDxfId="7431"/>
    <tableColumn id="8979" xr3:uid="{C05AC3B1-A0D5-4407-85FA-1EF4A92F382A}" name="Column8955" dataDxfId="7430"/>
    <tableColumn id="8980" xr3:uid="{0042AC9E-8E3F-4A06-BD94-9C6A9FC96A4C}" name="Column8956" dataDxfId="7429"/>
    <tableColumn id="8981" xr3:uid="{0ACDA47C-18D9-449A-9308-45CEAAC66EB3}" name="Column8957" dataDxfId="7428"/>
    <tableColumn id="8982" xr3:uid="{BEC98A03-F751-4069-AD28-9A0A39BBF2EF}" name="Column8958" dataDxfId="7427"/>
    <tableColumn id="8983" xr3:uid="{6C2F2FDC-951F-4CF3-A617-8BA536DC2C8D}" name="Column8959" dataDxfId="7426"/>
    <tableColumn id="8984" xr3:uid="{C48BCD7F-7D7F-4568-AE23-3249E12CA07C}" name="Column8960" dataDxfId="7425"/>
    <tableColumn id="8985" xr3:uid="{C759F564-2DC8-44E6-9AE3-DABD3065824B}" name="Column8961" dataDxfId="7424"/>
    <tableColumn id="8986" xr3:uid="{38585CAF-00C5-43F2-8090-CB56CF223066}" name="Column8962" dataDxfId="7423"/>
    <tableColumn id="8987" xr3:uid="{138545B5-3B0F-41A3-9998-19EFA8D7B6D1}" name="Column8963" dataDxfId="7422"/>
    <tableColumn id="8988" xr3:uid="{6E60240B-55C7-4D17-93B8-21B2C0E74E6F}" name="Column8964" dataDxfId="7421"/>
    <tableColumn id="8989" xr3:uid="{19662711-E64C-473A-BAFF-9130B579549B}" name="Column8965" dataDxfId="7420"/>
    <tableColumn id="8990" xr3:uid="{9AEFB5F9-312B-4D6A-90E9-303DC0CB68CB}" name="Column8966" dataDxfId="7419"/>
    <tableColumn id="8991" xr3:uid="{BF32A864-6A1F-41C2-A5FC-B5C0029205BA}" name="Column8967" dataDxfId="7418"/>
    <tableColumn id="8992" xr3:uid="{A7A6C57B-768E-459E-9C7C-EC5D1CF778CB}" name="Column8968" dataDxfId="7417"/>
    <tableColumn id="8993" xr3:uid="{DEE100DC-11DC-4151-9859-BF73479737FC}" name="Column8969" dataDxfId="7416"/>
    <tableColumn id="8994" xr3:uid="{19E85A69-2B80-4BA6-902B-445CB6023061}" name="Column8970" dataDxfId="7415"/>
    <tableColumn id="8995" xr3:uid="{5D94F592-EF9B-40D7-A6C4-4E24181CA1E3}" name="Column8971" dataDxfId="7414"/>
    <tableColumn id="8996" xr3:uid="{27CA3CFD-9D6F-4758-8335-2C6AB59A3D6B}" name="Column8972" dataDxfId="7413"/>
    <tableColumn id="8997" xr3:uid="{B9D8509C-C3BB-4C8D-BE1D-FD9B250A6715}" name="Column8973" dataDxfId="7412"/>
    <tableColumn id="8998" xr3:uid="{ED8DB623-BF43-4C40-8AA5-AD8C3CEA5E94}" name="Column8974" dataDxfId="7411"/>
    <tableColumn id="8999" xr3:uid="{AD6B1710-AF45-49F1-A7E1-2D056019F896}" name="Column8975" dataDxfId="7410"/>
    <tableColumn id="9000" xr3:uid="{7FE7BDE6-212A-4370-8260-CAF6B83E1D19}" name="Column8976" dataDxfId="7409"/>
    <tableColumn id="9001" xr3:uid="{2CE41A07-BCEF-431F-BCE2-44F7F2E47688}" name="Column8977" dataDxfId="7408"/>
    <tableColumn id="9002" xr3:uid="{22A0F972-6CFC-450D-89D2-773258E00B5E}" name="Column8978" dataDxfId="7407"/>
    <tableColumn id="9003" xr3:uid="{8AC58F9B-B63E-41BF-9B09-0BAD663F66BC}" name="Column8979" dataDxfId="7406"/>
    <tableColumn id="9004" xr3:uid="{30C473EB-3D3E-4507-8D55-08457348543C}" name="Column8980" dataDxfId="7405"/>
    <tableColumn id="9005" xr3:uid="{2AA9761F-2D1C-46F9-98E0-D39DDF1BC602}" name="Column8981" dataDxfId="7404"/>
    <tableColumn id="9006" xr3:uid="{4FEA3969-4DD5-4145-909B-6E9029F5514F}" name="Column8982" dataDxfId="7403"/>
    <tableColumn id="9007" xr3:uid="{817DFCA7-BD98-4319-A090-5209E53D2548}" name="Column8983" dataDxfId="7402"/>
    <tableColumn id="9008" xr3:uid="{228399CF-74BA-4EBD-A96C-1B9C18625FA7}" name="Column8984" dataDxfId="7401"/>
    <tableColumn id="9009" xr3:uid="{C6E11D57-845A-4947-8D52-76CBE665F91F}" name="Column8985" dataDxfId="7400"/>
    <tableColumn id="9010" xr3:uid="{72AFF591-8AA4-4131-932D-4412AB1FE43F}" name="Column8986" dataDxfId="7399"/>
    <tableColumn id="9011" xr3:uid="{6A442A55-DF55-442B-B1E0-6DEAA1C81DD1}" name="Column8987" dataDxfId="7398"/>
    <tableColumn id="9012" xr3:uid="{0DD48EEC-BA2D-4273-BA8E-CE4CE5BAC456}" name="Column8988" dataDxfId="7397"/>
    <tableColumn id="9013" xr3:uid="{6B823613-CD22-4383-BA3D-2C03F71D0A99}" name="Column8989" dataDxfId="7396"/>
    <tableColumn id="9014" xr3:uid="{65EF5519-CB0B-487F-94E4-4D1DCDAB4783}" name="Column8990" dataDxfId="7395"/>
    <tableColumn id="9015" xr3:uid="{CD075977-6916-48C6-8408-9AB8AFCEDD1B}" name="Column8991" dataDxfId="7394"/>
    <tableColumn id="9016" xr3:uid="{86B649AA-9464-4C1B-BD84-B1A30A2A1C71}" name="Column8992" dataDxfId="7393"/>
    <tableColumn id="9017" xr3:uid="{FE75CE0F-22E4-4C4F-88EC-DEA78050F120}" name="Column8993" dataDxfId="7392"/>
    <tableColumn id="9018" xr3:uid="{5D8D4090-10C8-4F04-93D8-E121AC7256A9}" name="Column8994" dataDxfId="7391"/>
    <tableColumn id="9019" xr3:uid="{D3187A80-49BF-4CDE-9734-5570827D168B}" name="Column8995" dataDxfId="7390"/>
    <tableColumn id="9020" xr3:uid="{20221F05-151D-4330-811C-CDFBC70E1DBD}" name="Column8996" dataDxfId="7389"/>
    <tableColumn id="9021" xr3:uid="{B68B97A4-3B45-42D3-8873-0E4B073F776D}" name="Column8997" dataDxfId="7388"/>
    <tableColumn id="9022" xr3:uid="{CC5357DC-CB84-4673-8A2D-024D04AB8D81}" name="Column8998" dataDxfId="7387"/>
    <tableColumn id="9023" xr3:uid="{E5FE71A4-6FC5-468F-B4A6-EAE89C48333C}" name="Column8999" dataDxfId="7386"/>
    <tableColumn id="9024" xr3:uid="{B70F12C6-526E-4242-A12B-A077CC414EE5}" name="Column9000" dataDxfId="7385"/>
    <tableColumn id="9025" xr3:uid="{7C687239-CA5B-4643-A087-FC3CCFDA6BEC}" name="Column9001" dataDxfId="7384"/>
    <tableColumn id="9026" xr3:uid="{260F6F96-20D6-496E-B64D-93CC160BDA25}" name="Column9002" dataDxfId="7383"/>
    <tableColumn id="9027" xr3:uid="{F6920057-2B4C-41D5-958B-7F06430BD163}" name="Column9003" dataDxfId="7382"/>
    <tableColumn id="9028" xr3:uid="{4FF0D99B-90BD-4A49-A0BB-5F1B980B2A8A}" name="Column9004" dataDxfId="7381"/>
    <tableColumn id="9029" xr3:uid="{FF876DC9-112A-4313-A971-3887B77120AC}" name="Column9005" dataDxfId="7380"/>
    <tableColumn id="9030" xr3:uid="{A2A59EAA-6371-483D-BCE2-43801C960A13}" name="Column9006" dataDxfId="7379"/>
    <tableColumn id="9031" xr3:uid="{BB75E4CF-3D6B-41BD-A7FA-BA4A7A106A24}" name="Column9007" dataDxfId="7378"/>
    <tableColumn id="9032" xr3:uid="{A46E01ED-F86F-4078-A60D-B5CA16F9B61F}" name="Column9008" dataDxfId="7377"/>
    <tableColumn id="9033" xr3:uid="{20BAFFE5-4FF7-45B8-A03A-A91EFA4B943E}" name="Column9009" dataDxfId="7376"/>
    <tableColumn id="9034" xr3:uid="{BA5364B8-5E92-4995-B532-125955CE5472}" name="Column9010" dataDxfId="7375"/>
    <tableColumn id="9035" xr3:uid="{97BC4479-49EF-4CBF-8BC9-63477576B2D9}" name="Column9011" dataDxfId="7374"/>
    <tableColumn id="9036" xr3:uid="{E4FC7BCD-0F42-4349-A03A-02AF6D12517B}" name="Column9012" dataDxfId="7373"/>
    <tableColumn id="9037" xr3:uid="{0E18861E-DCC8-440F-94C7-1B2891517CC5}" name="Column9013" dataDxfId="7372"/>
    <tableColumn id="9038" xr3:uid="{E38DA8A9-45C1-4E70-8831-58B091C947F7}" name="Column9014" dataDxfId="7371"/>
    <tableColumn id="9039" xr3:uid="{A18EA368-168F-468B-A534-21EBEC0DBDAA}" name="Column9015" dataDxfId="7370"/>
    <tableColumn id="9040" xr3:uid="{51407036-A420-4347-BB03-72AF87D1DE92}" name="Column9016" dataDxfId="7369"/>
    <tableColumn id="9041" xr3:uid="{BD997A98-F2E2-4C5C-AE61-628F7CCE006E}" name="Column9017" dataDxfId="7368"/>
    <tableColumn id="9042" xr3:uid="{D43C6582-0A25-441D-9639-788BD499BAFE}" name="Column9018" dataDxfId="7367"/>
    <tableColumn id="9043" xr3:uid="{A34241EE-CB2B-4D20-843E-95E092655751}" name="Column9019" dataDxfId="7366"/>
    <tableColumn id="9044" xr3:uid="{FB442D42-F6C2-43DA-8DFF-905C22809FE6}" name="Column9020" dataDxfId="7365"/>
    <tableColumn id="9045" xr3:uid="{43494F29-6B69-42FB-9113-1A987C8167B2}" name="Column9021" dataDxfId="7364"/>
    <tableColumn id="9046" xr3:uid="{B95D9803-2234-4BE5-8CA1-CA99CDF382DC}" name="Column9022" dataDxfId="7363"/>
    <tableColumn id="9047" xr3:uid="{CAC239F6-7982-41AC-BC87-0CF84AA2D455}" name="Column9023" dataDxfId="7362"/>
    <tableColumn id="9048" xr3:uid="{60438FE5-963A-4B3C-B2D2-6A2A7FF5F1AF}" name="Column9024" dataDxfId="7361"/>
    <tableColumn id="9049" xr3:uid="{6AC29008-F8D2-40EF-9C65-0DD71BEA0085}" name="Column9025" dataDxfId="7360"/>
    <tableColumn id="9050" xr3:uid="{A5A0B906-DF1E-4325-9C09-42EFF5C8FA75}" name="Column9026" dataDxfId="7359"/>
    <tableColumn id="9051" xr3:uid="{1A6B0D0F-DD50-476F-AC8B-473179016913}" name="Column9027" dataDxfId="7358"/>
    <tableColumn id="9052" xr3:uid="{EAF8FE0B-37DA-462E-9F16-2F5C510803B6}" name="Column9028" dataDxfId="7357"/>
    <tableColumn id="9053" xr3:uid="{3A9837C0-3395-4FF8-B907-9EFEC458B635}" name="Column9029" dataDxfId="7356"/>
    <tableColumn id="9054" xr3:uid="{E4D6509A-6ECB-475A-9D9B-B08AA818FCC5}" name="Column9030" dataDxfId="7355"/>
    <tableColumn id="9055" xr3:uid="{6157F1D3-9F2E-4763-BBA7-D069CDAFC5A2}" name="Column9031" dataDxfId="7354"/>
    <tableColumn id="9056" xr3:uid="{27F45DC9-C114-4E9B-9AD9-7EFB6ECAC90E}" name="Column9032" dataDxfId="7353"/>
    <tableColumn id="9057" xr3:uid="{3169FFC3-8166-4E13-9A4C-AF9BDA96D9D1}" name="Column9033" dataDxfId="7352"/>
    <tableColumn id="9058" xr3:uid="{8E1E7D53-102A-4C99-B4DF-34419E484BDF}" name="Column9034" dataDxfId="7351"/>
    <tableColumn id="9059" xr3:uid="{AFEDFB36-340D-4B69-9381-0D90FC222AF4}" name="Column9035" dataDxfId="7350"/>
    <tableColumn id="9060" xr3:uid="{32427E2C-F23E-4A3E-8317-EB87C07E76E0}" name="Column9036" dataDxfId="7349"/>
    <tableColumn id="9061" xr3:uid="{28464F1A-D676-4CAB-8604-E16D0748DEEB}" name="Column9037" dataDxfId="7348"/>
    <tableColumn id="9062" xr3:uid="{0F9DDDF4-9C00-4E9B-BBC2-801D443CBC19}" name="Column9038" dataDxfId="7347"/>
    <tableColumn id="9063" xr3:uid="{D0356987-A4E5-4418-8598-F59513C5673B}" name="Column9039" dataDxfId="7346"/>
    <tableColumn id="9064" xr3:uid="{3411322E-74D1-4BB6-985B-C7570840F73E}" name="Column9040" dataDxfId="7345"/>
    <tableColumn id="9065" xr3:uid="{6254B314-40DF-4605-8EF0-C0A10EFB0145}" name="Column9041" dataDxfId="7344"/>
    <tableColumn id="9066" xr3:uid="{6EB5C024-AB86-43B6-8E74-63BBA39A6EC9}" name="Column9042" dataDxfId="7343"/>
    <tableColumn id="9067" xr3:uid="{55712B4E-9BA9-4D13-BBE8-CB50907BFEEE}" name="Column9043" dataDxfId="7342"/>
    <tableColumn id="9068" xr3:uid="{091E1740-893B-4D15-B9ED-41B2FE591CA8}" name="Column9044" dataDxfId="7341"/>
    <tableColumn id="9069" xr3:uid="{64B2A14B-1B83-47D0-A248-93FFBBE4C2F4}" name="Column9045" dataDxfId="7340"/>
    <tableColumn id="9070" xr3:uid="{CA169FC6-2D1A-4659-8805-F111570DED54}" name="Column9046" dataDxfId="7339"/>
    <tableColumn id="9071" xr3:uid="{FE88DBF1-96D5-4341-A1D9-88626F782355}" name="Column9047" dataDxfId="7338"/>
    <tableColumn id="9072" xr3:uid="{A9E6D7DD-ABDB-4BC8-A449-C9FB397D87A1}" name="Column9048" dataDxfId="7337"/>
    <tableColumn id="9073" xr3:uid="{83702AC5-852F-4D45-85C1-297DAB317468}" name="Column9049" dataDxfId="7336"/>
    <tableColumn id="9074" xr3:uid="{425509CD-E0FE-4EE7-9C69-D48281EA7FE8}" name="Column9050" dataDxfId="7335"/>
    <tableColumn id="9075" xr3:uid="{06CECFDC-692E-4855-8D2D-C82C9EBE64E3}" name="Column9051" dataDxfId="7334"/>
    <tableColumn id="9076" xr3:uid="{FC4DBC37-A904-455C-91CC-3EBC7D4728EA}" name="Column9052" dataDxfId="7333"/>
    <tableColumn id="9077" xr3:uid="{D5E822D8-671D-49AB-9DD6-78CD84A25DAE}" name="Column9053" dataDxfId="7332"/>
    <tableColumn id="9078" xr3:uid="{D57145BE-1C3F-4DC7-B0BC-E6683E49FB2A}" name="Column9054" dataDxfId="7331"/>
    <tableColumn id="9079" xr3:uid="{80009097-0C0B-4DA4-A30B-9DF923ECEC43}" name="Column9055" dataDxfId="7330"/>
    <tableColumn id="9080" xr3:uid="{452B010A-FCF7-4780-8940-60A2F49AB510}" name="Column9056" dataDxfId="7329"/>
    <tableColumn id="9081" xr3:uid="{ED8960EB-893D-45F3-BE51-6C7424E5B47F}" name="Column9057" dataDxfId="7328"/>
    <tableColumn id="9082" xr3:uid="{4EA3442A-CE55-4230-A2DC-4C66EEE0CF89}" name="Column9058" dataDxfId="7327"/>
    <tableColumn id="9083" xr3:uid="{B2BF3F27-B211-4F9C-BFBB-AC1C74EFBFD2}" name="Column9059" dataDxfId="7326"/>
    <tableColumn id="9084" xr3:uid="{7D418CAD-AB6C-45A1-BA27-BE334E35D83D}" name="Column9060" dataDxfId="7325"/>
    <tableColumn id="9085" xr3:uid="{D3C3F43C-B2FE-458C-B670-41CFAEF6C765}" name="Column9061" dataDxfId="7324"/>
    <tableColumn id="9086" xr3:uid="{397E113E-04DD-48E9-9845-2820783974F5}" name="Column9062" dataDxfId="7323"/>
    <tableColumn id="9087" xr3:uid="{526A4F9C-8A08-4323-8EFA-27E9F538A589}" name="Column9063" dataDxfId="7322"/>
    <tableColumn id="9088" xr3:uid="{5A1974F8-AE95-44F6-9E4F-15039B18160B}" name="Column9064" dataDxfId="7321"/>
    <tableColumn id="9089" xr3:uid="{92EB8221-6882-4C73-99E5-49876C5939D0}" name="Column9065" dataDxfId="7320"/>
    <tableColumn id="9090" xr3:uid="{20686C80-4591-4BA8-B3F5-7FBE42C706AF}" name="Column9066" dataDxfId="7319"/>
    <tableColumn id="9091" xr3:uid="{62F1256D-6F48-48BB-807A-8373DAF50970}" name="Column9067" dataDxfId="7318"/>
    <tableColumn id="9092" xr3:uid="{130F776F-A559-4A1F-96CA-747F9D6C3CD2}" name="Column9068" dataDxfId="7317"/>
    <tableColumn id="9093" xr3:uid="{D3B8D70B-FCBA-481C-B354-1FE058302575}" name="Column9069" dataDxfId="7316"/>
    <tableColumn id="9094" xr3:uid="{4035BD35-6622-48A6-B6BE-F7A8557FB1E1}" name="Column9070" dataDxfId="7315"/>
    <tableColumn id="9095" xr3:uid="{86EFD028-DC65-4756-8632-05CE9DC5B508}" name="Column9071" dataDxfId="7314"/>
    <tableColumn id="9096" xr3:uid="{ECA1FD06-C939-4B76-B1D5-650D90EF4154}" name="Column9072" dataDxfId="7313"/>
    <tableColumn id="9097" xr3:uid="{B392C27D-195D-4743-8D9D-6486A4A9F57F}" name="Column9073" dataDxfId="7312"/>
    <tableColumn id="9098" xr3:uid="{11ACEF24-468A-4351-9B96-4B0682A4D0C1}" name="Column9074" dataDxfId="7311"/>
    <tableColumn id="9099" xr3:uid="{98DDC89C-4FE0-499E-B2D0-DC167E49F3BC}" name="Column9075" dataDxfId="7310"/>
    <tableColumn id="9100" xr3:uid="{241B836B-32EE-4963-80DE-9B1F18767122}" name="Column9076" dataDxfId="7309"/>
    <tableColumn id="9101" xr3:uid="{5E479ACC-6AD1-4ADA-907C-E6151AE25FF5}" name="Column9077" dataDxfId="7308"/>
    <tableColumn id="9102" xr3:uid="{7F436937-CD50-4D5C-BD69-53F40A738A98}" name="Column9078" dataDxfId="7307"/>
    <tableColumn id="9103" xr3:uid="{4019921E-0882-411F-BB56-7CE6F511B4E3}" name="Column9079" dataDxfId="7306"/>
    <tableColumn id="9104" xr3:uid="{23C62D54-D358-4922-A881-EA489AF4C219}" name="Column9080" dataDxfId="7305"/>
    <tableColumn id="9105" xr3:uid="{7634B542-B46B-4E8B-816B-B54985462B1C}" name="Column9081" dataDxfId="7304"/>
    <tableColumn id="9106" xr3:uid="{31797337-B780-49DB-BBEE-4365FCE393DD}" name="Column9082" dataDxfId="7303"/>
    <tableColumn id="9107" xr3:uid="{29ED05C6-FA0B-44B3-81A3-A21BEB2BC63B}" name="Column9083" dataDxfId="7302"/>
    <tableColumn id="9108" xr3:uid="{0CC1F483-DAB4-4942-8A32-9919C5168AE5}" name="Column9084" dataDxfId="7301"/>
    <tableColumn id="9109" xr3:uid="{06608369-409D-4EA2-A407-99E789D94013}" name="Column9085" dataDxfId="7300"/>
    <tableColumn id="9110" xr3:uid="{5FA7E467-6602-4EF8-9A45-7EF8780A2D2B}" name="Column9086" dataDxfId="7299"/>
    <tableColumn id="9111" xr3:uid="{84AB37FF-5BE5-4F8C-AE53-8D5E9B09933E}" name="Column9087" dataDxfId="7298"/>
    <tableColumn id="9112" xr3:uid="{06799E65-49A0-4225-B5A1-00D1064A7B46}" name="Column9088" dataDxfId="7297"/>
    <tableColumn id="9113" xr3:uid="{6912A664-0D78-4727-91D7-680520E80624}" name="Column9089" dataDxfId="7296"/>
    <tableColumn id="9114" xr3:uid="{423A4367-94E5-444D-AB83-91D28BF4A4C0}" name="Column9090" dataDxfId="7295"/>
    <tableColumn id="9115" xr3:uid="{99FACB2A-ACAF-44C7-8744-B881D8204C24}" name="Column9091" dataDxfId="7294"/>
    <tableColumn id="9116" xr3:uid="{4D67FDC5-3CFC-4BA3-9D73-49E7DF43469E}" name="Column9092" dataDxfId="7293"/>
    <tableColumn id="9117" xr3:uid="{C62E1756-CF4B-4DE6-A3FF-C0C68E75F294}" name="Column9093" dataDxfId="7292"/>
    <tableColumn id="9118" xr3:uid="{580CEDC0-0256-4C33-8890-2724F2A25711}" name="Column9094" dataDxfId="7291"/>
    <tableColumn id="9119" xr3:uid="{1DB00965-3950-415A-BE0D-E7558045FFE8}" name="Column9095" dataDxfId="7290"/>
    <tableColumn id="9120" xr3:uid="{C4D5AB57-A100-4382-B3A0-69324ACC5FA2}" name="Column9096" dataDxfId="7289"/>
    <tableColumn id="9121" xr3:uid="{7000764D-E9AB-43CC-80A4-9699E4FC7466}" name="Column9097" dataDxfId="7288"/>
    <tableColumn id="9122" xr3:uid="{467B16E4-FE3F-4EEA-8DD5-16713717C150}" name="Column9098" dataDxfId="7287"/>
    <tableColumn id="9123" xr3:uid="{B076CF4E-9394-4F3F-BB5A-244DD94C5C9F}" name="Column9099" dataDxfId="7286"/>
    <tableColumn id="9124" xr3:uid="{343A1970-E8BC-4282-B364-FFEE06FD101F}" name="Column9100" dataDxfId="7285"/>
    <tableColumn id="9125" xr3:uid="{778B3A2F-326D-4FD5-8D46-9F50D0455D25}" name="Column9101" dataDxfId="7284"/>
    <tableColumn id="9126" xr3:uid="{4F21516A-8BC5-4342-9810-B8B9C4F2823D}" name="Column9102" dataDxfId="7283"/>
    <tableColumn id="9127" xr3:uid="{5201FB24-86A0-4E6E-AB93-3A599F51FED5}" name="Column9103" dataDxfId="7282"/>
    <tableColumn id="9128" xr3:uid="{6083CF0C-4C53-4D2C-AB5F-55F4DF3B2824}" name="Column9104" dataDxfId="7281"/>
    <tableColumn id="9129" xr3:uid="{AA91F23C-9276-43FD-A4B9-F77A0E16E080}" name="Column9105" dataDxfId="7280"/>
    <tableColumn id="9130" xr3:uid="{D3DAAADF-9A1B-473E-971B-17650570F68E}" name="Column9106" dataDxfId="7279"/>
    <tableColumn id="9131" xr3:uid="{9BC37E45-6C1C-4882-BD08-A4AC104362E0}" name="Column9107" dataDxfId="7278"/>
    <tableColumn id="9132" xr3:uid="{82F77C5C-880E-45FD-A037-C8984F2E8F61}" name="Column9108" dataDxfId="7277"/>
    <tableColumn id="9133" xr3:uid="{8092AC35-FACE-45BF-A3B2-F76186BFEEFC}" name="Column9109" dataDxfId="7276"/>
    <tableColumn id="9134" xr3:uid="{1B65D56C-F977-4031-8DE1-2D385F7E7BB4}" name="Column9110" dataDxfId="7275"/>
    <tableColumn id="9135" xr3:uid="{16123AC5-7120-435B-9B21-CA3E5488FA6D}" name="Column9111" dataDxfId="7274"/>
    <tableColumn id="9136" xr3:uid="{DAF4FE17-009D-40F8-AAE9-2F162026EB13}" name="Column9112" dataDxfId="7273"/>
    <tableColumn id="9137" xr3:uid="{877ED7A6-2B53-4E87-85B9-FB4F077EF1F3}" name="Column9113" dataDxfId="7272"/>
    <tableColumn id="9138" xr3:uid="{78236013-FD90-42E7-A29A-762D1B8B3920}" name="Column9114" dataDxfId="7271"/>
    <tableColumn id="9139" xr3:uid="{09D4EF29-A8CA-430C-8120-4676E2B6110E}" name="Column9115" dataDxfId="7270"/>
    <tableColumn id="9140" xr3:uid="{92917B5B-CF2D-4107-AD04-D780FB5A305D}" name="Column9116" dataDxfId="7269"/>
    <tableColumn id="9141" xr3:uid="{0C54C3CD-389F-42C6-8C49-F6FE4373FDF1}" name="Column9117" dataDxfId="7268"/>
    <tableColumn id="9142" xr3:uid="{3006F73A-35F5-4049-8BB7-D6821F37875E}" name="Column9118" dataDxfId="7267"/>
    <tableColumn id="9143" xr3:uid="{2BC88BFA-09DD-4BB3-B64A-F788F38D8833}" name="Column9119" dataDxfId="7266"/>
    <tableColumn id="9144" xr3:uid="{DE6EB1C6-E66A-4B7E-A889-5470C2A0BA91}" name="Column9120" dataDxfId="7265"/>
    <tableColumn id="9145" xr3:uid="{7283DF23-3FAF-4F8B-9BFF-258AE92D4512}" name="Column9121" dataDxfId="7264"/>
    <tableColumn id="9146" xr3:uid="{247F14B5-2302-482D-B59A-3A1407B25C6C}" name="Column9122" dataDxfId="7263"/>
    <tableColumn id="9147" xr3:uid="{00A7C071-F9A3-425C-AB18-C4F2A8E4F55C}" name="Column9123" dataDxfId="7262"/>
    <tableColumn id="9148" xr3:uid="{F9336CFA-898C-44E3-B08B-ED633209F9A7}" name="Column9124" dataDxfId="7261"/>
    <tableColumn id="9149" xr3:uid="{F74C79AE-1E40-4899-88C8-85B1BBF81759}" name="Column9125" dataDxfId="7260"/>
    <tableColumn id="9150" xr3:uid="{069AA5DE-E496-418F-8FF0-A54389A7C243}" name="Column9126" dataDxfId="7259"/>
    <tableColumn id="9151" xr3:uid="{C14DA116-7A9D-4972-8ED5-646363C54D0F}" name="Column9127" dataDxfId="7258"/>
    <tableColumn id="9152" xr3:uid="{4C4D10C2-6409-435A-93BD-D6F7F86FA8EC}" name="Column9128" dataDxfId="7257"/>
    <tableColumn id="9153" xr3:uid="{30B6FD11-8D7A-4600-9F35-AC1DCF6880CB}" name="Column9129" dataDxfId="7256"/>
    <tableColumn id="9154" xr3:uid="{3137DFD2-9113-4CDF-992F-0C38BF903579}" name="Column9130" dataDxfId="7255"/>
    <tableColumn id="9155" xr3:uid="{4E17D6B9-09C3-4DCF-B7B2-14BD0DA9F10D}" name="Column9131" dataDxfId="7254"/>
    <tableColumn id="9156" xr3:uid="{0C45BBD5-DAA9-42BD-86FA-21F8EC81B145}" name="Column9132" dataDxfId="7253"/>
    <tableColumn id="9157" xr3:uid="{CCEFE810-83BF-4A35-B1C5-D3DCB09783FC}" name="Column9133" dataDxfId="7252"/>
    <tableColumn id="9158" xr3:uid="{E2A8B459-F541-4B0C-93A5-76B86C1759C2}" name="Column9134" dataDxfId="7251"/>
    <tableColumn id="9159" xr3:uid="{EF7DEFE6-EC74-4C18-82B0-A2358693355B}" name="Column9135" dataDxfId="7250"/>
    <tableColumn id="9160" xr3:uid="{D1D2713C-E322-4D02-8E41-E8E6B130F147}" name="Column9136" dataDxfId="7249"/>
    <tableColumn id="9161" xr3:uid="{F55A6F64-6798-4427-A1B9-BB9ED275A95A}" name="Column9137" dataDxfId="7248"/>
    <tableColumn id="9162" xr3:uid="{DCA4D308-60B0-47D9-9EF1-4B0E15F4CAEF}" name="Column9138" dataDxfId="7247"/>
    <tableColumn id="9163" xr3:uid="{5B8943D6-9DCE-4443-8D55-D96C703128CF}" name="Column9139" dataDxfId="7246"/>
    <tableColumn id="9164" xr3:uid="{05476DA7-4A6D-48F1-8061-9E0F623397CA}" name="Column9140" dataDxfId="7245"/>
    <tableColumn id="9165" xr3:uid="{7D6C0022-14F1-4485-95C8-0ADF2A23D2CD}" name="Column9141" dataDxfId="7244"/>
    <tableColumn id="9166" xr3:uid="{F3A27383-967C-475C-89D5-162E65A352B3}" name="Column9142" dataDxfId="7243"/>
    <tableColumn id="9167" xr3:uid="{CD834295-E330-4F94-809F-FA3DC7FD35BF}" name="Column9143" dataDxfId="7242"/>
    <tableColumn id="9168" xr3:uid="{465805DD-AF33-4CCA-AD92-58D1FBAD0441}" name="Column9144" dataDxfId="7241"/>
    <tableColumn id="9169" xr3:uid="{93F4A97D-ADE8-4126-B0C4-DDF18F65048D}" name="Column9145" dataDxfId="7240"/>
    <tableColumn id="9170" xr3:uid="{4398E4C1-50AA-4EC8-8040-34C8360B958B}" name="Column9146" dataDxfId="7239"/>
    <tableColumn id="9171" xr3:uid="{534432B8-8C54-4AC7-BB82-5923DE4A162C}" name="Column9147" dataDxfId="7238"/>
    <tableColumn id="9172" xr3:uid="{0432609A-6143-4BE0-9058-B2A219BB9EB9}" name="Column9148" dataDxfId="7237"/>
    <tableColumn id="9173" xr3:uid="{0467B830-B468-4A3B-9BD4-956273F404BB}" name="Column9149" dataDxfId="7236"/>
    <tableColumn id="9174" xr3:uid="{01333C2C-E6FB-4768-958B-C089EBF3CDDD}" name="Column9150" dataDxfId="7235"/>
    <tableColumn id="9175" xr3:uid="{61734DCF-ECFC-428E-8ADE-F2F65857F7F6}" name="Column9151" dataDxfId="7234"/>
    <tableColumn id="9176" xr3:uid="{FA5D7372-EC64-4440-97F7-336B78B27942}" name="Column9152" dataDxfId="7233"/>
    <tableColumn id="9177" xr3:uid="{0CBE17F7-EEFB-4C2C-A2E4-EEFC68298EEA}" name="Column9153" dataDxfId="7232"/>
    <tableColumn id="9178" xr3:uid="{0B976FC4-828F-43FF-AA04-1CF80E98AA04}" name="Column9154" dataDxfId="7231"/>
    <tableColumn id="9179" xr3:uid="{5FC62481-3A70-4010-9AAC-C5A4C9903908}" name="Column9155" dataDxfId="7230"/>
    <tableColumn id="9180" xr3:uid="{65AC95E8-FAAB-4574-8F07-C2A205DC04B5}" name="Column9156" dataDxfId="7229"/>
    <tableColumn id="9181" xr3:uid="{3F41F6FC-E666-45C5-AB5C-C4865B1BC00C}" name="Column9157" dataDxfId="7228"/>
    <tableColumn id="9182" xr3:uid="{625569D6-B9DD-4809-A41D-A18EAC69C57E}" name="Column9158" dataDxfId="7227"/>
    <tableColumn id="9183" xr3:uid="{86F9F898-B8C7-474D-A0BD-C38037328AD5}" name="Column9159" dataDxfId="7226"/>
    <tableColumn id="9184" xr3:uid="{418B83B4-BB2A-4881-83DA-8C74239EE14D}" name="Column9160" dataDxfId="7225"/>
    <tableColumn id="9185" xr3:uid="{24FC03C6-5DC3-4493-A035-901BE9E928C6}" name="Column9161" dataDxfId="7224"/>
    <tableColumn id="9186" xr3:uid="{6F277878-4CD3-4AEE-9F07-A0038DBF7881}" name="Column9162" dataDxfId="7223"/>
    <tableColumn id="9187" xr3:uid="{9AE2FB53-6C80-462E-B64D-94A290EC30D0}" name="Column9163" dataDxfId="7222"/>
    <tableColumn id="9188" xr3:uid="{0741DE05-61AF-4CA7-A791-1E090ACF4208}" name="Column9164" dataDxfId="7221"/>
    <tableColumn id="9189" xr3:uid="{BF021D3B-DA1B-411B-A74F-FCB4E3634611}" name="Column9165" dataDxfId="7220"/>
    <tableColumn id="9190" xr3:uid="{4F669313-E9AD-4A61-87F6-8D2AAB10DCD0}" name="Column9166" dataDxfId="7219"/>
    <tableColumn id="9191" xr3:uid="{6EB30587-DF05-4C20-9ED6-6D98A93DA818}" name="Column9167" dataDxfId="7218"/>
    <tableColumn id="9192" xr3:uid="{98EB15BB-BECC-416C-BB14-2A2517EEDFD6}" name="Column9168" dataDxfId="7217"/>
    <tableColumn id="9193" xr3:uid="{7E2D5DC4-A294-4B4D-8868-E18D73C50BE8}" name="Column9169" dataDxfId="7216"/>
    <tableColumn id="9194" xr3:uid="{5A8E2380-7D81-44CA-9420-A253B2202179}" name="Column9170" dataDxfId="7215"/>
    <tableColumn id="9195" xr3:uid="{6739CB39-2111-44FC-A0DF-6D3BDC88A5EA}" name="Column9171" dataDxfId="7214"/>
    <tableColumn id="9196" xr3:uid="{BCD56D9E-59F0-4CE1-9358-2EED2A4D087D}" name="Column9172" dataDxfId="7213"/>
    <tableColumn id="9197" xr3:uid="{6AEDFE29-FC4F-4805-ACAE-408347E21845}" name="Column9173" dataDxfId="7212"/>
    <tableColumn id="9198" xr3:uid="{52A00F69-B68B-447E-9CDE-E6ADD677EF22}" name="Column9174" dataDxfId="7211"/>
    <tableColumn id="9199" xr3:uid="{7CCE7F5F-E810-44C8-B578-BD3F9D8EB339}" name="Column9175" dataDxfId="7210"/>
    <tableColumn id="9200" xr3:uid="{FE6966F0-E120-45FB-9392-C7545A36DB98}" name="Column9176" dataDxfId="7209"/>
    <tableColumn id="9201" xr3:uid="{D964052E-B609-4EBA-94A2-EFC3C831C264}" name="Column9177" dataDxfId="7208"/>
    <tableColumn id="9202" xr3:uid="{51FFC682-1AB7-45EE-A4B0-0B29D682D920}" name="Column9178" dataDxfId="7207"/>
    <tableColumn id="9203" xr3:uid="{8429C770-EEBA-4F68-A54A-7F19E55B1719}" name="Column9179" dataDxfId="7206"/>
    <tableColumn id="9204" xr3:uid="{D41BECDA-1954-44D4-AE22-BD61B6ED5702}" name="Column9180" dataDxfId="7205"/>
    <tableColumn id="9205" xr3:uid="{8F255984-917B-4FBC-8C9A-1D544897C3E5}" name="Column9181" dataDxfId="7204"/>
    <tableColumn id="9206" xr3:uid="{C96BCEE7-A230-453E-9FCD-6A7712779179}" name="Column9182" dataDxfId="7203"/>
    <tableColumn id="9207" xr3:uid="{85951D6E-E4B0-490C-B95D-A8973564C6D8}" name="Column9183" dataDxfId="7202"/>
    <tableColumn id="9208" xr3:uid="{DC01C72D-AD37-4C54-940A-29611774F490}" name="Column9184" dataDxfId="7201"/>
    <tableColumn id="9209" xr3:uid="{1B57A8E9-B084-4DF4-829F-45CCA6988864}" name="Column9185" dataDxfId="7200"/>
    <tableColumn id="9210" xr3:uid="{AC84D131-6627-4A13-971F-89A8C574183E}" name="Column9186" dataDxfId="7199"/>
    <tableColumn id="9211" xr3:uid="{C579946A-6D39-40B1-B112-D6FF6FA6DF8E}" name="Column9187" dataDxfId="7198"/>
    <tableColumn id="9212" xr3:uid="{17CB51FA-C259-4289-8E8E-658F9CA7FEA0}" name="Column9188" dataDxfId="7197"/>
    <tableColumn id="9213" xr3:uid="{AAC080AD-7CAF-4D34-8145-8A6BE4FF6B3A}" name="Column9189" dataDxfId="7196"/>
    <tableColumn id="9214" xr3:uid="{1DF15E8E-5AC6-4C91-8D02-3E94DC288BF1}" name="Column9190" dataDxfId="7195"/>
    <tableColumn id="9215" xr3:uid="{BD3AD80C-3C40-49A7-94DC-D8B9E2A3CBC9}" name="Column9191" dataDxfId="7194"/>
    <tableColumn id="9216" xr3:uid="{4B6B6119-C025-43B3-8FF2-325D7727BF16}" name="Column9192" dataDxfId="7193"/>
    <tableColumn id="9217" xr3:uid="{306F62C8-1033-47E9-A86E-7E0DFE8869CD}" name="Column9193" dataDxfId="7192"/>
    <tableColumn id="9218" xr3:uid="{F09F1829-B966-4657-A756-FB9AAE4B4C72}" name="Column9194" dataDxfId="7191"/>
    <tableColumn id="9219" xr3:uid="{E4A7CAFD-3FAA-4814-8A0C-FE17EEA7CD9D}" name="Column9195" dataDxfId="7190"/>
    <tableColumn id="9220" xr3:uid="{7E337ABE-9BB3-4A67-A492-369BCF4BC894}" name="Column9196" dataDxfId="7189"/>
    <tableColumn id="9221" xr3:uid="{11E9E52C-F56B-4271-8D0E-B03A819ADEEC}" name="Column9197" dataDxfId="7188"/>
    <tableColumn id="9222" xr3:uid="{8CE0E68C-39B7-4E25-A1A6-EB15BB1B769C}" name="Column9198" dataDxfId="7187"/>
    <tableColumn id="9223" xr3:uid="{49FC0ED0-8B9F-4805-B962-BBFE58BE0BB4}" name="Column9199" dataDxfId="7186"/>
    <tableColumn id="9224" xr3:uid="{431D731F-C6C1-4369-AEA1-BAB0936CFA24}" name="Column9200" dataDxfId="7185"/>
    <tableColumn id="9225" xr3:uid="{C7BDDCFD-1BE0-42A4-816F-A5FD77285063}" name="Column9201" dataDxfId="7184"/>
    <tableColumn id="9226" xr3:uid="{D8C1967E-1C4A-4456-801D-AF4CAFE0C5CA}" name="Column9202" dataDxfId="7183"/>
    <tableColumn id="9227" xr3:uid="{0605A278-EB1C-44DD-9C1E-47D8ECE1C3AF}" name="Column9203" dataDxfId="7182"/>
    <tableColumn id="9228" xr3:uid="{816A29B5-73C2-4837-8C80-187A98820363}" name="Column9204" dataDxfId="7181"/>
    <tableColumn id="9229" xr3:uid="{451F78A5-65AA-4B1C-944C-C532F195434E}" name="Column9205" dataDxfId="7180"/>
    <tableColumn id="9230" xr3:uid="{8F731D39-6F94-48DF-9150-591BFF21989C}" name="Column9206" dataDxfId="7179"/>
    <tableColumn id="9231" xr3:uid="{95DDFEA5-149F-414E-A88A-3BC4FE2D384C}" name="Column9207" dataDxfId="7178"/>
    <tableColumn id="9232" xr3:uid="{F7511189-90B1-40E4-8E28-A376F6C144E4}" name="Column9208" dataDxfId="7177"/>
    <tableColumn id="9233" xr3:uid="{4DBEFE3A-2A8C-4FD6-9768-22CD67C8C8D4}" name="Column9209" dataDxfId="7176"/>
    <tableColumn id="9234" xr3:uid="{F01F73A8-6D5C-402B-99B6-E23197045BA4}" name="Column9210" dataDxfId="7175"/>
    <tableColumn id="9235" xr3:uid="{A687B306-C3CC-42A4-8F9A-BCA6E41507B6}" name="Column9211" dataDxfId="7174"/>
    <tableColumn id="9236" xr3:uid="{5493C442-C3EC-4F8D-B543-B8025B8B5CE1}" name="Column9212" dataDxfId="7173"/>
    <tableColumn id="9237" xr3:uid="{161FCCB8-B496-41AA-A6C6-E48E3663CA83}" name="Column9213" dataDxfId="7172"/>
    <tableColumn id="9238" xr3:uid="{DEDA63B6-4C94-4618-A34A-EE0F99D3B6D0}" name="Column9214" dataDxfId="7171"/>
    <tableColumn id="9239" xr3:uid="{C02ED6D6-A501-4006-9C62-8014FF38AE97}" name="Column9215" dataDxfId="7170"/>
    <tableColumn id="9240" xr3:uid="{BF397949-9992-4520-9D17-1E4DDE0FED8C}" name="Column9216" dataDxfId="7169"/>
    <tableColumn id="9241" xr3:uid="{A0A9B844-FF17-483E-AA6B-BE350E537A86}" name="Column9217" dataDxfId="7168"/>
    <tableColumn id="9242" xr3:uid="{CD4E8CC4-6E97-47CC-886C-17DB7CEA5B03}" name="Column9218" dataDxfId="7167"/>
    <tableColumn id="9243" xr3:uid="{8A9FB1AF-03CB-44BE-BB48-80DEEC2A2A3F}" name="Column9219" dataDxfId="7166"/>
    <tableColumn id="9244" xr3:uid="{F1C28847-C5AC-4782-BFBF-AA1DE53034E9}" name="Column9220" dataDxfId="7165"/>
    <tableColumn id="9245" xr3:uid="{DE713C51-E10C-425E-97C3-57C4FD7B7172}" name="Column9221" dataDxfId="7164"/>
    <tableColumn id="9246" xr3:uid="{A74B5BAA-F1D7-4ECC-BB79-5A6AEFAF7C1D}" name="Column9222" dataDxfId="7163"/>
    <tableColumn id="9247" xr3:uid="{2F84020E-FE27-4091-B01B-91ED8A3709D6}" name="Column9223" dataDxfId="7162"/>
    <tableColumn id="9248" xr3:uid="{24C8FBCB-7A08-4EFC-BFCC-1DFF8368BBB2}" name="Column9224" dataDxfId="7161"/>
    <tableColumn id="9249" xr3:uid="{22F4BC2C-CF2C-4123-BE03-565718322867}" name="Column9225" dataDxfId="7160"/>
    <tableColumn id="9250" xr3:uid="{15003CB5-BE7B-42DB-A236-211B34958ED7}" name="Column9226" dataDxfId="7159"/>
    <tableColumn id="9251" xr3:uid="{BC3249C2-14C1-4290-ADF2-417E508F45E7}" name="Column9227" dataDxfId="7158"/>
    <tableColumn id="9252" xr3:uid="{9422DA73-4763-499C-BD77-3603010C11CE}" name="Column9228" dataDxfId="7157"/>
    <tableColumn id="9253" xr3:uid="{34A6563B-B0E9-4A81-BEF2-6C58C27F47B6}" name="Column9229" dataDxfId="7156"/>
    <tableColumn id="9254" xr3:uid="{DEB83C1B-3E68-458D-B1F7-0B83411B8A02}" name="Column9230" dataDxfId="7155"/>
    <tableColumn id="9255" xr3:uid="{31BDE423-31D4-4056-9D03-FA479F620D0D}" name="Column9231" dataDxfId="7154"/>
    <tableColumn id="9256" xr3:uid="{82BA5044-7BFC-4DAD-B967-1F14EB721F74}" name="Column9232" dataDxfId="7153"/>
    <tableColumn id="9257" xr3:uid="{06921346-BE76-4494-9253-4AD969BA1A90}" name="Column9233" dataDxfId="7152"/>
    <tableColumn id="9258" xr3:uid="{9C0A7311-10FE-43F8-BFC6-76BFDAFBE16A}" name="Column9234" dataDxfId="7151"/>
    <tableColumn id="9259" xr3:uid="{4831D00D-E9B0-4FF5-A966-D24D400A599A}" name="Column9235" dataDxfId="7150"/>
    <tableColumn id="9260" xr3:uid="{7A32F220-5064-4F99-BF9B-083036F8C0F2}" name="Column9236" dataDxfId="7149"/>
    <tableColumn id="9261" xr3:uid="{725BDD8A-F08D-4D01-AA3D-29F09D123C96}" name="Column9237" dataDxfId="7148"/>
    <tableColumn id="9262" xr3:uid="{B8921FF9-46DD-4FED-B97D-41C105356DB9}" name="Column9238" dataDxfId="7147"/>
    <tableColumn id="9263" xr3:uid="{80AC576D-3A6D-4A49-85CB-578DFDFFF03E}" name="Column9239" dataDxfId="7146"/>
    <tableColumn id="9264" xr3:uid="{14CED030-11D2-4775-9723-A9E253D869F0}" name="Column9240" dataDxfId="7145"/>
    <tableColumn id="9265" xr3:uid="{590CB77C-4047-4696-9E6B-ADF40E843A5C}" name="Column9241" dataDxfId="7144"/>
    <tableColumn id="9266" xr3:uid="{7319A336-9785-477F-B7DC-C42C69FB45A0}" name="Column9242" dataDxfId="7143"/>
    <tableColumn id="9267" xr3:uid="{59494D05-2F6B-427B-A773-7102C5D6F2CF}" name="Column9243" dataDxfId="7142"/>
    <tableColumn id="9268" xr3:uid="{106C8199-1BE0-4A06-8F2B-AAAFEB699178}" name="Column9244" dataDxfId="7141"/>
    <tableColumn id="9269" xr3:uid="{088ABD5A-8D15-4945-B321-8D4788867E99}" name="Column9245" dataDxfId="7140"/>
    <tableColumn id="9270" xr3:uid="{0E65EC5F-CD4A-427C-B457-B0FCC86D7332}" name="Column9246" dataDxfId="7139"/>
    <tableColumn id="9271" xr3:uid="{62BB6713-71E6-4DF0-B77A-1CD80E4E83AC}" name="Column9247" dataDxfId="7138"/>
    <tableColumn id="9272" xr3:uid="{16D7D125-5119-49BA-A8B1-B6D48370DEA7}" name="Column9248" dataDxfId="7137"/>
    <tableColumn id="9273" xr3:uid="{942E48B9-2C16-4085-85F6-0758EE7662CD}" name="Column9249" dataDxfId="7136"/>
    <tableColumn id="9274" xr3:uid="{C4C1E6F7-3C92-437E-A9DF-301D1EBF8CBE}" name="Column9250" dataDxfId="7135"/>
    <tableColumn id="9275" xr3:uid="{56CCCF1F-0CA8-4A8C-99AC-E3F82BDEBDF1}" name="Column9251" dataDxfId="7134"/>
    <tableColumn id="9276" xr3:uid="{F402F37B-EBEF-42DC-BF92-ACFAC2E8B50A}" name="Column9252" dataDxfId="7133"/>
    <tableColumn id="9277" xr3:uid="{3D4DDE2F-CA8B-4782-905D-06DC9D2D6455}" name="Column9253" dataDxfId="7132"/>
    <tableColumn id="9278" xr3:uid="{C083F6CF-49AA-47E3-B0F6-8837777E00D9}" name="Column9254" dataDxfId="7131"/>
    <tableColumn id="9279" xr3:uid="{D94922AA-8350-4E53-B22A-856FF6D11E42}" name="Column9255" dataDxfId="7130"/>
    <tableColumn id="9280" xr3:uid="{EC16A217-8D19-446A-A257-D49C6A460287}" name="Column9256" dataDxfId="7129"/>
    <tableColumn id="9281" xr3:uid="{C0634A05-BC43-4659-A507-2355E20EEF58}" name="Column9257" dataDxfId="7128"/>
    <tableColumn id="9282" xr3:uid="{D32199B6-5CD6-456A-8141-E3003E83FD9A}" name="Column9258" dataDxfId="7127"/>
    <tableColumn id="9283" xr3:uid="{F1A0DE87-5551-4A18-87ED-B096962F9339}" name="Column9259" dataDxfId="7126"/>
    <tableColumn id="9284" xr3:uid="{E3F06004-B5D6-49E8-8A55-75A23E711A0B}" name="Column9260" dataDxfId="7125"/>
    <tableColumn id="9285" xr3:uid="{667FF17B-0EA9-4363-9D2A-405C338B9E63}" name="Column9261" dataDxfId="7124"/>
    <tableColumn id="9286" xr3:uid="{206ACF93-442B-41C9-9AE6-46B1B12E46C0}" name="Column9262" dataDxfId="7123"/>
    <tableColumn id="9287" xr3:uid="{B5B3DC2B-EAD8-419C-A116-5027C4A1D907}" name="Column9263" dataDxfId="7122"/>
    <tableColumn id="9288" xr3:uid="{850F78B7-18D8-4661-9ADB-E039ABA4D4C8}" name="Column9264" dataDxfId="7121"/>
    <tableColumn id="9289" xr3:uid="{3984B20E-C690-48EC-8ED2-CA1EE5E7B56B}" name="Column9265" dataDxfId="7120"/>
    <tableColumn id="9290" xr3:uid="{A29AD38D-5447-4E51-AD96-14F2606DFD8B}" name="Column9266" dataDxfId="7119"/>
    <tableColumn id="9291" xr3:uid="{B3B02AEF-9D8D-4552-9804-264E7C34F682}" name="Column9267" dataDxfId="7118"/>
    <tableColumn id="9292" xr3:uid="{BA9DA376-72C8-4542-A947-E4BFDA8F20AD}" name="Column9268" dataDxfId="7117"/>
    <tableColumn id="9293" xr3:uid="{86D9BDA0-C98E-4453-8714-E1664673EA17}" name="Column9269" dataDxfId="7116"/>
    <tableColumn id="9294" xr3:uid="{BD087709-4608-4582-8EC8-2099DC2DDAE7}" name="Column9270" dataDxfId="7115"/>
    <tableColumn id="9295" xr3:uid="{990F2A9C-C558-4EF2-A9B8-9487D654C30D}" name="Column9271" dataDxfId="7114"/>
    <tableColumn id="9296" xr3:uid="{BDBE4841-0486-465D-AA3F-EB9DE3CEB5DA}" name="Column9272" dataDxfId="7113"/>
    <tableColumn id="9297" xr3:uid="{727C54B0-CB16-44EF-987D-A31EC76CF451}" name="Column9273" dataDxfId="7112"/>
    <tableColumn id="9298" xr3:uid="{3CF19FA7-C289-423A-828D-72CC3FB38CBE}" name="Column9274" dataDxfId="7111"/>
    <tableColumn id="9299" xr3:uid="{1453717B-D56E-43BF-9A09-D68BB9594EC7}" name="Column9275" dataDxfId="7110"/>
    <tableColumn id="9300" xr3:uid="{2742497F-46BE-4C72-B345-37ABBD80C79C}" name="Column9276" dataDxfId="7109"/>
    <tableColumn id="9301" xr3:uid="{8D9F575C-2FE0-45F2-9D78-281C95E7C0CA}" name="Column9277" dataDxfId="7108"/>
    <tableColumn id="9302" xr3:uid="{D53CF335-A0EB-4A48-9F03-68DE3E8CB559}" name="Column9278" dataDxfId="7107"/>
    <tableColumn id="9303" xr3:uid="{5337FC33-768B-46BA-BAD3-33D772CECF3F}" name="Column9279" dataDxfId="7106"/>
    <tableColumn id="9304" xr3:uid="{81F5E643-3069-47CB-B121-AF91E8AABC7A}" name="Column9280" dataDxfId="7105"/>
    <tableColumn id="9305" xr3:uid="{AAFAA00D-25F8-4983-932B-ABDC37069920}" name="Column9281" dataDxfId="7104"/>
    <tableColumn id="9306" xr3:uid="{1EF09141-DF04-4375-95D3-FEEAF49D57EC}" name="Column9282" dataDxfId="7103"/>
    <tableColumn id="9307" xr3:uid="{AE97FDA3-5633-461E-A493-18DF1C6482A4}" name="Column9283" dataDxfId="7102"/>
    <tableColumn id="9308" xr3:uid="{E5E6188A-3C19-4A86-AB60-97248C3816EC}" name="Column9284" dataDxfId="7101"/>
    <tableColumn id="9309" xr3:uid="{CB38FD55-E552-4896-BE6A-AFD430468A9A}" name="Column9285" dataDxfId="7100"/>
    <tableColumn id="9310" xr3:uid="{53C86D6A-6028-4EF8-B7AE-2E8526E4B739}" name="Column9286" dataDxfId="7099"/>
    <tableColumn id="9311" xr3:uid="{00DF3749-BEE6-4E7A-BD70-F2C1C7BDDD61}" name="Column9287" dataDxfId="7098"/>
    <tableColumn id="9312" xr3:uid="{9758BEAE-5BC5-4862-8B8D-F93B80FA1977}" name="Column9288" dataDxfId="7097"/>
    <tableColumn id="9313" xr3:uid="{311C0852-55EB-41B0-A64B-58B6F1148BE1}" name="Column9289" dataDxfId="7096"/>
    <tableColumn id="9314" xr3:uid="{8B464D77-F5DD-427E-845E-D8CC44BFDD20}" name="Column9290" dataDxfId="7095"/>
    <tableColumn id="9315" xr3:uid="{B2E80F53-4FE3-4525-8273-E8370F9973F9}" name="Column9291" dataDxfId="7094"/>
    <tableColumn id="9316" xr3:uid="{A0CD10E3-9DDD-4519-AA98-0A50BEE7BE7E}" name="Column9292" dataDxfId="7093"/>
    <tableColumn id="9317" xr3:uid="{9EE8739A-A4ED-453F-81D9-B4C35AEE7FAC}" name="Column9293" dataDxfId="7092"/>
    <tableColumn id="9318" xr3:uid="{4701F789-CB5B-4977-B61E-539343FDE8AE}" name="Column9294" dataDxfId="7091"/>
    <tableColumn id="9319" xr3:uid="{E14572B2-D56E-4832-8BC1-47140C2460BB}" name="Column9295" dataDxfId="7090"/>
    <tableColumn id="9320" xr3:uid="{85771C5C-FF65-4B18-A1A9-3FDE7F8D3392}" name="Column9296" dataDxfId="7089"/>
    <tableColumn id="9321" xr3:uid="{90AA55E1-294F-4D53-9B32-97F85B5C4D6A}" name="Column9297" dataDxfId="7088"/>
    <tableColumn id="9322" xr3:uid="{6F024665-A4E2-48E1-8676-FD29C4B3FEA3}" name="Column9298" dataDxfId="7087"/>
    <tableColumn id="9323" xr3:uid="{355EA1F6-10A2-4937-A9D8-DF3DB75DFC49}" name="Column9299" dataDxfId="7086"/>
    <tableColumn id="9324" xr3:uid="{8ACFB32C-10BF-4C66-A5BA-08D80B1C3FCF}" name="Column9300" dataDxfId="7085"/>
    <tableColumn id="9325" xr3:uid="{F9E2A1A3-07D3-444E-A429-9C7BD355E12B}" name="Column9301" dataDxfId="7084"/>
    <tableColumn id="9326" xr3:uid="{DD500D91-4347-4A43-914E-9DFA7CE0CE5C}" name="Column9302" dataDxfId="7083"/>
    <tableColumn id="9327" xr3:uid="{C6ECCE12-9EB7-4884-9473-5FAAD8E9EEA3}" name="Column9303" dataDxfId="7082"/>
    <tableColumn id="9328" xr3:uid="{55344BC0-CA05-4BDB-A1D1-F7AE7EBA9B61}" name="Column9304" dataDxfId="7081"/>
    <tableColumn id="9329" xr3:uid="{311B9356-1FA8-4691-94BF-ADF68DA2306F}" name="Column9305" dataDxfId="7080"/>
    <tableColumn id="9330" xr3:uid="{E4E2B804-E477-4E0C-AABB-2356C9268A10}" name="Column9306" dataDxfId="7079"/>
    <tableColumn id="9331" xr3:uid="{D02B50E7-FDCD-4FAD-848E-D3C8AA8FCDF6}" name="Column9307" dataDxfId="7078"/>
    <tableColumn id="9332" xr3:uid="{7B073DC9-CC8B-43DD-8856-C08E80C34165}" name="Column9308" dataDxfId="7077"/>
    <tableColumn id="9333" xr3:uid="{7D6D1D5A-4D4C-479A-B53F-7CDF6FD1EA8C}" name="Column9309" dataDxfId="7076"/>
    <tableColumn id="9334" xr3:uid="{7F2A692B-9D3B-4994-BAE1-6FA653618111}" name="Column9310" dataDxfId="7075"/>
    <tableColumn id="9335" xr3:uid="{636FF120-D6B1-4E9B-8CB4-FE24E33EF0D4}" name="Column9311" dataDxfId="7074"/>
    <tableColumn id="9336" xr3:uid="{1892089E-677A-4890-8B3E-D65F313CF7EC}" name="Column9312" dataDxfId="7073"/>
    <tableColumn id="9337" xr3:uid="{3FE12CF4-C70B-47F8-BCEB-FFE276E2B92A}" name="Column9313" dataDxfId="7072"/>
    <tableColumn id="9338" xr3:uid="{D1CCF502-F49F-4314-BC8C-A16A51C827C6}" name="Column9314" dataDxfId="7071"/>
    <tableColumn id="9339" xr3:uid="{C0EBFF93-98BE-4C41-B6D8-8C4A9549A859}" name="Column9315" dataDxfId="7070"/>
    <tableColumn id="9340" xr3:uid="{39F642B2-46FB-4C4B-9960-7834E92BA866}" name="Column9316" dataDxfId="7069"/>
    <tableColumn id="9341" xr3:uid="{DFE1D274-40EF-4E90-97C3-9623984E10BF}" name="Column9317" dataDxfId="7068"/>
    <tableColumn id="9342" xr3:uid="{45B0FA26-1F28-4A1E-9528-743B7555E207}" name="Column9318" dataDxfId="7067"/>
    <tableColumn id="9343" xr3:uid="{7685A758-47D8-4EAC-8C61-8892ECB87C71}" name="Column9319" dataDxfId="7066"/>
    <tableColumn id="9344" xr3:uid="{84260CE1-33DC-43F5-9E18-094E87B554A4}" name="Column9320" dataDxfId="7065"/>
    <tableColumn id="9345" xr3:uid="{69F5401E-84FE-4E50-B36C-D45BBC6A4E98}" name="Column9321" dataDxfId="7064"/>
    <tableColumn id="9346" xr3:uid="{72295D8F-143B-4DA3-BF70-2D3650624A36}" name="Column9322" dataDxfId="7063"/>
    <tableColumn id="9347" xr3:uid="{EDCCA22C-3839-49F9-8DDF-1119B7BB9EE3}" name="Column9323" dataDxfId="7062"/>
    <tableColumn id="9348" xr3:uid="{BA1E122B-706B-4831-930E-F8B3CC34379B}" name="Column9324" dataDxfId="7061"/>
    <tableColumn id="9349" xr3:uid="{5BE428D4-07B1-41CF-9083-534B1FE6C2DB}" name="Column9325" dataDxfId="7060"/>
    <tableColumn id="9350" xr3:uid="{EA455406-0611-4AF6-9B84-E6EC6FB9FC98}" name="Column9326" dataDxfId="7059"/>
    <tableColumn id="9351" xr3:uid="{EEB4EEF9-049C-485B-8C4E-5C873C0AC666}" name="Column9327" dataDxfId="7058"/>
    <tableColumn id="9352" xr3:uid="{99D695F1-BE70-43B6-9A77-9A8462ECE665}" name="Column9328" dataDxfId="7057"/>
    <tableColumn id="9353" xr3:uid="{756EAEA9-B6A6-4970-8045-A64052A25A38}" name="Column9329" dataDxfId="7056"/>
    <tableColumn id="9354" xr3:uid="{7B476C43-5F85-4AA0-B39A-32704BFB108C}" name="Column9330" dataDxfId="7055"/>
    <tableColumn id="9355" xr3:uid="{82928652-45EE-444E-8AF4-BEA478555E01}" name="Column9331" dataDxfId="7054"/>
    <tableColumn id="9356" xr3:uid="{DA07EE13-6F24-4DE8-B196-E18BA3A83CF4}" name="Column9332" dataDxfId="7053"/>
    <tableColumn id="9357" xr3:uid="{1A6DE665-4E67-4C17-9970-82C95D5F6292}" name="Column9333" dataDxfId="7052"/>
    <tableColumn id="9358" xr3:uid="{4A45FF92-A091-4AD9-ABE5-766662493471}" name="Column9334" dataDxfId="7051"/>
    <tableColumn id="9359" xr3:uid="{33702DAD-645D-4AF0-8D47-1B3CFB0911B7}" name="Column9335" dataDxfId="7050"/>
    <tableColumn id="9360" xr3:uid="{DD272FC1-9C78-4148-8988-B3536F810060}" name="Column9336" dataDxfId="7049"/>
    <tableColumn id="9361" xr3:uid="{E0715858-5E88-4E51-B9A5-91C7450F3F6B}" name="Column9337" dataDxfId="7048"/>
    <tableColumn id="9362" xr3:uid="{35A20A9D-37C0-4497-B370-4257A2668187}" name="Column9338" dataDxfId="7047"/>
    <tableColumn id="9363" xr3:uid="{03D24154-A778-4A47-9CD4-E5DC8DDE1BDD}" name="Column9339" dataDxfId="7046"/>
    <tableColumn id="9364" xr3:uid="{71681416-22BD-4959-B384-6E46834C0887}" name="Column9340" dataDxfId="7045"/>
    <tableColumn id="9365" xr3:uid="{A0A0232B-E67D-4E6A-97C0-C63A7ECBCC64}" name="Column9341" dataDxfId="7044"/>
    <tableColumn id="9366" xr3:uid="{0F142C13-EE03-4168-B8B1-CE00748EA94C}" name="Column9342" dataDxfId="7043"/>
    <tableColumn id="9367" xr3:uid="{8F51C098-ED59-48E2-81BB-176B63A57876}" name="Column9343" dataDxfId="7042"/>
    <tableColumn id="9368" xr3:uid="{60906189-9171-47C3-9F13-AF608139005D}" name="Column9344" dataDxfId="7041"/>
    <tableColumn id="9369" xr3:uid="{DEC90889-F433-4030-8913-67F6E5A4B1C9}" name="Column9345" dataDxfId="7040"/>
    <tableColumn id="9370" xr3:uid="{9A03D342-98C9-4CF4-83F4-B9CF2247EBAD}" name="Column9346" dataDxfId="7039"/>
    <tableColumn id="9371" xr3:uid="{A9B9EA4A-A805-4443-A73B-565625B06765}" name="Column9347" dataDxfId="7038"/>
    <tableColumn id="9372" xr3:uid="{C48B7022-B5F8-4047-9EFA-D0F48EA3A42F}" name="Column9348" dataDxfId="7037"/>
    <tableColumn id="9373" xr3:uid="{4C20596D-B7E8-4B03-92EE-B8BB13C2DE6B}" name="Column9349" dataDxfId="7036"/>
    <tableColumn id="9374" xr3:uid="{B11B66CB-F8E7-43F7-94EE-75A01C76A4F2}" name="Column9350" dataDxfId="7035"/>
    <tableColumn id="9375" xr3:uid="{EA9AB319-D3B0-444A-9F62-BC6C8EE37266}" name="Column9351" dataDxfId="7034"/>
    <tableColumn id="9376" xr3:uid="{9A0CE0F4-C95B-47B4-8B23-59AD631F9A66}" name="Column9352" dataDxfId="7033"/>
    <tableColumn id="9377" xr3:uid="{C809709F-9672-4E63-B9F2-C7DB358BC7D0}" name="Column9353" dataDxfId="7032"/>
    <tableColumn id="9378" xr3:uid="{A1D681EF-24DE-40AA-BB8C-D3A192FA1C94}" name="Column9354" dataDxfId="7031"/>
    <tableColumn id="9379" xr3:uid="{C0480F56-4F50-4ED7-930F-E47C73F3691A}" name="Column9355" dataDxfId="7030"/>
    <tableColumn id="9380" xr3:uid="{D6132C32-C7B7-48EA-9DB3-DB38FAD90E3B}" name="Column9356" dataDxfId="7029"/>
    <tableColumn id="9381" xr3:uid="{9AC3F318-4C50-45AC-AB64-5D8E2EA46545}" name="Column9357" dataDxfId="7028"/>
    <tableColumn id="9382" xr3:uid="{BE149AC5-C13C-4277-89EC-CBA580026240}" name="Column9358" dataDxfId="7027"/>
    <tableColumn id="9383" xr3:uid="{B753EC0F-FBB3-4722-998F-21C9C8AC4049}" name="Column9359" dataDxfId="7026"/>
    <tableColumn id="9384" xr3:uid="{99F5641B-42D4-404E-933D-A79FD5E70B93}" name="Column9360" dataDxfId="7025"/>
    <tableColumn id="9385" xr3:uid="{5A1980B8-5C04-400C-ABE9-F6EFA9A5D677}" name="Column9361" dataDxfId="7024"/>
    <tableColumn id="9386" xr3:uid="{724B15D3-88DB-46B0-8E4B-736838DC6A19}" name="Column9362" dataDxfId="7023"/>
    <tableColumn id="9387" xr3:uid="{1E654A98-5C44-48CF-8782-1BF325B346CA}" name="Column9363" dataDxfId="7022"/>
    <tableColumn id="9388" xr3:uid="{8D3F562A-CE17-4635-88FA-5B3497FC18C8}" name="Column9364" dataDxfId="7021"/>
    <tableColumn id="9389" xr3:uid="{E76A530E-F1A7-4922-B4A5-EB4BA8183CBC}" name="Column9365" dataDxfId="7020"/>
    <tableColumn id="9390" xr3:uid="{153C9786-DCCF-45F5-B796-2DB866DD4CBE}" name="Column9366" dataDxfId="7019"/>
    <tableColumn id="9391" xr3:uid="{EA18A2C7-6892-4554-A83A-91F43C410A7C}" name="Column9367" dataDxfId="7018"/>
    <tableColumn id="9392" xr3:uid="{56F062EC-537C-498D-8FF7-2ACE474B7FD8}" name="Column9368" dataDxfId="7017"/>
    <tableColumn id="9393" xr3:uid="{2DFE41F6-31AF-4D95-A3BA-136C03BC1FA9}" name="Column9369" dataDxfId="7016"/>
    <tableColumn id="9394" xr3:uid="{1411B73B-536D-4344-867F-DBE67678A618}" name="Column9370" dataDxfId="7015"/>
    <tableColumn id="9395" xr3:uid="{02F77C70-C064-44B0-8FE7-A76FE15DF784}" name="Column9371" dataDxfId="7014"/>
    <tableColumn id="9396" xr3:uid="{FF59114F-0E53-431D-BC72-746F9D0E1138}" name="Column9372" dataDxfId="7013"/>
    <tableColumn id="9397" xr3:uid="{94A22F1A-1634-4BB0-BED6-B9DF55CC7184}" name="Column9373" dataDxfId="7012"/>
    <tableColumn id="9398" xr3:uid="{B79EC120-9B30-42DB-A0BB-4102C1BF9BD5}" name="Column9374" dataDxfId="7011"/>
    <tableColumn id="9399" xr3:uid="{1CDAAB84-D95A-4BFE-9C55-8BF77486DC4C}" name="Column9375" dataDxfId="7010"/>
    <tableColumn id="9400" xr3:uid="{EB98718A-A285-40DB-BADC-41092779E689}" name="Column9376" dataDxfId="7009"/>
    <tableColumn id="9401" xr3:uid="{ABE63C30-A23F-4B23-9317-007F7A63230A}" name="Column9377" dataDxfId="7008"/>
    <tableColumn id="9402" xr3:uid="{63D3780B-5D96-4B1A-8CD6-939BB1B19C8A}" name="Column9378" dataDxfId="7007"/>
    <tableColumn id="9403" xr3:uid="{E4BC4B2E-CACF-4146-924B-D55085289A23}" name="Column9379" dataDxfId="7006"/>
    <tableColumn id="9404" xr3:uid="{A66AA2B3-9D91-40B9-8AD0-D083C4FE63F2}" name="Column9380" dataDxfId="7005"/>
    <tableColumn id="9405" xr3:uid="{A6A47776-3A45-4BB0-B801-AA7F8051A95B}" name="Column9381" dataDxfId="7004"/>
    <tableColumn id="9406" xr3:uid="{86192B84-AE6A-4088-93FE-608A2D2BE861}" name="Column9382" dataDxfId="7003"/>
    <tableColumn id="9407" xr3:uid="{C7992FD0-C325-4545-9C3E-822054165D4E}" name="Column9383" dataDxfId="7002"/>
    <tableColumn id="9408" xr3:uid="{147A41E4-04A9-4EB5-BCC1-ACDEBAF4C56A}" name="Column9384" dataDxfId="7001"/>
    <tableColumn id="9409" xr3:uid="{F39C1364-6F7A-49A1-9900-FE2F5B2B1863}" name="Column9385" dataDxfId="7000"/>
    <tableColumn id="9410" xr3:uid="{DEDEF54D-62AA-4DB2-B363-FE76F2F11EDF}" name="Column9386" dataDxfId="6999"/>
    <tableColumn id="9411" xr3:uid="{88433B1B-5DA5-40DE-86BC-6410AD0FE570}" name="Column9387" dataDxfId="6998"/>
    <tableColumn id="9412" xr3:uid="{725629DC-FC6C-490F-B594-BD3AF0D9C0E2}" name="Column9388" dataDxfId="6997"/>
    <tableColumn id="9413" xr3:uid="{CBFE7AEF-D2AA-4E57-BC9F-90A251D440CE}" name="Column9389" dataDxfId="6996"/>
    <tableColumn id="9414" xr3:uid="{92F7054B-222C-4833-B00C-FAE03603FAD7}" name="Column9390" dataDxfId="6995"/>
    <tableColumn id="9415" xr3:uid="{7F2AA434-0B06-4DCA-A04F-6C601B7482FD}" name="Column9391" dataDxfId="6994"/>
    <tableColumn id="9416" xr3:uid="{E097C36C-E72D-47EC-B98F-DFCF2ABEC7A5}" name="Column9392" dataDxfId="6993"/>
    <tableColumn id="9417" xr3:uid="{506CDD97-614C-4659-85B9-24EA8B0D4A1F}" name="Column9393" dataDxfId="6992"/>
    <tableColumn id="9418" xr3:uid="{84C14ABC-C4C2-4D13-A534-26231861393F}" name="Column9394" dataDxfId="6991"/>
    <tableColumn id="9419" xr3:uid="{E21FC2B5-097A-4A75-9659-E1366EB77610}" name="Column9395" dataDxfId="6990"/>
    <tableColumn id="9420" xr3:uid="{6569EBC7-8DAA-4B8F-BF37-4EBEC4A0366B}" name="Column9396" dataDxfId="6989"/>
    <tableColumn id="9421" xr3:uid="{817889A5-8B36-49EC-87DC-EA3267A46A57}" name="Column9397" dataDxfId="6988"/>
    <tableColumn id="9422" xr3:uid="{5350ABD7-2D48-42C7-B469-BA28878356CE}" name="Column9398" dataDxfId="6987"/>
    <tableColumn id="9423" xr3:uid="{72DCE3F5-931F-4FC1-9670-E134DA6EA7A8}" name="Column9399" dataDxfId="6986"/>
    <tableColumn id="9424" xr3:uid="{0B2D75E6-7C72-4920-A5FA-644B9F3EB14D}" name="Column9400" dataDxfId="6985"/>
    <tableColumn id="9425" xr3:uid="{A6EC33EE-9B2A-4B54-AD0A-958F9FFD0D9F}" name="Column9401" dataDxfId="6984"/>
    <tableColumn id="9426" xr3:uid="{D4BEE5FA-D43D-41A9-8846-DC7E273AE3BB}" name="Column9402" dataDxfId="6983"/>
    <tableColumn id="9427" xr3:uid="{ED34D2C7-7D69-4FF6-B61F-9E5C83573590}" name="Column9403" dataDxfId="6982"/>
    <tableColumn id="9428" xr3:uid="{45515F57-7B6E-4F4B-8D55-BAA6C5720161}" name="Column9404" dataDxfId="6981"/>
    <tableColumn id="9429" xr3:uid="{748F5F3A-C021-4970-A60F-871DC067A65F}" name="Column9405" dataDxfId="6980"/>
    <tableColumn id="9430" xr3:uid="{14E2BAA8-2FD1-4F96-B17D-A70DF43C621F}" name="Column9406" dataDxfId="6979"/>
    <tableColumn id="9431" xr3:uid="{3C4D99EE-D322-4C23-91BA-78994E99AB2F}" name="Column9407" dataDxfId="6978"/>
    <tableColumn id="9432" xr3:uid="{1CA66E77-3688-482B-9305-3C3F38C45115}" name="Column9408" dataDxfId="6977"/>
    <tableColumn id="9433" xr3:uid="{A0D2D70A-1E0C-485C-AACB-0A6866134993}" name="Column9409" dataDxfId="6976"/>
    <tableColumn id="9434" xr3:uid="{19D68096-5540-4ABE-B431-DB13CB2B26EF}" name="Column9410" dataDxfId="6975"/>
    <tableColumn id="9435" xr3:uid="{3F9C95BC-4390-4E22-9211-F0BAE565DE05}" name="Column9411" dataDxfId="6974"/>
    <tableColumn id="9436" xr3:uid="{14FCE0F4-D588-4EEF-8C33-C22FA83C8556}" name="Column9412" dataDxfId="6973"/>
    <tableColumn id="9437" xr3:uid="{BCCA1552-AF22-47C7-B636-6CBABA546297}" name="Column9413" dataDxfId="6972"/>
    <tableColumn id="9438" xr3:uid="{55BEDDD3-B38B-4DBE-AD07-3640D48F40E7}" name="Column9414" dataDxfId="6971"/>
    <tableColumn id="9439" xr3:uid="{F3527A92-E128-42FA-960E-8A826C249C07}" name="Column9415" dataDxfId="6970"/>
    <tableColumn id="9440" xr3:uid="{3BA33CC2-1F1F-4356-B70E-31C19367B101}" name="Column9416" dataDxfId="6969"/>
    <tableColumn id="9441" xr3:uid="{40E5F993-6585-4C9B-AFFF-E1705CFE8335}" name="Column9417" dataDxfId="6968"/>
    <tableColumn id="9442" xr3:uid="{D94ECC71-F824-4A24-9791-67448AC44932}" name="Column9418" dataDxfId="6967"/>
    <tableColumn id="9443" xr3:uid="{6414CC74-157A-4247-80F8-8524D6B5AA6A}" name="Column9419" dataDxfId="6966"/>
    <tableColumn id="9444" xr3:uid="{4113F079-AA40-4C2B-90CE-C7F8A18E42D7}" name="Column9420" dataDxfId="6965"/>
    <tableColumn id="9445" xr3:uid="{8235B6EB-2C84-49E7-864B-A03CEC0E862E}" name="Column9421" dataDxfId="6964"/>
    <tableColumn id="9446" xr3:uid="{B2C12095-DDF6-48CA-9DBA-27F5B658C9E7}" name="Column9422" dataDxfId="6963"/>
    <tableColumn id="9447" xr3:uid="{C234DCEE-9579-4634-B1C7-81BA0D162390}" name="Column9423" dataDxfId="6962"/>
    <tableColumn id="9448" xr3:uid="{E02BDD46-D0D1-42DA-A822-DA41A49214CD}" name="Column9424" dataDxfId="6961"/>
    <tableColumn id="9449" xr3:uid="{65308985-5442-484D-A38B-6F25596FD733}" name="Column9425" dataDxfId="6960"/>
    <tableColumn id="9450" xr3:uid="{A06C86B1-223C-4BA7-B850-7822D0A64663}" name="Column9426" dataDxfId="6959"/>
    <tableColumn id="9451" xr3:uid="{CFB4735E-34E7-49A6-AC5D-806622AAA731}" name="Column9427" dataDxfId="6958"/>
    <tableColumn id="9452" xr3:uid="{808C67BA-D5EF-4027-9195-B20EC3DFC070}" name="Column9428" dataDxfId="6957"/>
    <tableColumn id="9453" xr3:uid="{BA287366-01E7-437C-9ACF-B4CA37EA64E5}" name="Column9429" dataDxfId="6956"/>
    <tableColumn id="9454" xr3:uid="{CE1C088D-8586-4D8A-81F7-951CE0E0B7DD}" name="Column9430" dataDxfId="6955"/>
    <tableColumn id="9455" xr3:uid="{7E8B84F8-7DA2-412A-9611-0240C17AA3E7}" name="Column9431" dataDxfId="6954"/>
    <tableColumn id="9456" xr3:uid="{2351766E-6BB7-4FCA-AAC1-5D7C0FCE6A8A}" name="Column9432" dataDxfId="6953"/>
    <tableColumn id="9457" xr3:uid="{1DD0E949-C591-449E-9176-40FA55771EB1}" name="Column9433" dataDxfId="6952"/>
    <tableColumn id="9458" xr3:uid="{F8B8D776-3A07-4F28-A69C-2C69D50ABEDD}" name="Column9434" dataDxfId="6951"/>
    <tableColumn id="9459" xr3:uid="{FA879CB0-E740-40D1-9620-1EFA294F4A1B}" name="Column9435" dataDxfId="6950"/>
    <tableColumn id="9460" xr3:uid="{D07C4F97-5EAC-4C19-AA5B-619D7D8C3B4D}" name="Column9436" dataDxfId="6949"/>
    <tableColumn id="9461" xr3:uid="{2B719A27-42B6-4336-A41D-DADBDF530823}" name="Column9437" dataDxfId="6948"/>
    <tableColumn id="9462" xr3:uid="{9DF6517B-448F-4514-ADDF-7BF1D0074B7C}" name="Column9438" dataDxfId="6947"/>
    <tableColumn id="9463" xr3:uid="{A715DB35-121B-4FC3-A855-66E35016E270}" name="Column9439" dataDxfId="6946"/>
    <tableColumn id="9464" xr3:uid="{5BFBF1F0-F269-4A29-949A-10B5032B7189}" name="Column9440" dataDxfId="6945"/>
    <tableColumn id="9465" xr3:uid="{43BAFD67-BA49-495C-94D1-4B2FC8D29481}" name="Column9441" dataDxfId="6944"/>
    <tableColumn id="9466" xr3:uid="{52822EBE-369F-4E1C-9D05-B12860E89C71}" name="Column9442" dataDxfId="6943"/>
    <tableColumn id="9467" xr3:uid="{B2771059-D23D-4294-9DE3-3559C61815DB}" name="Column9443" dataDxfId="6942"/>
    <tableColumn id="9468" xr3:uid="{C2BC16E3-34C2-4378-9FFA-949FFCE1A3F1}" name="Column9444" dataDxfId="6941"/>
    <tableColumn id="9469" xr3:uid="{1E5285ED-278C-422B-B491-80C87C14FAF8}" name="Column9445" dataDxfId="6940"/>
    <tableColumn id="9470" xr3:uid="{3009514D-8146-456F-88AC-D7273C018950}" name="Column9446" dataDxfId="6939"/>
    <tableColumn id="9471" xr3:uid="{954C28C1-49A1-49F1-B9FE-A6BE8F78C96E}" name="Column9447" dataDxfId="6938"/>
    <tableColumn id="9472" xr3:uid="{E4250108-94B7-45A5-BEF0-750FC4D0595A}" name="Column9448" dataDxfId="6937"/>
    <tableColumn id="9473" xr3:uid="{A74DE859-53C1-43D5-AC76-9E68E9D6EB8B}" name="Column9449" dataDxfId="6936"/>
    <tableColumn id="9474" xr3:uid="{C0924220-0138-4E4D-B141-4303916AEACA}" name="Column9450" dataDxfId="6935"/>
    <tableColumn id="9475" xr3:uid="{3DEA2031-F966-4F6D-BFCA-E43132CD11A7}" name="Column9451" dataDxfId="6934"/>
    <tableColumn id="9476" xr3:uid="{58DB7B9F-4C6C-4B8D-9029-37BDCBD0B175}" name="Column9452" dataDxfId="6933"/>
    <tableColumn id="9477" xr3:uid="{656A27EE-A3BD-4A09-8FDB-1B1035B6B1C4}" name="Column9453" dataDxfId="6932"/>
    <tableColumn id="9478" xr3:uid="{AE94B347-F391-494B-A7B8-F155A8C60E3C}" name="Column9454" dataDxfId="6931"/>
    <tableColumn id="9479" xr3:uid="{E94694C0-5FC7-4D95-9F6D-87B639D26668}" name="Column9455" dataDxfId="6930"/>
    <tableColumn id="9480" xr3:uid="{838D95BA-4BDF-4E4A-9413-84A851C15AC6}" name="Column9456" dataDxfId="6929"/>
    <tableColumn id="9481" xr3:uid="{8E7479C1-D509-4521-9E4E-C565461CE306}" name="Column9457" dataDxfId="6928"/>
    <tableColumn id="9482" xr3:uid="{CDDB6C7B-7F9B-4D7E-A5B7-DA7172546841}" name="Column9458" dataDxfId="6927"/>
    <tableColumn id="9483" xr3:uid="{96E9CDD7-7CF3-4DDD-8C99-333B7840C6FC}" name="Column9459" dataDxfId="6926"/>
    <tableColumn id="9484" xr3:uid="{C4E12628-E053-4163-97AF-2A24F49606E5}" name="Column9460" dataDxfId="6925"/>
    <tableColumn id="9485" xr3:uid="{39918F64-E413-42F3-9CAD-AD798995FC16}" name="Column9461" dataDxfId="6924"/>
    <tableColumn id="9486" xr3:uid="{9E081B0B-76E7-412D-AE9F-1B56715E6BD2}" name="Column9462" dataDxfId="6923"/>
    <tableColumn id="9487" xr3:uid="{68BD2879-C0DF-44EB-A47F-3F722F2C489B}" name="Column9463" dataDxfId="6922"/>
    <tableColumn id="9488" xr3:uid="{EBA9468E-B395-488C-AE6F-31B08E453A33}" name="Column9464" dataDxfId="6921"/>
    <tableColumn id="9489" xr3:uid="{1140FD53-C11A-4E9F-B8BE-94CC23764ACA}" name="Column9465" dataDxfId="6920"/>
    <tableColumn id="9490" xr3:uid="{CC7ED3CD-5513-466E-94CC-710653875AE9}" name="Column9466" dataDxfId="6919"/>
    <tableColumn id="9491" xr3:uid="{DCF9FC96-320F-4E2F-8F2D-9984AA2453BA}" name="Column9467" dataDxfId="6918"/>
    <tableColumn id="9492" xr3:uid="{5C0D7D75-A244-4D25-A38F-EE6F6D960A61}" name="Column9468" dataDxfId="6917"/>
    <tableColumn id="9493" xr3:uid="{777CE3B6-3766-46D0-A450-0ECC33823CA5}" name="Column9469" dataDxfId="6916"/>
    <tableColumn id="9494" xr3:uid="{6AB736C1-DF88-4D26-BDBE-08010CCC26BF}" name="Column9470" dataDxfId="6915"/>
    <tableColumn id="9495" xr3:uid="{3B86C0C8-30B1-4E98-A2C7-A427C02DC2AD}" name="Column9471" dataDxfId="6914"/>
    <tableColumn id="9496" xr3:uid="{9FF2ED80-7C6D-4B1D-B7A7-6369B9A6BD77}" name="Column9472" dataDxfId="6913"/>
    <tableColumn id="9497" xr3:uid="{BC9D5F00-6522-4BB4-9AEC-A6023948778C}" name="Column9473" dataDxfId="6912"/>
    <tableColumn id="9498" xr3:uid="{8A32B8F9-82BD-47B6-A565-0E37A5713667}" name="Column9474" dataDxfId="6911"/>
    <tableColumn id="9499" xr3:uid="{59F4D39C-87AF-4726-A5B5-C60C77401BE8}" name="Column9475" dataDxfId="6910"/>
    <tableColumn id="9500" xr3:uid="{99C9CF90-EE9F-4242-8632-80799B695428}" name="Column9476" dataDxfId="6909"/>
    <tableColumn id="9501" xr3:uid="{062263AB-0EB6-423C-AEC8-AEFD77ACC72D}" name="Column9477" dataDxfId="6908"/>
    <tableColumn id="9502" xr3:uid="{325DB962-B44D-4E6D-B281-9655EEE20FCA}" name="Column9478" dataDxfId="6907"/>
    <tableColumn id="9503" xr3:uid="{68411E5D-1795-4745-A2DD-80293ABD1E4B}" name="Column9479" dataDxfId="6906"/>
    <tableColumn id="9504" xr3:uid="{98CC8C49-0B1A-4ECD-8941-5DD6075F7179}" name="Column9480" dataDxfId="6905"/>
    <tableColumn id="9505" xr3:uid="{D992739B-D031-456D-B281-950C8BD6151D}" name="Column9481" dataDxfId="6904"/>
    <tableColumn id="9506" xr3:uid="{6C069CDC-BBC8-44B3-A940-1C038864BE53}" name="Column9482" dataDxfId="6903"/>
    <tableColumn id="9507" xr3:uid="{95117057-1FA4-46F8-BF06-FB5A1EF4E2D4}" name="Column9483" dataDxfId="6902"/>
    <tableColumn id="9508" xr3:uid="{2ECF8C8A-4FCF-4B57-88A5-6170A0422CCD}" name="Column9484" dataDxfId="6901"/>
    <tableColumn id="9509" xr3:uid="{33DDCC1D-0116-4906-85A3-D33F50973F47}" name="Column9485" dataDxfId="6900"/>
    <tableColumn id="9510" xr3:uid="{C68E1FC1-9C25-4DFA-883C-E9144F74695D}" name="Column9486" dataDxfId="6899"/>
    <tableColumn id="9511" xr3:uid="{D41C5E51-F684-41EA-9E0D-8A9CA70A5143}" name="Column9487" dataDxfId="6898"/>
    <tableColumn id="9512" xr3:uid="{15AB33A0-4542-4D70-B97E-97CAA927769E}" name="Column9488" dataDxfId="6897"/>
    <tableColumn id="9513" xr3:uid="{9FBD9F0A-F511-462C-8773-5355B035AF64}" name="Column9489" dataDxfId="6896"/>
    <tableColumn id="9514" xr3:uid="{9478B1C7-FE9D-4822-9D9F-74B99C105408}" name="Column9490" dataDxfId="6895"/>
    <tableColumn id="9515" xr3:uid="{FA306393-D4D3-4488-B925-B1E374A47B94}" name="Column9491" dataDxfId="6894"/>
    <tableColumn id="9516" xr3:uid="{7A1C21D5-D95F-44D1-8BAA-D6CF55393141}" name="Column9492" dataDxfId="6893"/>
    <tableColumn id="9517" xr3:uid="{6A456DCD-0142-4A1E-9D02-2496C58F2508}" name="Column9493" dataDxfId="6892"/>
    <tableColumn id="9518" xr3:uid="{A6FED1B0-DEB2-4AF9-B09D-F9E79B8D6086}" name="Column9494" dataDxfId="6891"/>
    <tableColumn id="9519" xr3:uid="{F89EC5A6-DC1E-4296-A90A-C964682C12E6}" name="Column9495" dataDxfId="6890"/>
    <tableColumn id="9520" xr3:uid="{BB181EA4-7F29-4A06-8502-DFA7466E38E0}" name="Column9496" dataDxfId="6889"/>
    <tableColumn id="9521" xr3:uid="{0F7CBE53-D53D-4AD0-88C9-FA0B5134B295}" name="Column9497" dataDxfId="6888"/>
    <tableColumn id="9522" xr3:uid="{8B18742D-68B3-4CC7-9E3A-E17612460212}" name="Column9498" dataDxfId="6887"/>
    <tableColumn id="9523" xr3:uid="{67BCF5CD-FFF4-4B05-B11B-74741CBB051D}" name="Column9499" dataDxfId="6886"/>
    <tableColumn id="9524" xr3:uid="{B0EF3BAB-99EE-4AFF-AB33-E5739CE1A791}" name="Column9500" dataDxfId="6885"/>
    <tableColumn id="9525" xr3:uid="{88191401-7716-4BED-B820-790692360B1B}" name="Column9501" dataDxfId="6884"/>
    <tableColumn id="9526" xr3:uid="{9DFB2321-5F39-408A-BCCE-F60FA2A99188}" name="Column9502" dataDxfId="6883"/>
    <tableColumn id="9527" xr3:uid="{6CE35487-5EFE-4A84-B5CC-813D58218250}" name="Column9503" dataDxfId="6882"/>
    <tableColumn id="9528" xr3:uid="{C8B4D535-600E-4F14-9934-926A62FB8CC5}" name="Column9504" dataDxfId="6881"/>
    <tableColumn id="9529" xr3:uid="{3C98AD7E-8ADF-4427-8899-283D137B3573}" name="Column9505" dataDxfId="6880"/>
    <tableColumn id="9530" xr3:uid="{4878087C-4021-471D-AF23-20A382CF82C3}" name="Column9506" dataDxfId="6879"/>
    <tableColumn id="9531" xr3:uid="{F6A9190E-9776-4D75-8D23-25D20ABB251F}" name="Column9507" dataDxfId="6878"/>
    <tableColumn id="9532" xr3:uid="{681E4389-7314-4C8E-AB1B-B10E616AEE87}" name="Column9508" dataDxfId="6877"/>
    <tableColumn id="9533" xr3:uid="{42C192E2-41DD-4E90-905B-34F47D6F7E07}" name="Column9509" dataDxfId="6876"/>
    <tableColumn id="9534" xr3:uid="{858B05D5-E2F9-4C4E-84E8-310F5AA4F1E0}" name="Column9510" dataDxfId="6875"/>
    <tableColumn id="9535" xr3:uid="{BCA3DBD5-0EC4-4D3C-BDD6-B01FDE44DB91}" name="Column9511" dataDxfId="6874"/>
    <tableColumn id="9536" xr3:uid="{E56D544D-F4D1-455A-A39E-2AC2E9C76DEE}" name="Column9512" dataDxfId="6873"/>
    <tableColumn id="9537" xr3:uid="{328FD5F8-7A2C-440B-8C29-A978BE3809DB}" name="Column9513" dataDxfId="6872"/>
    <tableColumn id="9538" xr3:uid="{F62E33ED-CCD6-432D-B7D4-201C5C3C9C0A}" name="Column9514" dataDxfId="6871"/>
    <tableColumn id="9539" xr3:uid="{EF40527A-68B8-4D25-AF37-DA3A0DF34377}" name="Column9515" dataDxfId="6870"/>
    <tableColumn id="9540" xr3:uid="{C71BF1E1-3486-4033-B68B-11E747520D8B}" name="Column9516" dataDxfId="6869"/>
    <tableColumn id="9541" xr3:uid="{BE060042-054C-45F5-9BB0-044B6D05EB67}" name="Column9517" dataDxfId="6868"/>
    <tableColumn id="9542" xr3:uid="{C7A752CD-8978-4235-97ED-1E327DAD4F7B}" name="Column9518" dataDxfId="6867"/>
    <tableColumn id="9543" xr3:uid="{5FDADE9B-53C2-4743-944F-211583740BF4}" name="Column9519" dataDxfId="6866"/>
    <tableColumn id="9544" xr3:uid="{5549CAF9-D94D-46AF-99C6-C07C26FA426B}" name="Column9520" dataDxfId="6865"/>
    <tableColumn id="9545" xr3:uid="{144130A3-B99C-4609-BB75-C6B7283161AC}" name="Column9521" dataDxfId="6864"/>
    <tableColumn id="9546" xr3:uid="{D7F3BD0F-36FE-488A-9C1A-B822C7F92703}" name="Column9522" dataDxfId="6863"/>
    <tableColumn id="9547" xr3:uid="{AE8AB246-C589-41E7-99FB-811D6EC6FF41}" name="Column9523" dataDxfId="6862"/>
    <tableColumn id="9548" xr3:uid="{9590AC82-5795-4D50-8EBA-03CCEFD5550C}" name="Column9524" dataDxfId="6861"/>
    <tableColumn id="9549" xr3:uid="{8ED7A7C1-EF84-45E1-BB1F-660556D431EC}" name="Column9525" dataDxfId="6860"/>
    <tableColumn id="9550" xr3:uid="{A3A85058-3FEA-4588-9DFC-3348D127B0EC}" name="Column9526" dataDxfId="6859"/>
    <tableColumn id="9551" xr3:uid="{2A4FE274-502D-492B-8747-6F450929CD49}" name="Column9527" dataDxfId="6858"/>
    <tableColumn id="9552" xr3:uid="{CB0CD329-CDE9-4A9D-99E9-A3557B7B0875}" name="Column9528" dataDxfId="6857"/>
    <tableColumn id="9553" xr3:uid="{00490215-0CB3-449F-9D9F-29DDC7F6A30D}" name="Column9529" dataDxfId="6856"/>
    <tableColumn id="9554" xr3:uid="{D90EAED6-F0AA-4643-ABB5-B82252635C59}" name="Column9530" dataDxfId="6855"/>
    <tableColumn id="9555" xr3:uid="{E2C6CC18-04AF-4E98-A088-6903338B6D88}" name="Column9531" dataDxfId="6854"/>
    <tableColumn id="9556" xr3:uid="{553120EE-9610-4677-A559-9DC38C8DEBDA}" name="Column9532" dataDxfId="6853"/>
    <tableColumn id="9557" xr3:uid="{A90671B7-9D8E-48EF-995E-8F7572B4208E}" name="Column9533" dataDxfId="6852"/>
    <tableColumn id="9558" xr3:uid="{C4CC0E50-B28D-49DA-B629-EC193FDA2C4D}" name="Column9534" dataDxfId="6851"/>
    <tableColumn id="9559" xr3:uid="{7DB86106-70D5-478C-81C8-0565268E6DF0}" name="Column9535" dataDxfId="6850"/>
    <tableColumn id="9560" xr3:uid="{2D811A8A-841E-47C3-9DEE-DB8FA8383E96}" name="Column9536" dataDxfId="6849"/>
    <tableColumn id="9561" xr3:uid="{6988625E-6189-45C8-BA45-A26074278299}" name="Column9537" dataDxfId="6848"/>
    <tableColumn id="9562" xr3:uid="{0AE3E60D-FDE1-43D3-AED7-A29D2B6C06D8}" name="Column9538" dataDxfId="6847"/>
    <tableColumn id="9563" xr3:uid="{9CB331C8-BB21-4A5F-A065-A979E456ED80}" name="Column9539" dataDxfId="6846"/>
    <tableColumn id="9564" xr3:uid="{A8F4AB19-8A17-4420-8247-3DBEC00DE888}" name="Column9540" dataDxfId="6845"/>
    <tableColumn id="9565" xr3:uid="{6A32C6A5-AC89-44C4-8866-BE5C7FC7DD1D}" name="Column9541" dataDxfId="6844"/>
    <tableColumn id="9566" xr3:uid="{97E335AF-49BE-4AC5-8E7D-1E7E743997A0}" name="Column9542" dataDxfId="6843"/>
    <tableColumn id="9567" xr3:uid="{3C165C5E-ADF8-40B9-A917-6BE5ED969988}" name="Column9543" dataDxfId="6842"/>
    <tableColumn id="9568" xr3:uid="{5315F0AB-3F75-496C-B726-82AADF47A08F}" name="Column9544" dataDxfId="6841"/>
    <tableColumn id="9569" xr3:uid="{91835048-947D-4164-8BCA-3845CA225FF6}" name="Column9545" dataDxfId="6840"/>
    <tableColumn id="9570" xr3:uid="{433643D9-2C8E-49D3-8234-63CEF334F542}" name="Column9546" dataDxfId="6839"/>
    <tableColumn id="9571" xr3:uid="{9027C9F5-4754-4D04-A51C-2F58E5C78AE3}" name="Column9547" dataDxfId="6838"/>
    <tableColumn id="9572" xr3:uid="{A6872EA8-8FFE-486E-AB08-7A65C80C8583}" name="Column9548" dataDxfId="6837"/>
    <tableColumn id="9573" xr3:uid="{9746AD2B-D29A-4A1A-8AAF-1F29560123F6}" name="Column9549" dataDxfId="6836"/>
    <tableColumn id="9574" xr3:uid="{24D0C613-57C4-4F33-9FD4-FF1C74F32982}" name="Column9550" dataDxfId="6835"/>
    <tableColumn id="9575" xr3:uid="{839D2E7B-A3C5-4367-B703-B44F3545A08D}" name="Column9551" dataDxfId="6834"/>
    <tableColumn id="9576" xr3:uid="{D7C080DF-E8F6-4CE4-853D-7C969E9463DF}" name="Column9552" dataDxfId="6833"/>
    <tableColumn id="9577" xr3:uid="{97ED6E21-643C-448E-990B-3574721B89D2}" name="Column9553" dataDxfId="6832"/>
    <tableColumn id="9578" xr3:uid="{4C2CA1FD-2D1A-4719-A502-3724B46304AB}" name="Column9554" dataDxfId="6831"/>
    <tableColumn id="9579" xr3:uid="{D33BEE5F-88FA-4389-92AF-1D6A0497EA9F}" name="Column9555" dataDxfId="6830"/>
    <tableColumn id="9580" xr3:uid="{DA0DBFB2-2AD9-48C4-AC54-93313D15EB2D}" name="Column9556" dataDxfId="6829"/>
    <tableColumn id="9581" xr3:uid="{814FFC3C-31E9-47B6-8A07-FA8827A6CC63}" name="Column9557" dataDxfId="6828"/>
    <tableColumn id="9582" xr3:uid="{929354D6-F2ED-4B1A-A758-E15153313526}" name="Column9558" dataDxfId="6827"/>
    <tableColumn id="9583" xr3:uid="{9EE4543F-051D-4A94-8F25-E2D69AD40448}" name="Column9559" dataDxfId="6826"/>
    <tableColumn id="9584" xr3:uid="{B5C5349A-CF27-4C2B-BA9B-E9734AA4A873}" name="Column9560" dataDxfId="6825"/>
    <tableColumn id="9585" xr3:uid="{FD6AFB1D-8C2C-4EA6-B335-D09EEC891974}" name="Column9561" dataDxfId="6824"/>
    <tableColumn id="9586" xr3:uid="{733496B9-9B07-4A57-88D6-2BBE9CAE3C94}" name="Column9562" dataDxfId="6823"/>
    <tableColumn id="9587" xr3:uid="{18337B27-B878-4350-814E-656BF60EFE8D}" name="Column9563" dataDxfId="6822"/>
    <tableColumn id="9588" xr3:uid="{67063331-CA2B-4838-BADA-29A347D4A7BB}" name="Column9564" dataDxfId="6821"/>
    <tableColumn id="9589" xr3:uid="{9FD6E0DF-C951-4F9B-A670-E4C0AA09353E}" name="Column9565" dataDxfId="6820"/>
    <tableColumn id="9590" xr3:uid="{6933B3CB-9A4C-40ED-A32C-5E8288CAE67C}" name="Column9566" dataDxfId="6819"/>
    <tableColumn id="9591" xr3:uid="{E69D098D-8F6D-4790-8387-1E4C6227DAC9}" name="Column9567" dataDxfId="6818"/>
    <tableColumn id="9592" xr3:uid="{5C64F45C-A9EE-49AB-B416-5A81455D93BC}" name="Column9568" dataDxfId="6817"/>
    <tableColumn id="9593" xr3:uid="{A24DB69A-5F0B-45AE-B4E9-4C9A35A82051}" name="Column9569" dataDxfId="6816"/>
    <tableColumn id="9594" xr3:uid="{E4988F1F-7FDA-43A1-92A2-C304FC57EE81}" name="Column9570" dataDxfId="6815"/>
    <tableColumn id="9595" xr3:uid="{AF1D999B-3A24-4DC7-A70E-D9885ED8AD40}" name="Column9571" dataDxfId="6814"/>
    <tableColumn id="9596" xr3:uid="{E5537822-BF70-4371-A853-73C48059D75E}" name="Column9572" dataDxfId="6813"/>
    <tableColumn id="9597" xr3:uid="{E0DA2C97-C600-455C-AB72-7AE184D4129D}" name="Column9573" dataDxfId="6812"/>
    <tableColumn id="9598" xr3:uid="{BAACA8DE-1967-4103-9AF3-D207F7E99075}" name="Column9574" dataDxfId="6811"/>
    <tableColumn id="9599" xr3:uid="{3B1F9D24-7489-4789-8FAF-158FFF2D42A9}" name="Column9575" dataDxfId="6810"/>
    <tableColumn id="9600" xr3:uid="{2681F620-D952-43B1-90DD-F2AE987DE45E}" name="Column9576" dataDxfId="6809"/>
    <tableColumn id="9601" xr3:uid="{AF18B031-73AF-46F5-B9E1-D0F0E89F9F95}" name="Column9577" dataDxfId="6808"/>
    <tableColumn id="9602" xr3:uid="{AC4C0F3D-84AC-44E0-AC31-D2A0F11D7673}" name="Column9578" dataDxfId="6807"/>
    <tableColumn id="9603" xr3:uid="{683038A8-4CD1-45C3-8ADB-9CC208BD343B}" name="Column9579" dataDxfId="6806"/>
    <tableColumn id="9604" xr3:uid="{90236923-A506-409B-A700-C10B6CF6D3D3}" name="Column9580" dataDxfId="6805"/>
    <tableColumn id="9605" xr3:uid="{AA2C6333-40A2-4405-A158-4CFD3FDCBD0E}" name="Column9581" dataDxfId="6804"/>
    <tableColumn id="9606" xr3:uid="{8824B19D-9CB0-4CBB-BF45-6C4F0AD83BAA}" name="Column9582" dataDxfId="6803"/>
    <tableColumn id="9607" xr3:uid="{B1E4AEC7-DBB2-499B-8670-E7BC0A9C8292}" name="Column9583" dataDxfId="6802"/>
    <tableColumn id="9608" xr3:uid="{228CA77C-DF96-4E9F-8908-6D7066D2D0E6}" name="Column9584" dataDxfId="6801"/>
    <tableColumn id="9609" xr3:uid="{BD092E53-5165-423B-AC7E-55E6BB17DA37}" name="Column9585" dataDxfId="6800"/>
    <tableColumn id="9610" xr3:uid="{4C5417DE-6A11-4BB6-A81C-DFF8235B4139}" name="Column9586" dataDxfId="6799"/>
    <tableColumn id="9611" xr3:uid="{2F520C7C-BB64-4235-8A8E-5679E9456B78}" name="Column9587" dataDxfId="6798"/>
    <tableColumn id="9612" xr3:uid="{B1A73897-CB5E-4818-971F-2C770CD6353B}" name="Column9588" dataDxfId="6797"/>
    <tableColumn id="9613" xr3:uid="{86F88638-D813-4B22-B15E-AEEB6C90C9BE}" name="Column9589" dataDxfId="6796"/>
    <tableColumn id="9614" xr3:uid="{60452638-F49A-4DD3-9105-AB97B8C38523}" name="Column9590" dataDxfId="6795"/>
    <tableColumn id="9615" xr3:uid="{16D22FE6-20A5-4D6C-B5D2-50B57F94C6F9}" name="Column9591" dataDxfId="6794"/>
    <tableColumn id="9616" xr3:uid="{A460D94F-88D9-493D-B508-B6BD1D1DC7A2}" name="Column9592" dataDxfId="6793"/>
    <tableColumn id="9617" xr3:uid="{3132F503-5C26-4223-9A87-0D144970D636}" name="Column9593" dataDxfId="6792"/>
    <tableColumn id="9618" xr3:uid="{2F01B1A5-53BA-485A-936A-65115431F83B}" name="Column9594" dataDxfId="6791"/>
    <tableColumn id="9619" xr3:uid="{6127FE12-AED3-41BC-B925-D19386C24398}" name="Column9595" dataDxfId="6790"/>
    <tableColumn id="9620" xr3:uid="{B4C9B32B-D66D-45EF-A5BA-C37DD926E261}" name="Column9596" dataDxfId="6789"/>
    <tableColumn id="9621" xr3:uid="{6907E1B2-9937-4DEC-9768-399E3FEA9E77}" name="Column9597" dataDxfId="6788"/>
    <tableColumn id="9622" xr3:uid="{4AA8C48F-1799-4171-BD45-C73186AEEC3F}" name="Column9598" dataDxfId="6787"/>
    <tableColumn id="9623" xr3:uid="{3EC891E7-7611-4283-AE43-9D567748B319}" name="Column9599" dataDxfId="6786"/>
    <tableColumn id="9624" xr3:uid="{3F6AFD3D-A8F6-4360-8768-55F66FC97C4D}" name="Column9600" dataDxfId="6785"/>
    <tableColumn id="9625" xr3:uid="{BF9319DF-FDFA-4A5B-96A5-710D267FB8E8}" name="Column9601" dataDxfId="6784"/>
    <tableColumn id="9626" xr3:uid="{5330B1AA-6BDD-4EC9-AF89-6AAAB89822DC}" name="Column9602" dataDxfId="6783"/>
    <tableColumn id="9627" xr3:uid="{0E900FE4-9723-4F2A-973B-E5E75916B8D7}" name="Column9603" dataDxfId="6782"/>
    <tableColumn id="9628" xr3:uid="{76765D19-CD15-4CC8-8BE1-B986307ED87C}" name="Column9604" dataDxfId="6781"/>
    <tableColumn id="9629" xr3:uid="{83FDD348-B8DD-4953-8A4D-1F571B63755B}" name="Column9605" dataDxfId="6780"/>
    <tableColumn id="9630" xr3:uid="{9B0D5498-9E0C-4EE5-AE11-D4B1F42AFA77}" name="Column9606" dataDxfId="6779"/>
    <tableColumn id="9631" xr3:uid="{636EDD25-FA57-4571-8159-6B76FE18C266}" name="Column9607" dataDxfId="6778"/>
    <tableColumn id="9632" xr3:uid="{322BE14C-8A14-4B28-8A1F-CDFBFA989625}" name="Column9608" dataDxfId="6777"/>
    <tableColumn id="9633" xr3:uid="{AF3423D5-E6CF-4635-AA8F-CB2AB5D1F359}" name="Column9609" dataDxfId="6776"/>
    <tableColumn id="9634" xr3:uid="{DC80EFCD-C6B5-47DD-9AE3-B39F3CC28484}" name="Column9610" dataDxfId="6775"/>
    <tableColumn id="9635" xr3:uid="{14ACA877-6419-4AFF-9CEE-A0856316A274}" name="Column9611" dataDxfId="6774"/>
    <tableColumn id="9636" xr3:uid="{9369702B-3DDD-41BB-9414-AF439CC69D1F}" name="Column9612" dataDxfId="6773"/>
    <tableColumn id="9637" xr3:uid="{8FEA1112-A722-493E-ACB7-D3FDF4DEFBB0}" name="Column9613" dataDxfId="6772"/>
    <tableColumn id="9638" xr3:uid="{62A46480-B863-40A2-BE40-07BF6581413F}" name="Column9614" dataDxfId="6771"/>
    <tableColumn id="9639" xr3:uid="{055026AF-28FA-49C8-B2B8-B9C24906601E}" name="Column9615" dataDxfId="6770"/>
    <tableColumn id="9640" xr3:uid="{0B977998-AC4D-48B7-9749-6DFF5769F8A6}" name="Column9616" dataDxfId="6769"/>
    <tableColumn id="9641" xr3:uid="{527565ED-4EF8-4400-B525-81742C483B31}" name="Column9617" dataDxfId="6768"/>
    <tableColumn id="9642" xr3:uid="{2082A318-5286-4176-A8C5-2001DEBE9F6B}" name="Column9618" dataDxfId="6767"/>
    <tableColumn id="9643" xr3:uid="{10E089F5-5575-4C5D-B727-25EEF05270F2}" name="Column9619" dataDxfId="6766"/>
    <tableColumn id="9644" xr3:uid="{893225C5-ACA3-4403-8677-F2F7289A388B}" name="Column9620" dataDxfId="6765"/>
    <tableColumn id="9645" xr3:uid="{947F1E13-505B-4159-93A0-A42B1379A6E8}" name="Column9621" dataDxfId="6764"/>
    <tableColumn id="9646" xr3:uid="{50A953A1-2331-41B4-A8C3-5838D8D03BB3}" name="Column9622" dataDxfId="6763"/>
    <tableColumn id="9647" xr3:uid="{0C13101C-6D88-4CC8-B0FC-2DF5F0FA9854}" name="Column9623" dataDxfId="6762"/>
    <tableColumn id="9648" xr3:uid="{D1FE6A83-1921-428C-858B-F80455BC9592}" name="Column9624" dataDxfId="6761"/>
    <tableColumn id="9649" xr3:uid="{2670987E-001B-4786-B3AB-6A53B6550766}" name="Column9625" dataDxfId="6760"/>
    <tableColumn id="9650" xr3:uid="{4EA8DDE7-212F-4154-B239-7718757346BF}" name="Column9626" dataDxfId="6759"/>
    <tableColumn id="9651" xr3:uid="{D1848A6E-EB52-428F-9A30-F01F5D979FFC}" name="Column9627" dataDxfId="6758"/>
    <tableColumn id="9652" xr3:uid="{76CAAC23-C043-4CB2-9509-93AC0C4B2F30}" name="Column9628" dataDxfId="6757"/>
    <tableColumn id="9653" xr3:uid="{79C546C3-3AD7-4588-8C0B-5CE902FDA870}" name="Column9629" dataDxfId="6756"/>
    <tableColumn id="9654" xr3:uid="{5EB8258C-8A69-423C-8E4F-A92BA8B061E3}" name="Column9630" dataDxfId="6755"/>
    <tableColumn id="9655" xr3:uid="{6670CF04-92F7-462A-8011-E0657FC7EEA7}" name="Column9631" dataDxfId="6754"/>
    <tableColumn id="9656" xr3:uid="{72CA9715-0A2C-4BF7-B366-4618CE013456}" name="Column9632" dataDxfId="6753"/>
    <tableColumn id="9657" xr3:uid="{3A694697-49A1-4178-A1D8-35ABE4356E97}" name="Column9633" dataDxfId="6752"/>
    <tableColumn id="9658" xr3:uid="{61A5F3DC-5892-4374-B3DB-029D77074920}" name="Column9634" dataDxfId="6751"/>
    <tableColumn id="9659" xr3:uid="{8D14181B-4EC9-49E9-97A8-9AF28E8EB4D7}" name="Column9635" dataDxfId="6750"/>
    <tableColumn id="9660" xr3:uid="{392A4951-ECD7-4316-BE16-087F34308413}" name="Column9636" dataDxfId="6749"/>
    <tableColumn id="9661" xr3:uid="{E07D9B90-3CE4-486B-B39A-B07016622275}" name="Column9637" dataDxfId="6748"/>
    <tableColumn id="9662" xr3:uid="{ED745ECD-CC16-4705-9F64-5237373259D5}" name="Column9638" dataDxfId="6747"/>
    <tableColumn id="9663" xr3:uid="{FF8C00A2-6A5E-421A-AC12-4A1806F0C858}" name="Column9639" dataDxfId="6746"/>
    <tableColumn id="9664" xr3:uid="{53B0FEC2-B992-4C41-9E50-BB4D4F9AD9E9}" name="Column9640" dataDxfId="6745"/>
    <tableColumn id="9665" xr3:uid="{1246AA9E-C363-46FB-B03A-88AD3FF839D3}" name="Column9641" dataDxfId="6744"/>
    <tableColumn id="9666" xr3:uid="{4D24E7BE-94B0-4FF4-8611-387D17B88332}" name="Column9642" dataDxfId="6743"/>
    <tableColumn id="9667" xr3:uid="{E8AAB601-F20A-4346-B9B5-C2FBEC91CE6F}" name="Column9643" dataDxfId="6742"/>
    <tableColumn id="9668" xr3:uid="{9AF35D0F-E32F-4A18-870E-DD2B4196E5D0}" name="Column9644" dataDxfId="6741"/>
    <tableColumn id="9669" xr3:uid="{5B4F8916-A870-443D-96CF-1270882599A7}" name="Column9645" dataDxfId="6740"/>
    <tableColumn id="9670" xr3:uid="{D0AB4A19-FD55-4278-ABAB-B4A42830D892}" name="Column9646" dataDxfId="6739"/>
    <tableColumn id="9671" xr3:uid="{93B5A47A-9329-4577-A34C-C91E5E974A06}" name="Column9647" dataDxfId="6738"/>
    <tableColumn id="9672" xr3:uid="{314B1024-763F-4114-BD7B-93595171F2F2}" name="Column9648" dataDxfId="6737"/>
    <tableColumn id="9673" xr3:uid="{E4232B33-07A5-48EC-8D5F-C1962D146792}" name="Column9649" dataDxfId="6736"/>
    <tableColumn id="9674" xr3:uid="{ADBEB65E-C4DA-497A-88A4-DD16D1AE886C}" name="Column9650" dataDxfId="6735"/>
    <tableColumn id="9675" xr3:uid="{A4F8929D-E715-4A3A-A979-E9F110D93640}" name="Column9651" dataDxfId="6734"/>
    <tableColumn id="9676" xr3:uid="{816BFA25-711E-4D76-8886-3E869A2D3A47}" name="Column9652" dataDxfId="6733"/>
    <tableColumn id="9677" xr3:uid="{4407C53B-BFF5-4F4E-A38A-631B99FB408F}" name="Column9653" dataDxfId="6732"/>
    <tableColumn id="9678" xr3:uid="{AE365821-113F-440D-80AB-BF3142AC20F8}" name="Column9654" dataDxfId="6731"/>
    <tableColumn id="9679" xr3:uid="{11A43F41-35CA-4D00-8C56-5F1226CEF5D9}" name="Column9655" dataDxfId="6730"/>
    <tableColumn id="9680" xr3:uid="{92D9ABFC-7751-4158-B9FE-1BDB5A36C3D8}" name="Column9656" dataDxfId="6729"/>
    <tableColumn id="9681" xr3:uid="{632F1C64-057C-45EC-A57E-19D89C5AE291}" name="Column9657" dataDxfId="6728"/>
    <tableColumn id="9682" xr3:uid="{0017CC7F-9E77-416F-8C19-CBA73F12B887}" name="Column9658" dataDxfId="6727"/>
    <tableColumn id="9683" xr3:uid="{FFC610EA-A9C3-4140-89A9-0A90B0D832AF}" name="Column9659" dataDxfId="6726"/>
    <tableColumn id="9684" xr3:uid="{A154C8A9-C436-4A12-ACE8-0B036769141F}" name="Column9660" dataDxfId="6725"/>
    <tableColumn id="9685" xr3:uid="{8329D193-4FF8-4525-8A1B-6DC9532CF8BB}" name="Column9661" dataDxfId="6724"/>
    <tableColumn id="9686" xr3:uid="{B75BE3E7-16E2-4AE8-A8F4-518F6F48C35A}" name="Column9662" dataDxfId="6723"/>
    <tableColumn id="9687" xr3:uid="{19EAF4EA-5E42-4AB6-8A2D-92E520EEB40E}" name="Column9663" dataDxfId="6722"/>
    <tableColumn id="9688" xr3:uid="{E3C41915-DCA7-4E5F-ADA9-71EBB222C026}" name="Column9664" dataDxfId="6721"/>
    <tableColumn id="9689" xr3:uid="{5E759BE5-8342-4C12-B93F-9B5C054DE68C}" name="Column9665" dataDxfId="6720"/>
    <tableColumn id="9690" xr3:uid="{E87F891F-603F-427D-ACF4-B428009DD5EE}" name="Column9666" dataDxfId="6719"/>
    <tableColumn id="9691" xr3:uid="{71D5790A-99E3-4EC4-B89B-F4F13957E1B4}" name="Column9667" dataDxfId="6718"/>
    <tableColumn id="9692" xr3:uid="{5BF99D45-51DE-4C8C-B740-958CB4C428F3}" name="Column9668" dataDxfId="6717"/>
    <tableColumn id="9693" xr3:uid="{9E74CC86-126A-43F7-8079-DDB888CD3888}" name="Column9669" dataDxfId="6716"/>
    <tableColumn id="9694" xr3:uid="{4F2DF61D-9C9D-4B21-BB49-AD6F7A115EF4}" name="Column9670" dataDxfId="6715"/>
    <tableColumn id="9695" xr3:uid="{4CD19F6D-BA77-4596-9AA9-E32391E94416}" name="Column9671" dataDxfId="6714"/>
    <tableColumn id="9696" xr3:uid="{B86B5B05-51CF-40B3-BC16-6B08373C3BE4}" name="Column9672" dataDxfId="6713"/>
    <tableColumn id="9697" xr3:uid="{64A2D11A-6809-4E0A-8175-A91E60C7AF37}" name="Column9673" dataDxfId="6712"/>
    <tableColumn id="9698" xr3:uid="{A41A9F13-D302-4942-B9D9-49A10297312C}" name="Column9674" dataDxfId="6711"/>
    <tableColumn id="9699" xr3:uid="{1D57A306-FD55-462D-AA84-A63744D4D4A8}" name="Column9675" dataDxfId="6710"/>
    <tableColumn id="9700" xr3:uid="{0D9B3325-CAAE-485B-B8DB-0CC8CE057E82}" name="Column9676" dataDxfId="6709"/>
    <tableColumn id="9701" xr3:uid="{71F13E8C-A0DA-4E3D-B609-C49D77451D48}" name="Column9677" dataDxfId="6708"/>
    <tableColumn id="9702" xr3:uid="{DEEAB589-61F6-4F2D-BF67-80BA62B97EAD}" name="Column9678" dataDxfId="6707"/>
    <tableColumn id="9703" xr3:uid="{F0BB8DF9-934F-45C7-A4DD-981301566F32}" name="Column9679" dataDxfId="6706"/>
    <tableColumn id="9704" xr3:uid="{E84F0CA8-C12A-463E-BAB1-ECA8C712834A}" name="Column9680" dataDxfId="6705"/>
    <tableColumn id="9705" xr3:uid="{AC16FA6C-C860-435A-81C2-3282B121D5DD}" name="Column9681" dataDxfId="6704"/>
    <tableColumn id="9706" xr3:uid="{E7BB06D0-0563-4087-BC4C-2C8BBBE093EE}" name="Column9682" dataDxfId="6703"/>
    <tableColumn id="9707" xr3:uid="{7F307217-2F9C-4492-B808-418494312C35}" name="Column9683" dataDxfId="6702"/>
    <tableColumn id="9708" xr3:uid="{DECC8AB6-9155-4EEE-9AD6-F56A23C44820}" name="Column9684" dataDxfId="6701"/>
    <tableColumn id="9709" xr3:uid="{590D41CB-6DF9-406A-A972-D7335BD6C1CE}" name="Column9685" dataDxfId="6700"/>
    <tableColumn id="9710" xr3:uid="{16E1D80D-A36B-4C18-86AB-DFC4F76ED32D}" name="Column9686" dataDxfId="6699"/>
    <tableColumn id="9711" xr3:uid="{DBEF0383-12DB-4774-8262-CB4BBCE0EB75}" name="Column9687" dataDxfId="6698"/>
    <tableColumn id="9712" xr3:uid="{FDBC93B5-1C67-4035-9589-5D152C79F05E}" name="Column9688" dataDxfId="6697"/>
    <tableColumn id="9713" xr3:uid="{A8CC5753-E574-4172-9336-6E373EB3B484}" name="Column9689" dataDxfId="6696"/>
    <tableColumn id="9714" xr3:uid="{D8C49D0C-DC7B-4AC3-B871-D6B2D9A781C4}" name="Column9690" dataDxfId="6695"/>
    <tableColumn id="9715" xr3:uid="{E4D85C12-FC84-4FA6-AE3E-EDF7E89FAE81}" name="Column9691" dataDxfId="6694"/>
    <tableColumn id="9716" xr3:uid="{8568E617-4D13-426B-943E-04BBD7448EC9}" name="Column9692" dataDxfId="6693"/>
    <tableColumn id="9717" xr3:uid="{BB73B21D-A5B2-483D-8DAF-A0768919E2C4}" name="Column9693" dataDxfId="6692"/>
    <tableColumn id="9718" xr3:uid="{90038594-020D-4EA3-8FBF-71DDD746D18C}" name="Column9694" dataDxfId="6691"/>
    <tableColumn id="9719" xr3:uid="{0113010F-29D6-406E-B08F-6533D4D40ADF}" name="Column9695" dataDxfId="6690"/>
    <tableColumn id="9720" xr3:uid="{31E32526-EF3B-4EAC-92E0-F442CBC29EC7}" name="Column9696" dataDxfId="6689"/>
    <tableColumn id="9721" xr3:uid="{1F1A240F-5CE8-4B74-9CAA-2D56D6315B08}" name="Column9697" dataDxfId="6688"/>
    <tableColumn id="9722" xr3:uid="{CEDCF487-CFC6-4F76-A81E-350D7FFA2CCB}" name="Column9698" dataDxfId="6687"/>
    <tableColumn id="9723" xr3:uid="{C6E4B379-5E84-43D5-97EB-CF2F7EADC99A}" name="Column9699" dataDxfId="6686"/>
    <tableColumn id="9724" xr3:uid="{1596C1D6-4D42-4D95-AE26-2C07DA9AA0F9}" name="Column9700" dataDxfId="6685"/>
    <tableColumn id="9725" xr3:uid="{807DF015-B97C-49A8-BB00-CD1DA9937DBD}" name="Column9701" dataDxfId="6684"/>
    <tableColumn id="9726" xr3:uid="{5019A2D9-392A-400E-A2D8-996030E4ADB9}" name="Column9702" dataDxfId="6683"/>
    <tableColumn id="9727" xr3:uid="{66BF3D1D-4980-4F98-8EA0-3100BCED50F3}" name="Column9703" dataDxfId="6682"/>
    <tableColumn id="9728" xr3:uid="{745E1B19-FDFF-4D63-9161-F9B074F29CCE}" name="Column9704" dataDxfId="6681"/>
    <tableColumn id="9729" xr3:uid="{838A3FBA-7577-4074-B387-70484883AF09}" name="Column9705" dataDxfId="6680"/>
    <tableColumn id="9730" xr3:uid="{E365869F-1B2B-4D98-84FB-E6FD10FDF57E}" name="Column9706" dataDxfId="6679"/>
    <tableColumn id="9731" xr3:uid="{C7089945-C12B-4948-8927-5E512A191DA0}" name="Column9707" dataDxfId="6678"/>
    <tableColumn id="9732" xr3:uid="{F565D2EF-C621-43CF-B9D3-FA491399A91D}" name="Column9708" dataDxfId="6677"/>
    <tableColumn id="9733" xr3:uid="{94F9ADC1-EAD5-40CE-9AF4-E5B9D8C1CE65}" name="Column9709" dataDxfId="6676"/>
    <tableColumn id="9734" xr3:uid="{4BB71A2F-9B57-49EA-A536-A7757317DB50}" name="Column9710" dataDxfId="6675"/>
    <tableColumn id="9735" xr3:uid="{44C07084-9D9C-42C9-BA55-4F2238AF0ACE}" name="Column9711" dataDxfId="6674"/>
    <tableColumn id="9736" xr3:uid="{A4235473-C56C-4531-9DFC-D64003FA7D4F}" name="Column9712" dataDxfId="6673"/>
    <tableColumn id="9737" xr3:uid="{4EB3164D-8392-45B2-9E00-30D037D2AB17}" name="Column9713" dataDxfId="6672"/>
    <tableColumn id="9738" xr3:uid="{39C41C18-6605-4396-BAC1-08984539318A}" name="Column9714" dataDxfId="6671"/>
    <tableColumn id="9739" xr3:uid="{6423D30E-8E6C-46D7-8A8E-52D1E610EE6C}" name="Column9715" dataDxfId="6670"/>
    <tableColumn id="9740" xr3:uid="{DC0E904B-A94A-461D-A4AA-3C8EC22872EA}" name="Column9716" dataDxfId="6669"/>
    <tableColumn id="9741" xr3:uid="{92FD6F60-237F-4418-AE5E-3D2DA5E266FC}" name="Column9717" dataDxfId="6668"/>
    <tableColumn id="9742" xr3:uid="{3EFBD559-B6A4-4E4E-AF4D-41AB7A1E9044}" name="Column9718" dataDxfId="6667"/>
    <tableColumn id="9743" xr3:uid="{4570C296-D17E-4F1C-A487-5C2453DBBB6B}" name="Column9719" dataDxfId="6666"/>
    <tableColumn id="9744" xr3:uid="{324A2E1F-1E35-4BE3-8D52-29DA11A79B0A}" name="Column9720" dataDxfId="6665"/>
    <tableColumn id="9745" xr3:uid="{ECDF4445-4B1D-4642-B57F-B4D5A4F8C537}" name="Column9721" dataDxfId="6664"/>
    <tableColumn id="9746" xr3:uid="{4AD1AAB7-2ED4-4430-A558-56168EE70216}" name="Column9722" dataDxfId="6663"/>
    <tableColumn id="9747" xr3:uid="{B6CC26C6-B244-4F10-A727-1A35AE01BE83}" name="Column9723" dataDxfId="6662"/>
    <tableColumn id="9748" xr3:uid="{6881D6BF-F7D1-4AF2-AD5A-A7D2EE9B7F87}" name="Column9724" dataDxfId="6661"/>
    <tableColumn id="9749" xr3:uid="{1828B568-F9E7-45EE-976F-31FD84EC9109}" name="Column9725" dataDxfId="6660"/>
    <tableColumn id="9750" xr3:uid="{601BB148-6E85-4603-8139-BB7BE38A5D22}" name="Column9726" dataDxfId="6659"/>
    <tableColumn id="9751" xr3:uid="{FD59F9EB-EC25-4111-94B6-0C247F009EF4}" name="Column9727" dataDxfId="6658"/>
    <tableColumn id="9752" xr3:uid="{09EB8F7C-6782-4A66-9D73-12C76F8A0DB8}" name="Column9728" dataDxfId="6657"/>
    <tableColumn id="9753" xr3:uid="{2366A1D9-838D-40EE-8175-8747D2053E0B}" name="Column9729" dataDxfId="6656"/>
    <tableColumn id="9754" xr3:uid="{4427D78B-3684-49EA-96F4-5A94F7634E61}" name="Column9730" dataDxfId="6655"/>
    <tableColumn id="9755" xr3:uid="{8AF322C6-7B2A-4FC1-86C2-90D139BD079A}" name="Column9731" dataDxfId="6654"/>
    <tableColumn id="9756" xr3:uid="{05F9F45D-464C-4D5B-AD5B-2B81B8FB5B86}" name="Column9732" dataDxfId="6653"/>
    <tableColumn id="9757" xr3:uid="{F1ACDED6-82CA-4D87-B005-8034A307913B}" name="Column9733" dataDxfId="6652"/>
    <tableColumn id="9758" xr3:uid="{426D3C46-48BB-4B13-8313-2696769EBABB}" name="Column9734" dataDxfId="6651"/>
    <tableColumn id="9759" xr3:uid="{0CDA2DB9-7DCC-4020-8AC7-DFA6C2326FE8}" name="Column9735" dataDxfId="6650"/>
    <tableColumn id="9760" xr3:uid="{CF9371EC-529A-484C-91F2-07437E7E65CB}" name="Column9736" dataDxfId="6649"/>
    <tableColumn id="9761" xr3:uid="{8A4D590F-701E-4461-9731-20701DDC4B7F}" name="Column9737" dataDxfId="6648"/>
    <tableColumn id="9762" xr3:uid="{CE782573-E892-476F-B696-D1032458B56F}" name="Column9738" dataDxfId="6647"/>
    <tableColumn id="9763" xr3:uid="{2BA4CBB8-25E4-4909-9276-6A656D123314}" name="Column9739" dataDxfId="6646"/>
    <tableColumn id="9764" xr3:uid="{3BD9FF4E-7BD5-4E76-8F8A-26643848833D}" name="Column9740" dataDxfId="6645"/>
    <tableColumn id="9765" xr3:uid="{2C2BBD7B-D8BE-49EB-83C2-7604BCB953FD}" name="Column9741" dataDxfId="6644"/>
    <tableColumn id="9766" xr3:uid="{9EFEF2F1-CBB0-45E2-A72B-F7799B6429D0}" name="Column9742" dataDxfId="6643"/>
    <tableColumn id="9767" xr3:uid="{D82C6E47-FF08-481B-9971-ADF36A56ED5B}" name="Column9743" dataDxfId="6642"/>
    <tableColumn id="9768" xr3:uid="{BF80D6BA-4F74-4682-9057-39BB2292F110}" name="Column9744" dataDxfId="6641"/>
    <tableColumn id="9769" xr3:uid="{668C3C81-3E29-4081-B005-5533C26B1189}" name="Column9745" dataDxfId="6640"/>
    <tableColumn id="9770" xr3:uid="{031874F7-3D15-4049-9848-0466798AC3DE}" name="Column9746" dataDxfId="6639"/>
    <tableColumn id="9771" xr3:uid="{B4B26233-4EB0-429C-BBD5-68FB52517081}" name="Column9747" dataDxfId="6638"/>
    <tableColumn id="9772" xr3:uid="{F7AFA0B2-BE46-40D9-9182-E54325E936FA}" name="Column9748" dataDxfId="6637"/>
    <tableColumn id="9773" xr3:uid="{A1F4ECE8-6596-47CE-ADB2-787CC84B1D21}" name="Column9749" dataDxfId="6636"/>
    <tableColumn id="9774" xr3:uid="{322B7750-5768-4884-A4FF-F4FFA8B72184}" name="Column9750" dataDxfId="6635"/>
    <tableColumn id="9775" xr3:uid="{93150D16-1039-48E5-934C-FFC0AC35C362}" name="Column9751" dataDxfId="6634"/>
    <tableColumn id="9776" xr3:uid="{3895DDFF-58FF-42F1-8982-E1D2CD5E0C1C}" name="Column9752" dataDxfId="6633"/>
    <tableColumn id="9777" xr3:uid="{638AC390-1D39-4357-8143-A178EC88400D}" name="Column9753" dataDxfId="6632"/>
    <tableColumn id="9778" xr3:uid="{7E9F1947-E965-4BC9-891F-C02379CD21EA}" name="Column9754" dataDxfId="6631"/>
    <tableColumn id="9779" xr3:uid="{78A6E88D-93E6-4426-9B96-94AFD00343C9}" name="Column9755" dataDxfId="6630"/>
    <tableColumn id="9780" xr3:uid="{0DFE7776-962D-4F31-9B23-8BF59A91F708}" name="Column9756" dataDxfId="6629"/>
    <tableColumn id="9781" xr3:uid="{2A2F6834-7E67-427A-96A3-0736C4BDFAF7}" name="Column9757" dataDxfId="6628"/>
    <tableColumn id="9782" xr3:uid="{EF3DD1FF-AFE4-452D-AD32-F642170B0FAC}" name="Column9758" dataDxfId="6627"/>
    <tableColumn id="9783" xr3:uid="{CAA4D14B-AD64-49DB-BE65-68D298806718}" name="Column9759" dataDxfId="6626"/>
    <tableColumn id="9784" xr3:uid="{22991A81-39E0-4737-A68A-F1A330B83D14}" name="Column9760" dataDxfId="6625"/>
    <tableColumn id="9785" xr3:uid="{D2177F60-F936-43FD-AC88-7879C0102423}" name="Column9761" dataDxfId="6624"/>
    <tableColumn id="9786" xr3:uid="{79FE6851-ADD6-482B-95BE-1DC8BF538BF7}" name="Column9762" dataDxfId="6623"/>
    <tableColumn id="9787" xr3:uid="{B926CA3C-9DC7-492F-A770-9AA11DA0E584}" name="Column9763" dataDxfId="6622"/>
    <tableColumn id="9788" xr3:uid="{C3CBF9D8-33B7-40A0-8FC7-65F8A5F2A305}" name="Column9764" dataDxfId="6621"/>
    <tableColumn id="9789" xr3:uid="{00F1A526-9175-46A0-BD0F-336616022A80}" name="Column9765" dataDxfId="6620"/>
    <tableColumn id="9790" xr3:uid="{31A1E352-0E96-40C0-8D3F-C74E75D1DA4A}" name="Column9766" dataDxfId="6619"/>
    <tableColumn id="9791" xr3:uid="{75A3C8F3-48DD-47EA-8151-DBAA5C20DC8F}" name="Column9767" dataDxfId="6618"/>
    <tableColumn id="9792" xr3:uid="{0E4E8EA4-247E-47B2-90CD-21742A41548C}" name="Column9768" dataDxfId="6617"/>
    <tableColumn id="9793" xr3:uid="{58CE156F-CA66-4842-AAA0-50C61068CD30}" name="Column9769" dataDxfId="6616"/>
    <tableColumn id="9794" xr3:uid="{5AAAF3A0-2E38-4715-B72F-3F0750FE16B1}" name="Column9770" dataDxfId="6615"/>
    <tableColumn id="9795" xr3:uid="{D2608A22-5267-4623-BBCE-EA953EAC529A}" name="Column9771" dataDxfId="6614"/>
    <tableColumn id="9796" xr3:uid="{9308249F-EFC1-4AE6-BBDD-1982E0E9B46B}" name="Column9772" dataDxfId="6613"/>
    <tableColumn id="9797" xr3:uid="{7DE0B61D-8635-41BE-8B18-1F10EBC415B7}" name="Column9773" dataDxfId="6612"/>
    <tableColumn id="9798" xr3:uid="{B0E93CE5-4807-41AD-B61C-4FA5EB538754}" name="Column9774" dataDxfId="6611"/>
    <tableColumn id="9799" xr3:uid="{75DAF8AA-C3A0-4419-B4E8-2B1FE938C4C9}" name="Column9775" dataDxfId="6610"/>
    <tableColumn id="9800" xr3:uid="{2151E570-2D02-41B7-AE83-A2859CF40363}" name="Column9776" dataDxfId="6609"/>
    <tableColumn id="9801" xr3:uid="{B17FB869-1A52-4ED0-AB80-E049CBC84B0D}" name="Column9777" dataDxfId="6608"/>
    <tableColumn id="9802" xr3:uid="{B29B9C4F-D4D6-488F-8A90-7911BBC541C0}" name="Column9778" dataDxfId="6607"/>
    <tableColumn id="9803" xr3:uid="{91DC75E0-F2D3-4F68-A757-896CCA12271D}" name="Column9779" dataDxfId="6606"/>
    <tableColumn id="9804" xr3:uid="{198D6804-55FF-4ED7-BC94-FA83335CA1A4}" name="Column9780" dataDxfId="6605"/>
    <tableColumn id="9805" xr3:uid="{28410918-8AD7-44B3-9C4F-8388ADD3B8FA}" name="Column9781" dataDxfId="6604"/>
    <tableColumn id="9806" xr3:uid="{C09D283F-8B5A-4F4F-8064-AFDA5577B6FA}" name="Column9782" dataDxfId="6603"/>
    <tableColumn id="9807" xr3:uid="{C91E5AD6-2AA4-48C6-8F4D-C09E4ED8272E}" name="Column9783" dataDxfId="6602"/>
    <tableColumn id="9808" xr3:uid="{1C994A9B-7C30-4AA5-A17E-2AE56B3DD5F1}" name="Column9784" dataDxfId="6601"/>
    <tableColumn id="9809" xr3:uid="{A5160A0E-F55E-4AD7-917A-AFEB4A62CAEB}" name="Column9785" dataDxfId="6600"/>
    <tableColumn id="9810" xr3:uid="{5B2EC50F-1FAC-48E4-8DEB-EF7C9D9DD676}" name="Column9786" dataDxfId="6599"/>
    <tableColumn id="9811" xr3:uid="{E69F0531-C176-4654-A833-176DA2A712C8}" name="Column9787" dataDxfId="6598"/>
    <tableColumn id="9812" xr3:uid="{3503271B-1FA6-452B-B759-70D77AEA3431}" name="Column9788" dataDxfId="6597"/>
    <tableColumn id="9813" xr3:uid="{0970214F-C92F-485C-90E9-3EFB19DA3D97}" name="Column9789" dataDxfId="6596"/>
    <tableColumn id="9814" xr3:uid="{8C713CFF-0276-4ECD-81DB-11FB3A0F1DEB}" name="Column9790" dataDxfId="6595"/>
    <tableColumn id="9815" xr3:uid="{7859E11B-D3C1-4C1C-8D10-09FBCAD08FF8}" name="Column9791" dataDxfId="6594"/>
    <tableColumn id="9816" xr3:uid="{15CC7CE9-07F2-4C54-B826-031C3A5D2AA4}" name="Column9792" dataDxfId="6593"/>
    <tableColumn id="9817" xr3:uid="{6AEC6439-7BAA-49EA-A8EB-0DFA27B8C7F2}" name="Column9793" dataDxfId="6592"/>
    <tableColumn id="9818" xr3:uid="{5172EFFA-4648-494B-8777-A9660498C443}" name="Column9794" dataDxfId="6591"/>
    <tableColumn id="9819" xr3:uid="{1D240A8A-49B3-417C-993E-4717782EED69}" name="Column9795" dataDxfId="6590"/>
    <tableColumn id="9820" xr3:uid="{77943778-4573-416F-927B-2C6F531B2498}" name="Column9796" dataDxfId="6589"/>
    <tableColumn id="9821" xr3:uid="{C464D87C-6855-4E10-9654-DF4E95C130DD}" name="Column9797" dataDxfId="6588"/>
    <tableColumn id="9822" xr3:uid="{87A03AB1-3837-4DE8-948C-3A43BFCCBD8C}" name="Column9798" dataDxfId="6587"/>
    <tableColumn id="9823" xr3:uid="{9DA0A3ED-49C2-40F0-AD72-2817206050CA}" name="Column9799" dataDxfId="6586"/>
    <tableColumn id="9824" xr3:uid="{6B13362D-38A3-4EB6-B058-56F8A6F75443}" name="Column9800" dataDxfId="6585"/>
    <tableColumn id="9825" xr3:uid="{21499D0A-643C-473A-B631-4B0008534130}" name="Column9801" dataDxfId="6584"/>
    <tableColumn id="9826" xr3:uid="{7D68B159-6F6E-4B94-9E23-EED38BAB4CBA}" name="Column9802" dataDxfId="6583"/>
    <tableColumn id="9827" xr3:uid="{01A56FF8-F3AB-4455-ADBA-984062237469}" name="Column9803" dataDxfId="6582"/>
    <tableColumn id="9828" xr3:uid="{BF66B52A-4C8A-4786-A066-B27B1D9476A8}" name="Column9804" dataDxfId="6581"/>
    <tableColumn id="9829" xr3:uid="{5026C339-A190-4C4D-A3D1-9D159EEF68F3}" name="Column9805" dataDxfId="6580"/>
    <tableColumn id="9830" xr3:uid="{4E696273-E8E5-4FEF-973A-4C43121D3997}" name="Column9806" dataDxfId="6579"/>
    <tableColumn id="9831" xr3:uid="{C81DFF1B-7682-4861-893F-0F14E1A71F01}" name="Column9807" dataDxfId="6578"/>
    <tableColumn id="9832" xr3:uid="{BEF6F66D-4834-4B42-9CC6-F138DA1DE40B}" name="Column9808" dataDxfId="6577"/>
    <tableColumn id="9833" xr3:uid="{08794C62-373E-4893-A764-751CCAB5E167}" name="Column9809" dataDxfId="6576"/>
    <tableColumn id="9834" xr3:uid="{F759560C-F784-411F-9F1E-0F8178805FDF}" name="Column9810" dataDxfId="6575"/>
    <tableColumn id="9835" xr3:uid="{44411E0C-86EE-4577-B5F5-FD53BD2889DD}" name="Column9811" dataDxfId="6574"/>
    <tableColumn id="9836" xr3:uid="{88CF3762-6131-43BD-B5A2-39AE80779361}" name="Column9812" dataDxfId="6573"/>
    <tableColumn id="9837" xr3:uid="{37E9A91C-5AC1-4E3F-83F9-0925056F55E0}" name="Column9813" dataDxfId="6572"/>
    <tableColumn id="9838" xr3:uid="{80E21957-6D0F-4A87-847B-F9F0E62582F9}" name="Column9814" dataDxfId="6571"/>
    <tableColumn id="9839" xr3:uid="{390383B4-971A-4DF5-AB6B-C865BD5AAA3E}" name="Column9815" dataDxfId="6570"/>
    <tableColumn id="9840" xr3:uid="{EB84DA9F-7E3A-4E50-9871-DBC38E2A066E}" name="Column9816" dataDxfId="6569"/>
    <tableColumn id="9841" xr3:uid="{DF7145C9-83F3-4071-B546-4EFB60AC05E5}" name="Column9817" dataDxfId="6568"/>
    <tableColumn id="9842" xr3:uid="{24A2FA04-02FE-4196-AECE-ADB6FDEC4F50}" name="Column9818" dataDxfId="6567"/>
    <tableColumn id="9843" xr3:uid="{832F1BA6-48D6-4584-816E-185B4E81D232}" name="Column9819" dataDxfId="6566"/>
    <tableColumn id="9844" xr3:uid="{7B227B60-81B8-4A7C-8810-A59044465CED}" name="Column9820" dataDxfId="6565"/>
    <tableColumn id="9845" xr3:uid="{7372E4AA-9135-45DD-918C-9275155FF2F3}" name="Column9821" dataDxfId="6564"/>
    <tableColumn id="9846" xr3:uid="{31DA2A2A-80A4-4DBF-93DE-06F1FC18C69A}" name="Column9822" dataDxfId="6563"/>
    <tableColumn id="9847" xr3:uid="{B514AAE6-4BBA-4341-856B-D35A03BF2E8B}" name="Column9823" dataDxfId="6562"/>
    <tableColumn id="9848" xr3:uid="{92CFA6A6-1FB2-4C7E-9E0E-56C7DFB8910C}" name="Column9824" dataDxfId="6561"/>
    <tableColumn id="9849" xr3:uid="{ECC7E919-08D8-413C-8EA5-41891450EDC6}" name="Column9825" dataDxfId="6560"/>
    <tableColumn id="9850" xr3:uid="{FD504EA1-BEDF-44A7-A6C9-6CA50917DEE6}" name="Column9826" dataDxfId="6559"/>
    <tableColumn id="9851" xr3:uid="{C4173A8C-B432-421B-B970-11ABED2B54EC}" name="Column9827" dataDxfId="6558"/>
    <tableColumn id="9852" xr3:uid="{F45597F7-B657-42E0-96A3-E76B38E3C559}" name="Column9828" dataDxfId="6557"/>
    <tableColumn id="9853" xr3:uid="{4B2D364A-95D9-4F46-95B2-B50E33B9DE4C}" name="Column9829" dataDxfId="6556"/>
    <tableColumn id="9854" xr3:uid="{EB079ECD-96EC-4C5B-9B52-614E94694692}" name="Column9830" dataDxfId="6555"/>
    <tableColumn id="9855" xr3:uid="{B1677B7F-57CE-4BB4-98B3-BE5A16D71AE1}" name="Column9831" dataDxfId="6554"/>
    <tableColumn id="9856" xr3:uid="{261D5B01-09E7-47A4-8FA0-9FAC8F5EC636}" name="Column9832" dataDxfId="6553"/>
    <tableColumn id="9857" xr3:uid="{CF70F620-7166-47FA-8336-BC3655BB3E47}" name="Column9833" dataDxfId="6552"/>
    <tableColumn id="9858" xr3:uid="{8AB3A31C-654C-48B3-9644-C56DBCA8D332}" name="Column9834" dataDxfId="6551"/>
    <tableColumn id="9859" xr3:uid="{390741F6-E531-43F2-9F3E-4786C50240C3}" name="Column9835" dataDxfId="6550"/>
    <tableColumn id="9860" xr3:uid="{E5CC4D23-677D-40F1-ADF6-587B24E10DDA}" name="Column9836" dataDxfId="6549"/>
    <tableColumn id="9861" xr3:uid="{28142A09-A919-437F-A430-5A40FB35B6A6}" name="Column9837" dataDxfId="6548"/>
    <tableColumn id="9862" xr3:uid="{95F6017A-F123-459D-9930-A5E84BB65724}" name="Column9838" dataDxfId="6547"/>
    <tableColumn id="9863" xr3:uid="{2B996493-EF1D-40B6-9EF3-7E35AA4C4C8C}" name="Column9839" dataDxfId="6546"/>
    <tableColumn id="9864" xr3:uid="{8682F44D-2C57-4D97-B35F-7F59E5F07D56}" name="Column9840" dataDxfId="6545"/>
    <tableColumn id="9865" xr3:uid="{C7D408BA-F580-4DDC-BAEE-2F3F42B7B796}" name="Column9841" dataDxfId="6544"/>
    <tableColumn id="9866" xr3:uid="{38B38860-CD0C-470F-AC6B-D50EFBAE84D2}" name="Column9842" dataDxfId="6543"/>
    <tableColumn id="9867" xr3:uid="{FDFA8524-98A4-4581-BE3A-72023EB3B5A8}" name="Column9843" dataDxfId="6542"/>
    <tableColumn id="9868" xr3:uid="{048A7F89-4E29-4313-BAB1-5FE425459738}" name="Column9844" dataDxfId="6541"/>
    <tableColumn id="9869" xr3:uid="{F2607998-AB82-4A86-9AEA-E801BC4EB73B}" name="Column9845" dataDxfId="6540"/>
    <tableColumn id="9870" xr3:uid="{29334FD2-0DAD-4BCF-8191-00B009D42253}" name="Column9846" dataDxfId="6539"/>
    <tableColumn id="9871" xr3:uid="{BBE14EA1-3FF8-4F11-B94A-38D0A5493252}" name="Column9847" dataDxfId="6538"/>
    <tableColumn id="9872" xr3:uid="{47392E94-A001-44EC-A3EA-DDFBC8D1D60E}" name="Column9848" dataDxfId="6537"/>
    <tableColumn id="9873" xr3:uid="{51A85D08-C415-4834-990C-3B9B0FAF6802}" name="Column9849" dataDxfId="6536"/>
    <tableColumn id="9874" xr3:uid="{BA6EC1DB-06A5-48F2-8217-21D01E28206D}" name="Column9850" dataDxfId="6535"/>
    <tableColumn id="9875" xr3:uid="{912E97B6-B92F-4BDF-BE51-B7CBD9B76729}" name="Column9851" dataDxfId="6534"/>
    <tableColumn id="9876" xr3:uid="{065E4B3C-E32A-4CD0-BD0B-1166B4DAB1EB}" name="Column9852" dataDxfId="6533"/>
    <tableColumn id="9877" xr3:uid="{D4D3824C-C692-4DF8-BDF8-24A078767123}" name="Column9853" dataDxfId="6532"/>
    <tableColumn id="9878" xr3:uid="{E87FDA7F-7326-45AA-B5FA-044D9DD4420E}" name="Column9854" dataDxfId="6531"/>
    <tableColumn id="9879" xr3:uid="{934AF96B-F688-4189-A839-E41F7D29E420}" name="Column9855" dataDxfId="6530"/>
    <tableColumn id="9880" xr3:uid="{6C687768-3C40-4282-8D9A-8FF5E996A538}" name="Column9856" dataDxfId="6529"/>
    <tableColumn id="9881" xr3:uid="{20C1E851-4CA4-4043-91D9-13B0FC4E7965}" name="Column9857" dataDxfId="6528"/>
    <tableColumn id="9882" xr3:uid="{6BEBB2D8-2228-4711-B78E-8F4568C47CED}" name="Column9858" dataDxfId="6527"/>
    <tableColumn id="9883" xr3:uid="{85184AB7-2917-447A-9661-3BF6E1CEA570}" name="Column9859" dataDxfId="6526"/>
    <tableColumn id="9884" xr3:uid="{CA59074C-A843-4889-869A-599DB8049506}" name="Column9860" dataDxfId="6525"/>
    <tableColumn id="9885" xr3:uid="{469DAA2D-5257-4189-8046-5C2FEA496EDC}" name="Column9861" dataDxfId="6524"/>
    <tableColumn id="9886" xr3:uid="{70F8E8EB-8A8F-4F75-8A1E-6895DA951D08}" name="Column9862" dataDxfId="6523"/>
    <tableColumn id="9887" xr3:uid="{81ED7481-22FF-4F84-851E-D69A32FABC71}" name="Column9863" dataDxfId="6522"/>
    <tableColumn id="9888" xr3:uid="{6F6346CA-A6F9-489B-A145-3A0A347CD1CC}" name="Column9864" dataDxfId="6521"/>
    <tableColumn id="9889" xr3:uid="{4810EEBF-BEDC-41C8-B5CC-2613B2E00696}" name="Column9865" dataDxfId="6520"/>
    <tableColumn id="9890" xr3:uid="{DF411B8C-BC75-4AAB-B3EC-260EF0D6A233}" name="Column9866" dataDxfId="6519"/>
    <tableColumn id="9891" xr3:uid="{72B751D7-5040-499A-AAF4-98B5C58192D1}" name="Column9867" dataDxfId="6518"/>
    <tableColumn id="9892" xr3:uid="{B976DB3C-4416-4E4A-BD43-94E22F4735FC}" name="Column9868" dataDxfId="6517"/>
    <tableColumn id="9893" xr3:uid="{003ACDE1-B500-4240-BE29-3074AB0A31E1}" name="Column9869" dataDxfId="6516"/>
    <tableColumn id="9894" xr3:uid="{A085D685-334A-49F6-886A-D20945AE7F57}" name="Column9870" dataDxfId="6515"/>
    <tableColumn id="9895" xr3:uid="{25001E0C-740D-46DE-A474-278EC8A6128A}" name="Column9871" dataDxfId="6514"/>
    <tableColumn id="9896" xr3:uid="{11133268-E92F-4140-8C10-58E89FCFB37D}" name="Column9872" dataDxfId="6513"/>
    <tableColumn id="9897" xr3:uid="{548B5551-AAB6-46A6-A55F-6FB901A8FD8C}" name="Column9873" dataDxfId="6512"/>
    <tableColumn id="9898" xr3:uid="{44F85AD6-4374-420D-955E-DE2E182F8F45}" name="Column9874" dataDxfId="6511"/>
    <tableColumn id="9899" xr3:uid="{7370AF74-F4AC-4CC3-9675-37BD3EE50781}" name="Column9875" dataDxfId="6510"/>
    <tableColumn id="9900" xr3:uid="{B0EEE1B1-7999-4166-AA76-1BBB96C079D0}" name="Column9876" dataDxfId="6509"/>
    <tableColumn id="9901" xr3:uid="{9834B9C0-4605-4C77-A4CB-4F6EF735FFFE}" name="Column9877" dataDxfId="6508"/>
    <tableColumn id="9902" xr3:uid="{002A9017-99FA-42F3-8995-B2D7CDFF1790}" name="Column9878" dataDxfId="6507"/>
    <tableColumn id="9903" xr3:uid="{CBE1DEA0-9E78-43A5-9BC1-306746D40EEF}" name="Column9879" dataDxfId="6506"/>
    <tableColumn id="9904" xr3:uid="{C5BAA752-71E3-4DFF-AD53-64A5DAEC2567}" name="Column9880" dataDxfId="6505"/>
    <tableColumn id="9905" xr3:uid="{2B4CB27A-98C5-4952-AC1A-823C478310D8}" name="Column9881" dataDxfId="6504"/>
    <tableColumn id="9906" xr3:uid="{D449EC46-8224-4C13-AF2C-BF085C6FD766}" name="Column9882" dataDxfId="6503"/>
    <tableColumn id="9907" xr3:uid="{EC0DE135-64E9-44FF-84CC-F1707F962454}" name="Column9883" dataDxfId="6502"/>
    <tableColumn id="9908" xr3:uid="{3B22CE7B-FB7F-424C-B8DA-503A47181958}" name="Column9884" dataDxfId="6501"/>
    <tableColumn id="9909" xr3:uid="{04AB21F2-E8F0-45E8-AB9F-53ED8AE63316}" name="Column9885" dataDxfId="6500"/>
    <tableColumn id="9910" xr3:uid="{68369637-4DF4-4337-A590-A8EBC796E758}" name="Column9886" dataDxfId="6499"/>
    <tableColumn id="9911" xr3:uid="{54D21757-1D88-4E42-8347-1788C9210FC0}" name="Column9887" dataDxfId="6498"/>
    <tableColumn id="9912" xr3:uid="{E539D865-AD5C-4E7D-BEA6-AFB650C344C1}" name="Column9888" dataDxfId="6497"/>
    <tableColumn id="9913" xr3:uid="{6DAD23EB-CDCF-463B-A2BE-592F5B123F77}" name="Column9889" dataDxfId="6496"/>
    <tableColumn id="9914" xr3:uid="{FFCBEC12-4BF4-420F-B0F0-411AC57C74CE}" name="Column9890" dataDxfId="6495"/>
    <tableColumn id="9915" xr3:uid="{0E7D08A8-F7CD-401B-A666-93315394D7FF}" name="Column9891" dataDxfId="6494"/>
    <tableColumn id="9916" xr3:uid="{00499D9D-5306-41B5-877F-89DE5FC09FEB}" name="Column9892" dataDxfId="6493"/>
    <tableColumn id="9917" xr3:uid="{74F7AFEB-84FA-4344-B74F-FFC4A22562F8}" name="Column9893" dataDxfId="6492"/>
    <tableColumn id="9918" xr3:uid="{1787568C-5C03-4A5B-B20B-1A283D143C5F}" name="Column9894" dataDxfId="6491"/>
    <tableColumn id="9919" xr3:uid="{2AA7208C-6A3C-4111-9E72-E3A007AB0898}" name="Column9895" dataDxfId="6490"/>
    <tableColumn id="9920" xr3:uid="{A61B4777-971B-4304-8E95-B171283D537A}" name="Column9896" dataDxfId="6489"/>
    <tableColumn id="9921" xr3:uid="{D27A9F06-0E24-4E0F-AC37-DEE97ADF4B9F}" name="Column9897" dataDxfId="6488"/>
    <tableColumn id="9922" xr3:uid="{F86FD911-CE4C-4867-AA46-C70AA576C824}" name="Column9898" dataDxfId="6487"/>
    <tableColumn id="9923" xr3:uid="{AA9F9987-C871-42D8-86CE-AEB72CAB45F7}" name="Column9899" dataDxfId="6486"/>
    <tableColumn id="9924" xr3:uid="{19DC3006-023B-46D1-A701-BF22FFFA3C9E}" name="Column9900" dataDxfId="6485"/>
    <tableColumn id="9925" xr3:uid="{CA1E08B7-D8B2-4636-A56E-2A5D34352A0E}" name="Column9901" dataDxfId="6484"/>
    <tableColumn id="9926" xr3:uid="{3C4C1B1D-94B7-48EE-9A5C-7D91B91C6DBF}" name="Column9902" dataDxfId="6483"/>
    <tableColumn id="9927" xr3:uid="{3B812501-1316-4B7F-B2D0-5B673E042B70}" name="Column9903" dataDxfId="6482"/>
    <tableColumn id="9928" xr3:uid="{C9279C46-0420-4528-BC48-D1289237866D}" name="Column9904" dataDxfId="6481"/>
    <tableColumn id="9929" xr3:uid="{44743CC6-5BAF-4018-858C-E1062F1A848F}" name="Column9905" dataDxfId="6480"/>
    <tableColumn id="9930" xr3:uid="{8C2A787D-6A22-444A-A5A0-E4B8DB0521DF}" name="Column9906" dataDxfId="6479"/>
    <tableColumn id="9931" xr3:uid="{D3C41386-3676-4B96-84E3-BB24093EBFBD}" name="Column9907" dataDxfId="6478"/>
    <tableColumn id="9932" xr3:uid="{A6854AF6-6A99-4905-838A-D55FEBDDB97E}" name="Column9908" dataDxfId="6477"/>
    <tableColumn id="9933" xr3:uid="{DDB9E76F-B1D1-4118-B7E0-460F70D06F00}" name="Column9909" dataDxfId="6476"/>
    <tableColumn id="9934" xr3:uid="{5AC5379A-7910-43DB-9B04-FA4CEBA2AE3E}" name="Column9910" dataDxfId="6475"/>
    <tableColumn id="9935" xr3:uid="{78214296-893F-468B-8274-6454E5443178}" name="Column9911" dataDxfId="6474"/>
    <tableColumn id="9936" xr3:uid="{99A4C03A-73A6-4616-983C-30D789F12595}" name="Column9912" dataDxfId="6473"/>
    <tableColumn id="9937" xr3:uid="{45D700FF-20F8-4882-A97F-E6EBE155EB61}" name="Column9913" dataDxfId="6472"/>
    <tableColumn id="9938" xr3:uid="{A1881F81-644E-46D7-823B-C03D7CCA5958}" name="Column9914" dataDxfId="6471"/>
    <tableColumn id="9939" xr3:uid="{4F270ADE-2E57-404E-B0F7-ECAB3A5E7453}" name="Column9915" dataDxfId="6470"/>
    <tableColumn id="9940" xr3:uid="{C71DEE5B-37EB-4CDE-BAB5-401B3C8A36AB}" name="Column9916" dataDxfId="6469"/>
    <tableColumn id="9941" xr3:uid="{912DD1E8-ADF6-4832-851B-BEFF164FE16B}" name="Column9917" dataDxfId="6468"/>
    <tableColumn id="9942" xr3:uid="{317548C2-683B-4DA2-8C2A-38686751DB87}" name="Column9918" dataDxfId="6467"/>
    <tableColumn id="9943" xr3:uid="{40804CCA-69D1-4CBA-B34F-C44A7F8489E7}" name="Column9919" dataDxfId="6466"/>
    <tableColumn id="9944" xr3:uid="{88447A61-3BB1-4A15-9838-B1CD4479CC83}" name="Column9920" dataDxfId="6465"/>
    <tableColumn id="9945" xr3:uid="{AD9558FC-C62A-49B0-AF2F-BB8A751457AE}" name="Column9921" dataDxfId="6464"/>
    <tableColumn id="9946" xr3:uid="{2B10C6F2-7C8C-4EAA-A583-2E1854612F30}" name="Column9922" dataDxfId="6463"/>
    <tableColumn id="9947" xr3:uid="{3D575A1C-5E41-44A7-A503-E7674D3DE8D4}" name="Column9923" dataDxfId="6462"/>
    <tableColumn id="9948" xr3:uid="{09BF0609-7A10-4E9A-878F-144187B79CC9}" name="Column9924" dataDxfId="6461"/>
    <tableColumn id="9949" xr3:uid="{2B9C7C18-CBA4-4B41-9245-E9F2219EB114}" name="Column9925" dataDxfId="6460"/>
    <tableColumn id="9950" xr3:uid="{687216D2-F090-4938-830C-74A5C8315385}" name="Column9926" dataDxfId="6459"/>
    <tableColumn id="9951" xr3:uid="{5FBC57DA-701E-4E96-9D72-A9C7D4ACEA34}" name="Column9927" dataDxfId="6458"/>
    <tableColumn id="9952" xr3:uid="{032BBFD4-18F1-484D-837F-820888789010}" name="Column9928" dataDxfId="6457"/>
    <tableColumn id="9953" xr3:uid="{B8B79EB9-87A6-4E7B-B142-512F95546E0C}" name="Column9929" dataDxfId="6456"/>
    <tableColumn id="9954" xr3:uid="{72DF5ED1-5694-4E3C-8DD6-E4C95FE35F6D}" name="Column9930" dataDxfId="6455"/>
    <tableColumn id="9955" xr3:uid="{857AB8A4-1FA5-4FB4-B876-611B9CF2ADEA}" name="Column9931" dataDxfId="6454"/>
    <tableColumn id="9956" xr3:uid="{4906F839-55FE-4225-88C6-4277F8CE8910}" name="Column9932" dataDxfId="6453"/>
    <tableColumn id="9957" xr3:uid="{207FEF7A-55BA-413D-B2FC-212088B610E6}" name="Column9933" dataDxfId="6452"/>
    <tableColumn id="9958" xr3:uid="{539C97CE-2106-4541-A30F-F79A0568EDDC}" name="Column9934" dataDxfId="6451"/>
    <tableColumn id="9959" xr3:uid="{0F338243-00E9-46C2-8B74-2456A345D154}" name="Column9935" dataDxfId="6450"/>
    <tableColumn id="9960" xr3:uid="{33751606-3466-4FBA-B3AC-61C6A1D72D70}" name="Column9936" dataDxfId="6449"/>
    <tableColumn id="9961" xr3:uid="{2DDC486E-15C9-4CAB-A207-D493BA67A6A8}" name="Column9937" dataDxfId="6448"/>
    <tableColumn id="9962" xr3:uid="{823F28F7-1BF9-4F82-AC52-A19D2297DDEB}" name="Column9938" dataDxfId="6447"/>
    <tableColumn id="9963" xr3:uid="{5B6CF1AA-98E3-43B5-A5B5-98D9A1063F93}" name="Column9939" dataDxfId="6446"/>
    <tableColumn id="9964" xr3:uid="{F0D3AC18-4AFB-49B5-AFE3-EE6B4CDF51AB}" name="Column9940" dataDxfId="6445"/>
    <tableColumn id="9965" xr3:uid="{FF2661A4-C0A2-4EED-9116-9D422A5ECA9D}" name="Column9941" dataDxfId="6444"/>
    <tableColumn id="9966" xr3:uid="{E76CE953-A693-4CCA-AD4F-C3358C72B607}" name="Column9942" dataDxfId="6443"/>
    <tableColumn id="9967" xr3:uid="{996BB104-4660-4CD8-9DB0-9316D16B4D65}" name="Column9943" dataDxfId="6442"/>
    <tableColumn id="9968" xr3:uid="{0CE1FBE8-95AE-469F-A6C6-FE6B0955408D}" name="Column9944" dataDxfId="6441"/>
    <tableColumn id="9969" xr3:uid="{8D7B26D7-EAE8-4360-85DD-90681312CE99}" name="Column9945" dataDxfId="6440"/>
    <tableColumn id="9970" xr3:uid="{A4310C48-55D4-439E-A782-6B47C0596A57}" name="Column9946" dataDxfId="6439"/>
    <tableColumn id="9971" xr3:uid="{D093B5EF-9529-447F-8EE0-709DF0C8041A}" name="Column9947" dataDxfId="6438"/>
    <tableColumn id="9972" xr3:uid="{6CD709A9-8420-472A-9499-31AD73DA5D7F}" name="Column9948" dataDxfId="6437"/>
    <tableColumn id="9973" xr3:uid="{5A4EA08E-2269-47AB-ABD7-2A3BD90F4754}" name="Column9949" dataDxfId="6436"/>
    <tableColumn id="9974" xr3:uid="{65FB75D3-8B7D-469D-989C-89E969FF2056}" name="Column9950" dataDxfId="6435"/>
    <tableColumn id="9975" xr3:uid="{BFA46E96-74D4-4EF4-BDD7-D78B5D58940C}" name="Column9951" dataDxfId="6434"/>
    <tableColumn id="9976" xr3:uid="{CD8A4171-B945-4E34-9D99-8AC48197E450}" name="Column9952" dataDxfId="6433"/>
    <tableColumn id="9977" xr3:uid="{5AA47067-1724-4ECA-8B80-867FDC8433C2}" name="Column9953" dataDxfId="6432"/>
    <tableColumn id="9978" xr3:uid="{1A7FA070-95B3-440B-AB1D-552A6885C403}" name="Column9954" dataDxfId="6431"/>
    <tableColumn id="9979" xr3:uid="{22A84978-798D-4F41-AD35-7C72B86E7911}" name="Column9955" dataDxfId="6430"/>
    <tableColumn id="9980" xr3:uid="{B03BC3BD-9A7C-4FB2-B3C4-6A28F69080AC}" name="Column9956" dataDxfId="6429"/>
    <tableColumn id="9981" xr3:uid="{2F87C100-ED2F-4429-BB3B-EAD29D7BE7BB}" name="Column9957" dataDxfId="6428"/>
    <tableColumn id="9982" xr3:uid="{9568CFEA-2D17-43BA-B7E0-E881CD1792D2}" name="Column9958" dataDxfId="6427"/>
    <tableColumn id="9983" xr3:uid="{95F9868F-EED5-400F-BDA9-1DE9E638C479}" name="Column9959" dataDxfId="6426"/>
    <tableColumn id="9984" xr3:uid="{54870B2B-1417-47C7-81CF-AF2A74171423}" name="Column9960" dataDxfId="6425"/>
    <tableColumn id="9985" xr3:uid="{8FBC9A97-5025-4DB2-8C3E-529E98304AA1}" name="Column9961" dataDxfId="6424"/>
    <tableColumn id="9986" xr3:uid="{8B726F04-9222-414B-9AF0-10D2C4CD3A16}" name="Column9962" dataDxfId="6423"/>
    <tableColumn id="9987" xr3:uid="{723A5DD1-DC6E-4EDC-9411-36957ACE1223}" name="Column9963" dataDxfId="6422"/>
    <tableColumn id="9988" xr3:uid="{7A866E4C-34AD-4535-B0E7-507843454EB8}" name="Column9964" dataDxfId="6421"/>
    <tableColumn id="9989" xr3:uid="{4BCA4B27-AAA1-4313-A6E1-554BEC616B4B}" name="Column9965" dataDxfId="6420"/>
    <tableColumn id="9990" xr3:uid="{D1FF8A90-E101-47C9-B51D-87711FDF83E3}" name="Column9966" dataDxfId="6419"/>
    <tableColumn id="9991" xr3:uid="{49B60104-D01B-417F-A9F9-0C37B76A1049}" name="Column9967" dataDxfId="6418"/>
    <tableColumn id="9992" xr3:uid="{96D859A8-E3A1-46D5-BD17-D7AACE73F1F3}" name="Column9968" dataDxfId="6417"/>
    <tableColumn id="9993" xr3:uid="{844E4EC3-FFD1-4FD2-A62C-F48A2CE51070}" name="Column9969" dataDxfId="6416"/>
    <tableColumn id="9994" xr3:uid="{46D47AA4-30B8-4FB3-B519-816C841C42AB}" name="Column9970" dataDxfId="6415"/>
    <tableColumn id="9995" xr3:uid="{8C389D91-C64F-4888-A2DB-DA3304B7542A}" name="Column9971" dataDxfId="6414"/>
    <tableColumn id="9996" xr3:uid="{403CDACA-ADAE-419D-9AF2-4529BBE5AE98}" name="Column9972" dataDxfId="6413"/>
    <tableColumn id="9997" xr3:uid="{9063792D-1966-4F52-931E-3DD05FADE366}" name="Column9973" dataDxfId="6412"/>
    <tableColumn id="9998" xr3:uid="{59DC6722-8960-4A44-9FCB-F0314B8CA660}" name="Column9974" dataDxfId="6411"/>
    <tableColumn id="9999" xr3:uid="{C3648702-CFCC-488B-BB8A-276026D31FB8}" name="Column9975" dataDxfId="6410"/>
    <tableColumn id="10000" xr3:uid="{71E707F4-E8ED-47F2-8F7B-2EC48C16495B}" name="Column9976" dataDxfId="6409"/>
    <tableColumn id="10001" xr3:uid="{5E25346D-9146-4008-9BA3-753265110489}" name="Column9977" dataDxfId="6408"/>
    <tableColumn id="10002" xr3:uid="{30722ED8-71CE-4045-ADB5-A7BF7BE162DA}" name="Column9978" dataDxfId="6407"/>
    <tableColumn id="10003" xr3:uid="{4C54C5B8-F902-4283-ACB8-FB8B1205D040}" name="Column9979" dataDxfId="6406"/>
    <tableColumn id="10004" xr3:uid="{303DC61E-34C5-48C1-8132-CE3DE305D754}" name="Column9980" dataDxfId="6405"/>
    <tableColumn id="10005" xr3:uid="{F831A05E-1B6D-4146-A7D4-7718EA148C2C}" name="Column9981" dataDxfId="6404"/>
    <tableColumn id="10006" xr3:uid="{B3413896-E242-466B-8678-DF9995638A12}" name="Column9982" dataDxfId="6403"/>
    <tableColumn id="10007" xr3:uid="{E8AF9826-734A-4FE6-AED5-D92228FC493A}" name="Column9983" dataDxfId="6402"/>
    <tableColumn id="10008" xr3:uid="{4DE45A11-E694-4177-9221-B6FB892E81BA}" name="Column9984" dataDxfId="6401"/>
    <tableColumn id="10009" xr3:uid="{418DD5D0-46CC-453E-91E5-AB8251CCD76A}" name="Column9985" dataDxfId="6400"/>
    <tableColumn id="10010" xr3:uid="{1CE4BBF5-A0ED-49B1-A663-BD6045AAD3C6}" name="Column9986" dataDxfId="6399"/>
    <tableColumn id="10011" xr3:uid="{B64ADA1D-A515-4937-AF7C-F5EC68BE86E0}" name="Column9987" dataDxfId="6398"/>
    <tableColumn id="10012" xr3:uid="{6479FFB1-8167-4C5F-B9A1-E3968639FAD4}" name="Column9988" dataDxfId="6397"/>
    <tableColumn id="10013" xr3:uid="{281DC293-FE8A-49CE-83C2-A5DCFFD6CE78}" name="Column9989" dataDxfId="6396"/>
    <tableColumn id="10014" xr3:uid="{9736CD14-31F3-49B8-9E75-9467184C1E63}" name="Column9990" dataDxfId="6395"/>
    <tableColumn id="10015" xr3:uid="{4954CED3-2C03-4970-AF2D-8BA91177EDEF}" name="Column9991" dataDxfId="6394"/>
    <tableColumn id="10016" xr3:uid="{C45BC23C-45F5-4D8F-93DA-50045595ACD8}" name="Column9992" dataDxfId="6393"/>
    <tableColumn id="10017" xr3:uid="{75303BFF-5892-4632-ACC1-44CB663C1B72}" name="Column9993" dataDxfId="6392"/>
    <tableColumn id="10018" xr3:uid="{05DCC77B-2117-4DF4-9367-54C0F1A3C787}" name="Column9994" dataDxfId="6391"/>
    <tableColumn id="10019" xr3:uid="{2C3CCC4A-B38C-4060-8C3F-C55498E3F759}" name="Column9995" dataDxfId="6390"/>
    <tableColumn id="10020" xr3:uid="{6A7AC1F3-62AB-4341-B29A-2DFB3722033E}" name="Column9996" dataDxfId="6389"/>
    <tableColumn id="10021" xr3:uid="{6DCBE773-5F65-4193-A911-3275F1B4CCC0}" name="Column9997" dataDxfId="6388"/>
    <tableColumn id="10022" xr3:uid="{13A47247-BF23-44B7-B740-FB01E319DA18}" name="Column9998" dataDxfId="6387"/>
    <tableColumn id="10023" xr3:uid="{35D46902-E90B-49E6-8705-0D40740D53EE}" name="Column9999" dataDxfId="6386"/>
    <tableColumn id="10024" xr3:uid="{053F501E-37AE-432A-9653-FDF809E2F7FA}" name="Column10000" dataDxfId="6385"/>
    <tableColumn id="10025" xr3:uid="{D5AA8ED7-E481-4E8B-8FF0-E7D8D46B0E78}" name="Column10001" dataDxfId="6384"/>
    <tableColumn id="10026" xr3:uid="{2F84935F-3ADA-46BD-8842-7E0229025277}" name="Column10002" dataDxfId="6383"/>
    <tableColumn id="10027" xr3:uid="{5BC622FC-D0FB-4138-8F07-0D69C11E682D}" name="Column10003" dataDxfId="6382"/>
    <tableColumn id="10028" xr3:uid="{9FC0AEA7-7334-4611-BD68-A7318C0AB53C}" name="Column10004" dataDxfId="6381"/>
    <tableColumn id="10029" xr3:uid="{1B0B0A29-D525-4024-AAA8-3B301E823492}" name="Column10005" dataDxfId="6380"/>
    <tableColumn id="10030" xr3:uid="{494CCC44-FCDC-4F4F-88FF-3D417734C125}" name="Column10006" dataDxfId="6379"/>
    <tableColumn id="10031" xr3:uid="{9DC11D96-88BB-43C2-9908-66C8A6198A01}" name="Column10007" dataDxfId="6378"/>
    <tableColumn id="10032" xr3:uid="{3526F342-149D-47B1-9E44-66FE02F8A5B9}" name="Column10008" dataDxfId="6377"/>
    <tableColumn id="10033" xr3:uid="{07BF3C1F-7DA5-4967-8815-BDB9A030F64E}" name="Column10009" dataDxfId="6376"/>
    <tableColumn id="10034" xr3:uid="{837045EA-131F-4D61-BDA0-DF4E32BAB700}" name="Column10010" dataDxfId="6375"/>
    <tableColumn id="10035" xr3:uid="{0B0CA22C-3867-4306-8F99-162B596F98CD}" name="Column10011" dataDxfId="6374"/>
    <tableColumn id="10036" xr3:uid="{06C6CB1B-A67C-45A7-B96F-66547CD95B4E}" name="Column10012" dataDxfId="6373"/>
    <tableColumn id="10037" xr3:uid="{626C04F5-C328-4187-BDB1-045BAE94853B}" name="Column10013" dataDxfId="6372"/>
    <tableColumn id="10038" xr3:uid="{1B8207BF-1ED1-41B4-95E5-11161C53D700}" name="Column10014" dataDxfId="6371"/>
    <tableColumn id="10039" xr3:uid="{9A7D8027-F3E2-4AFE-818C-96BD5D49C511}" name="Column10015" dataDxfId="6370"/>
    <tableColumn id="10040" xr3:uid="{AD803706-C656-43BC-909B-EE9F10349842}" name="Column10016" dataDxfId="6369"/>
    <tableColumn id="10041" xr3:uid="{C263584C-D3E4-40EF-BF8A-8069556EE0E6}" name="Column10017" dataDxfId="6368"/>
    <tableColumn id="10042" xr3:uid="{B7421735-295F-493E-8D44-C95E2784FF5F}" name="Column10018" dataDxfId="6367"/>
    <tableColumn id="10043" xr3:uid="{6D997A7D-FA5E-4C60-BBF7-88CC08BF5FCA}" name="Column10019" dataDxfId="6366"/>
    <tableColumn id="10044" xr3:uid="{F8337DC7-1ED7-4925-AF1D-2B9D3402AD00}" name="Column10020" dataDxfId="6365"/>
    <tableColumn id="10045" xr3:uid="{11C1A1C9-60EB-4673-8562-4FF14B200572}" name="Column10021" dataDxfId="6364"/>
    <tableColumn id="10046" xr3:uid="{5DFC1C09-0A0B-490D-AB14-89EEDD5CB7D4}" name="Column10022" dataDxfId="6363"/>
    <tableColumn id="10047" xr3:uid="{A4F85F52-6552-4877-A037-ADFE7F43DD30}" name="Column10023" dataDxfId="6362"/>
    <tableColumn id="10048" xr3:uid="{54D4281B-E359-495B-9CCB-8EAC4B85D3A7}" name="Column10024" dataDxfId="6361"/>
    <tableColumn id="10049" xr3:uid="{17623B30-5AD0-4435-B174-F525BC18E7C2}" name="Column10025" dataDxfId="6360"/>
    <tableColumn id="10050" xr3:uid="{084383E5-E23E-4E39-97F4-B37DFA58A63D}" name="Column10026" dataDxfId="6359"/>
    <tableColumn id="10051" xr3:uid="{D87AA0ED-43C2-4434-975C-7D5B22B67E10}" name="Column10027" dataDxfId="6358"/>
    <tableColumn id="10052" xr3:uid="{7DF232EA-EA63-48E7-A803-A255826E5898}" name="Column10028" dataDxfId="6357"/>
    <tableColumn id="10053" xr3:uid="{11578D4C-8EF6-42AF-9E14-B552831EBEC8}" name="Column10029" dataDxfId="6356"/>
    <tableColumn id="10054" xr3:uid="{4BA24A70-11A0-4DD1-A23E-8BB67C714E8D}" name="Column10030" dataDxfId="6355"/>
    <tableColumn id="10055" xr3:uid="{F4E2991B-89FD-4B2A-9908-884ABF7BEFED}" name="Column10031" dataDxfId="6354"/>
    <tableColumn id="10056" xr3:uid="{B1207F3E-5631-4BAD-92D2-D21DE7099CEB}" name="Column10032" dataDxfId="6353"/>
    <tableColumn id="10057" xr3:uid="{37449580-AFB8-4F14-822E-D2FBD787A7A5}" name="Column10033" dataDxfId="6352"/>
    <tableColumn id="10058" xr3:uid="{45430BE1-ECA1-455A-B0C3-3ED6F25A1971}" name="Column10034" dataDxfId="6351"/>
    <tableColumn id="10059" xr3:uid="{20E79C5B-EDB5-4658-9E6F-B1F2A378C926}" name="Column10035" dataDxfId="6350"/>
    <tableColumn id="10060" xr3:uid="{CD506C31-07EF-490B-B3A9-63BABB025732}" name="Column10036" dataDxfId="6349"/>
    <tableColumn id="10061" xr3:uid="{1AADE64B-A979-40CD-BDCD-6B46B71AB4A0}" name="Column10037" dataDxfId="6348"/>
    <tableColumn id="10062" xr3:uid="{8B5246AC-6F76-41CA-91A9-645C9B8A05E3}" name="Column10038" dataDxfId="6347"/>
    <tableColumn id="10063" xr3:uid="{6AC22297-9A40-4754-9374-E213E17A2C0C}" name="Column10039" dataDxfId="6346"/>
    <tableColumn id="10064" xr3:uid="{95BE241C-C1C1-4481-87D3-A0815845CA20}" name="Column10040" dataDxfId="6345"/>
    <tableColumn id="10065" xr3:uid="{C8DA9811-96C4-4E6D-94F1-B6F4436C97ED}" name="Column10041" dataDxfId="6344"/>
    <tableColumn id="10066" xr3:uid="{2B14949C-66F7-44E1-964B-63B58978BF4F}" name="Column10042" dataDxfId="6343"/>
    <tableColumn id="10067" xr3:uid="{01D84D18-F061-4FBB-97A3-7C3D46F95359}" name="Column10043" dataDxfId="6342"/>
    <tableColumn id="10068" xr3:uid="{C5166A27-0DC7-4B90-B5BB-56F0D50B12BE}" name="Column10044" dataDxfId="6341"/>
    <tableColumn id="10069" xr3:uid="{21ECAB9B-5889-40EC-B9F9-704E96162288}" name="Column10045" dataDxfId="6340"/>
    <tableColumn id="10070" xr3:uid="{3A8BE0D9-571F-4C36-976C-33FADF11B0DF}" name="Column10046" dataDxfId="6339"/>
    <tableColumn id="10071" xr3:uid="{C29883FB-7BE4-4335-B8E6-D9FF0072B282}" name="Column10047" dataDxfId="6338"/>
    <tableColumn id="10072" xr3:uid="{584D11F0-0A76-42A6-817E-5324181E0F61}" name="Column10048" dataDxfId="6337"/>
    <tableColumn id="10073" xr3:uid="{F0D7EE36-5028-44A1-B47B-CAD4608283E9}" name="Column10049" dataDxfId="6336"/>
    <tableColumn id="10074" xr3:uid="{C19131E7-C5A5-44F8-967F-06A13714C9A8}" name="Column10050" dataDxfId="6335"/>
    <tableColumn id="10075" xr3:uid="{7662BA3C-266A-4CB4-B692-3A0710F85ECA}" name="Column10051" dataDxfId="6334"/>
    <tableColumn id="10076" xr3:uid="{7A853102-8464-446F-BFFB-C9525B3A25B7}" name="Column10052" dataDxfId="6333"/>
    <tableColumn id="10077" xr3:uid="{F45AF29E-C900-404D-8570-D85C4BFC3071}" name="Column10053" dataDxfId="6332"/>
    <tableColumn id="10078" xr3:uid="{2F8CEDA4-DE10-4C13-879F-452C1076C7D8}" name="Column10054" dataDxfId="6331"/>
    <tableColumn id="10079" xr3:uid="{89328747-F2C9-44D7-86F1-EEEA7E62ED53}" name="Column10055" dataDxfId="6330"/>
    <tableColumn id="10080" xr3:uid="{077E6038-9F7A-4EE4-96BC-1C811425E8D3}" name="Column10056" dataDxfId="6329"/>
    <tableColumn id="10081" xr3:uid="{78988C5F-5382-4712-B2FB-3C41A242A57C}" name="Column10057" dataDxfId="6328"/>
    <tableColumn id="10082" xr3:uid="{CEC8D658-DECC-49E1-8F5F-2FEF44E97C49}" name="Column10058" dataDxfId="6327"/>
    <tableColumn id="10083" xr3:uid="{B5CBFCF4-6E0B-476D-9F87-18B14D6E5483}" name="Column10059" dataDxfId="6326"/>
    <tableColumn id="10084" xr3:uid="{425DB2AA-64E3-43C8-B13E-C44036C9E3A2}" name="Column10060" dataDxfId="6325"/>
    <tableColumn id="10085" xr3:uid="{4528971B-EB9D-42F5-90FB-F8FF1D537545}" name="Column10061" dataDxfId="6324"/>
    <tableColumn id="10086" xr3:uid="{16792D67-CEB1-47B6-8539-A5FCB9597782}" name="Column10062" dataDxfId="6323"/>
    <tableColumn id="10087" xr3:uid="{3A6C2F6E-A243-496F-B6AC-88AE86C3C849}" name="Column10063" dataDxfId="6322"/>
    <tableColumn id="10088" xr3:uid="{30078CC7-0E92-4554-AA2D-7D469F170627}" name="Column10064" dataDxfId="6321"/>
    <tableColumn id="10089" xr3:uid="{4D5E78EC-41F8-4195-B0DC-CC627B672D36}" name="Column10065" dataDxfId="6320"/>
    <tableColumn id="10090" xr3:uid="{EADA94D8-F992-4D4C-9D8E-6C8F8AA77861}" name="Column10066" dataDxfId="6319"/>
    <tableColumn id="10091" xr3:uid="{8CFE6721-682B-4780-BBD7-17D412BAB0DC}" name="Column10067" dataDxfId="6318"/>
    <tableColumn id="10092" xr3:uid="{DD34771E-0B42-474D-9695-031D08767E15}" name="Column10068" dataDxfId="6317"/>
    <tableColumn id="10093" xr3:uid="{3CEAFDFA-86AA-49C7-88D3-081D11B5597B}" name="Column10069" dataDxfId="6316"/>
    <tableColumn id="10094" xr3:uid="{A26D192B-3EEF-4B88-AF18-826FF7D113F5}" name="Column10070" dataDxfId="6315"/>
    <tableColumn id="10095" xr3:uid="{12885AD1-97AD-4587-A75F-589B8CBA6416}" name="Column10071" dataDxfId="6314"/>
    <tableColumn id="10096" xr3:uid="{D167D882-B8D7-4B67-8663-48DAD128226C}" name="Column10072" dataDxfId="6313"/>
    <tableColumn id="10097" xr3:uid="{3EB09180-2C40-4859-8310-AD845AB2369E}" name="Column10073" dataDxfId="6312"/>
    <tableColumn id="10098" xr3:uid="{37154445-811E-4FEB-A491-8A0640671F17}" name="Column10074" dataDxfId="6311"/>
    <tableColumn id="10099" xr3:uid="{8C9C2C0A-9C67-4B4C-A7B1-CBB5005B6A19}" name="Column10075" dataDxfId="6310"/>
    <tableColumn id="10100" xr3:uid="{ACAD93AC-DA08-4753-97FA-2386C3E59C92}" name="Column10076" dataDxfId="6309"/>
    <tableColumn id="10101" xr3:uid="{43DD7032-4FBE-46AA-8B14-F564339E1EE7}" name="Column10077" dataDxfId="6308"/>
    <tableColumn id="10102" xr3:uid="{5130718E-20B9-44A6-A7F3-A57CEE7D5B0C}" name="Column10078" dataDxfId="6307"/>
    <tableColumn id="10103" xr3:uid="{B9AC9A50-C183-4BE7-BCA6-8647CA766716}" name="Column10079" dataDxfId="6306"/>
    <tableColumn id="10104" xr3:uid="{78CB798D-660E-49D8-AF44-632ABF707256}" name="Column10080" dataDxfId="6305"/>
    <tableColumn id="10105" xr3:uid="{0CA9D9C1-5EB6-48F2-B11A-2953C1F505FA}" name="Column10081" dataDxfId="6304"/>
    <tableColumn id="10106" xr3:uid="{10D186D1-02DB-4558-96E8-5A56A41BBE72}" name="Column10082" dataDxfId="6303"/>
    <tableColumn id="10107" xr3:uid="{A4C3969A-7B52-4746-9AE6-0C7AF09A2167}" name="Column10083" dataDxfId="6302"/>
    <tableColumn id="10108" xr3:uid="{858EC742-38A4-446C-B21F-A7719E115B77}" name="Column10084" dataDxfId="6301"/>
    <tableColumn id="10109" xr3:uid="{C52D60C5-3DCA-4197-9526-7E7BD4F610C3}" name="Column10085" dataDxfId="6300"/>
    <tableColumn id="10110" xr3:uid="{B81E69DE-7FA5-4E0A-A78C-13EFFE5E5BB1}" name="Column10086" dataDxfId="6299"/>
    <tableColumn id="10111" xr3:uid="{BA6F9395-CAAC-4C8B-88F8-AF1CE1F5BE78}" name="Column10087" dataDxfId="6298"/>
    <tableColumn id="10112" xr3:uid="{91268067-45A0-45B7-B372-2F6D60D9554C}" name="Column10088" dataDxfId="6297"/>
    <tableColumn id="10113" xr3:uid="{364928BC-CB1D-4E26-B7D1-CC0FCA788178}" name="Column10089" dataDxfId="6296"/>
    <tableColumn id="10114" xr3:uid="{87C3C162-E5F7-4654-A651-56523945A52D}" name="Column10090" dataDxfId="6295"/>
    <tableColumn id="10115" xr3:uid="{299501C8-78C1-458E-A12A-BA2F2FF47F75}" name="Column10091" dataDxfId="6294"/>
    <tableColumn id="10116" xr3:uid="{B1BBCF04-0AEB-4B2C-968F-C382EDC04270}" name="Column10092" dataDxfId="6293"/>
    <tableColumn id="10117" xr3:uid="{7DA9AE09-B6A0-4291-B8DF-E6B3A30EE9DB}" name="Column10093" dataDxfId="6292"/>
    <tableColumn id="10118" xr3:uid="{985ED8A3-4CAA-41F0-9BAD-8ABD1529A71B}" name="Column10094" dataDxfId="6291"/>
    <tableColumn id="10119" xr3:uid="{F3196AB9-89A0-4698-BC51-8C5FB8F6079E}" name="Column10095" dataDxfId="6290"/>
    <tableColumn id="10120" xr3:uid="{62D2F8FE-1B6E-4656-8937-C529EA823564}" name="Column10096" dataDxfId="6289"/>
    <tableColumn id="10121" xr3:uid="{B9CAB968-EB42-4CCD-962B-9DB0AB23FEB8}" name="Column10097" dataDxfId="6288"/>
    <tableColumn id="10122" xr3:uid="{78C24616-F0C8-4D9F-B094-FCC05D8FD70D}" name="Column10098" dataDxfId="6287"/>
    <tableColumn id="10123" xr3:uid="{6A52A372-BABC-4479-AF34-2E091BD3D746}" name="Column10099" dataDxfId="6286"/>
    <tableColumn id="10124" xr3:uid="{5A7BA070-37EB-41C3-A16C-F194DF7941A8}" name="Column10100" dataDxfId="6285"/>
    <tableColumn id="10125" xr3:uid="{878F65DD-23B4-4D62-ADF0-24878E032509}" name="Column10101" dataDxfId="6284"/>
    <tableColumn id="10126" xr3:uid="{EEA09324-F753-483E-9486-68204CA58177}" name="Column10102" dataDxfId="6283"/>
    <tableColumn id="10127" xr3:uid="{6A839E50-44CF-42CF-A137-7548A47DEF0D}" name="Column10103" dataDxfId="6282"/>
    <tableColumn id="10128" xr3:uid="{814668F5-4ED5-4E10-9A1C-EDF49BFACB86}" name="Column10104" dataDxfId="6281"/>
    <tableColumn id="10129" xr3:uid="{F4B50485-428A-4E0A-BE4E-567559B67084}" name="Column10105" dataDxfId="6280"/>
    <tableColumn id="10130" xr3:uid="{EB443439-47E1-46B1-917C-4B619C47FF12}" name="Column10106" dataDxfId="6279"/>
    <tableColumn id="10131" xr3:uid="{2443A3B2-CFD5-42B2-8358-21A10A02F2E9}" name="Column10107" dataDxfId="6278"/>
    <tableColumn id="10132" xr3:uid="{EBF10C0A-0938-4BBB-BDFC-0676E864EBB1}" name="Column10108" dataDxfId="6277"/>
    <tableColumn id="10133" xr3:uid="{45D0219B-0288-46FE-B4D7-B73DAF760A5D}" name="Column10109" dataDxfId="6276"/>
    <tableColumn id="10134" xr3:uid="{8B51404A-94AD-4FA1-94C2-41A24E53A57E}" name="Column10110" dataDxfId="6275"/>
    <tableColumn id="10135" xr3:uid="{D7B41C19-67E8-4DE2-8D9A-3865DE0869F7}" name="Column10111" dataDxfId="6274"/>
    <tableColumn id="10136" xr3:uid="{636CBDBA-3802-49B6-BB4F-9CD82F7FDA86}" name="Column10112" dataDxfId="6273"/>
    <tableColumn id="10137" xr3:uid="{12ADF56E-44C2-451B-866F-CCF607DF48F0}" name="Column10113" dataDxfId="6272"/>
    <tableColumn id="10138" xr3:uid="{65991FDA-E639-48AF-8707-8EA08073F197}" name="Column10114" dataDxfId="6271"/>
    <tableColumn id="10139" xr3:uid="{A15F1746-15D1-4368-A434-88A52367618D}" name="Column10115" dataDxfId="6270"/>
    <tableColumn id="10140" xr3:uid="{F5888372-8C84-43CD-BDEA-5541490DC04C}" name="Column10116" dataDxfId="6269"/>
    <tableColumn id="10141" xr3:uid="{DDB4976A-4795-4EEE-949C-B378138B5467}" name="Column10117" dataDxfId="6268"/>
    <tableColumn id="10142" xr3:uid="{6A568455-5D0D-4AD5-93E7-E683433F0293}" name="Column10118" dataDxfId="6267"/>
    <tableColumn id="10143" xr3:uid="{BB849367-D6DF-480E-ADE8-C9F8D8BA926D}" name="Column10119" dataDxfId="6266"/>
    <tableColumn id="10144" xr3:uid="{A4C6D7EC-6C44-4C3D-B97F-65884D08C494}" name="Column10120" dataDxfId="6265"/>
    <tableColumn id="10145" xr3:uid="{261D74D9-C755-4C4A-A3EB-7BB2ED203236}" name="Column10121" dataDxfId="6264"/>
    <tableColumn id="10146" xr3:uid="{D87B1210-F7EB-4243-863D-690C08440AE7}" name="Column10122" dataDxfId="6263"/>
    <tableColumn id="10147" xr3:uid="{0630E5A6-77B9-416C-AE24-B29C05F4C092}" name="Column10123" dataDxfId="6262"/>
    <tableColumn id="10148" xr3:uid="{1DC08340-2DA2-4523-B3E8-F040F7AA25A1}" name="Column10124" dataDxfId="6261"/>
    <tableColumn id="10149" xr3:uid="{CAEFDE6B-BBA9-431D-9FE4-C86E9FCD0CF0}" name="Column10125" dataDxfId="6260"/>
    <tableColumn id="10150" xr3:uid="{01B1AE4A-6600-4D1D-9F86-7781F4DE3892}" name="Column10126" dataDxfId="6259"/>
    <tableColumn id="10151" xr3:uid="{A2966B63-0080-496A-9466-E497DBB50579}" name="Column10127" dataDxfId="6258"/>
    <tableColumn id="10152" xr3:uid="{86BCE81F-DDC5-42C3-89C8-AC770ADD0A23}" name="Column10128" dataDxfId="6257"/>
    <tableColumn id="10153" xr3:uid="{1D96640C-90EE-48CE-AA7B-9E4A0D42E4CF}" name="Column10129" dataDxfId="6256"/>
    <tableColumn id="10154" xr3:uid="{DBC7C1B3-5563-40E2-9E70-80B9C8553849}" name="Column10130" dataDxfId="6255"/>
    <tableColumn id="10155" xr3:uid="{24707BED-C152-4FCA-A83C-B94FF00D5EC0}" name="Column10131" dataDxfId="6254"/>
    <tableColumn id="10156" xr3:uid="{5CDE3062-475E-4749-990C-B8F997B79D89}" name="Column10132" dataDxfId="6253"/>
    <tableColumn id="10157" xr3:uid="{725C0C49-5A38-4260-B3DD-E65639D23D49}" name="Column10133" dataDxfId="6252"/>
    <tableColumn id="10158" xr3:uid="{357551BA-C0CD-4507-B608-AD5E01B64DC9}" name="Column10134" dataDxfId="6251"/>
    <tableColumn id="10159" xr3:uid="{100345DD-B2B3-4DF3-9989-F71D1FE76F93}" name="Column10135" dataDxfId="6250"/>
    <tableColumn id="10160" xr3:uid="{04CA56B6-326C-4924-82E7-3499A923DF7F}" name="Column10136" dataDxfId="6249"/>
    <tableColumn id="10161" xr3:uid="{882D29D2-25B3-47CC-AB7A-9EB17F27914A}" name="Column10137" dataDxfId="6248"/>
    <tableColumn id="10162" xr3:uid="{11A3498D-7917-4302-AF28-4901259D0BD7}" name="Column10138" dataDxfId="6247"/>
    <tableColumn id="10163" xr3:uid="{9E1C2253-0D4C-439C-9EB8-CC02AF533EDC}" name="Column10139" dataDxfId="6246"/>
    <tableColumn id="10164" xr3:uid="{71129A00-58CD-4867-90F6-B755212233CB}" name="Column10140" dataDxfId="6245"/>
    <tableColumn id="10165" xr3:uid="{95E0750C-3AF0-4952-83BE-E085D86DD1FA}" name="Column10141" dataDxfId="6244"/>
    <tableColumn id="10166" xr3:uid="{6030842B-37C0-41EA-99A6-7ECE15F03974}" name="Column10142" dataDxfId="6243"/>
    <tableColumn id="10167" xr3:uid="{94EC07E3-7F1F-4741-8629-69FF8520A685}" name="Column10143" dataDxfId="6242"/>
    <tableColumn id="10168" xr3:uid="{05CFB3F6-D4B8-4865-BE4E-80B411471AD7}" name="Column10144" dataDxfId="6241"/>
    <tableColumn id="10169" xr3:uid="{7755DCB0-C83B-4D56-9E85-0071CD2121DE}" name="Column10145" dataDxfId="6240"/>
    <tableColumn id="10170" xr3:uid="{3101184C-1FBE-4F6A-BD27-7F2D35428344}" name="Column10146" dataDxfId="6239"/>
    <tableColumn id="10171" xr3:uid="{0DE5F178-E82B-496B-845C-F0A03D679036}" name="Column10147" dataDxfId="6238"/>
    <tableColumn id="10172" xr3:uid="{E901463D-D9E3-495D-BA0F-FB5BF8003969}" name="Column10148" dataDxfId="6237"/>
    <tableColumn id="10173" xr3:uid="{7B265B9C-E3F2-461C-9542-9309AE505948}" name="Column10149" dataDxfId="6236"/>
    <tableColumn id="10174" xr3:uid="{E5DC7B48-16FF-44B2-8BFA-9B9EE401DDE6}" name="Column10150" dataDxfId="6235"/>
    <tableColumn id="10175" xr3:uid="{F9FD0FC5-69B7-47D4-AF02-2E58B3AE8DA7}" name="Column10151" dataDxfId="6234"/>
    <tableColumn id="10176" xr3:uid="{BAA352B4-8FC2-46EE-9390-43017FEE54FE}" name="Column10152" dataDxfId="6233"/>
    <tableColumn id="10177" xr3:uid="{6667B737-E894-4E2C-9326-0D719DDE1F28}" name="Column10153" dataDxfId="6232"/>
    <tableColumn id="10178" xr3:uid="{29C4810E-A7D6-4282-9667-ED2BCF99CC26}" name="Column10154" dataDxfId="6231"/>
    <tableColumn id="10179" xr3:uid="{A0FF31D3-A554-4B79-8780-02E1444CFC9E}" name="Column10155" dataDxfId="6230"/>
    <tableColumn id="10180" xr3:uid="{FABCEB9B-1C47-48BD-8DB5-6B02EAB285FB}" name="Column10156" dataDxfId="6229"/>
    <tableColumn id="10181" xr3:uid="{BD7EFBD1-1835-4AB7-A10A-DED59BC98487}" name="Column10157" dataDxfId="6228"/>
    <tableColumn id="10182" xr3:uid="{F52830A3-C113-4DFD-B78A-34A226988AF7}" name="Column10158" dataDxfId="6227"/>
    <tableColumn id="10183" xr3:uid="{7FAA5409-1D16-4B8B-BAB9-AB2FA472D0A1}" name="Column10159" dataDxfId="6226"/>
    <tableColumn id="10184" xr3:uid="{05A15CFB-4843-4CA9-886F-2CF3A542AF38}" name="Column10160" dataDxfId="6225"/>
    <tableColumn id="10185" xr3:uid="{84FAEAEF-F515-4087-A779-F13460DC5927}" name="Column10161" dataDxfId="6224"/>
    <tableColumn id="10186" xr3:uid="{97D13ADD-4F11-414A-9BC2-29B913A1833F}" name="Column10162" dataDxfId="6223"/>
    <tableColumn id="10187" xr3:uid="{6620215F-A06C-4A89-AC5E-3669CC39177D}" name="Column10163" dataDxfId="6222"/>
    <tableColumn id="10188" xr3:uid="{0292158D-97B2-4918-87A1-F66CD8453F50}" name="Column10164" dataDxfId="6221"/>
    <tableColumn id="10189" xr3:uid="{2376245D-CCF6-4B50-A909-ACBEFA9A304E}" name="Column10165" dataDxfId="6220"/>
    <tableColumn id="10190" xr3:uid="{4BD30F88-7D81-40F0-BCA1-40CBE9CD0492}" name="Column10166" dataDxfId="6219"/>
    <tableColumn id="10191" xr3:uid="{30D683E5-4F72-4A5E-9C78-F449D3818D65}" name="Column10167" dataDxfId="6218"/>
    <tableColumn id="10192" xr3:uid="{4A113587-81D8-4A0C-AC86-71559D24EBA8}" name="Column10168" dataDxfId="6217"/>
    <tableColumn id="10193" xr3:uid="{BFD40224-5D58-4E65-9BA1-917376D0AFE1}" name="Column10169" dataDxfId="6216"/>
    <tableColumn id="10194" xr3:uid="{186868CE-4730-4B9D-90AA-0918F74C2554}" name="Column10170" dataDxfId="6215"/>
    <tableColumn id="10195" xr3:uid="{5064D9D5-E04D-49C8-BC3C-D776D4532DED}" name="Column10171" dataDxfId="6214"/>
    <tableColumn id="10196" xr3:uid="{6B23D802-7DF1-48AB-9FAE-A8A6CB597D1A}" name="Column10172" dataDxfId="6213"/>
    <tableColumn id="10197" xr3:uid="{E8A9434C-7576-4BEE-9AC0-3931111992CD}" name="Column10173" dataDxfId="6212"/>
    <tableColumn id="10198" xr3:uid="{E51E397B-FE4C-4BF7-9258-50C30AA0096D}" name="Column10174" dataDxfId="6211"/>
    <tableColumn id="10199" xr3:uid="{0526BAC4-4394-4D92-8C31-BBCB33DB6B49}" name="Column10175" dataDxfId="6210"/>
    <tableColumn id="10200" xr3:uid="{7AD5F1D6-9080-4924-9F12-93558DA857EF}" name="Column10176" dataDxfId="6209"/>
    <tableColumn id="10201" xr3:uid="{1EF3AB5D-930A-4A95-B48B-308BDC3BDE03}" name="Column10177" dataDxfId="6208"/>
    <tableColumn id="10202" xr3:uid="{A0439E66-91A1-4005-B30B-A289A222434B}" name="Column10178" dataDxfId="6207"/>
    <tableColumn id="10203" xr3:uid="{ECE9F627-4037-4638-AE45-0C9AE43C1CBA}" name="Column10179" dataDxfId="6206"/>
    <tableColumn id="10204" xr3:uid="{9B01BA89-EAC5-4DF9-BF36-6DADEA24E95F}" name="Column10180" dataDxfId="6205"/>
    <tableColumn id="10205" xr3:uid="{49A5C186-3C04-4D2E-8876-3DEF34D43E14}" name="Column10181" dataDxfId="6204"/>
    <tableColumn id="10206" xr3:uid="{1F712A74-310E-443B-8626-E3F362EE34CC}" name="Column10182" dataDxfId="6203"/>
    <tableColumn id="10207" xr3:uid="{800A8613-161B-483C-A12D-CABC4E3DC949}" name="Column10183" dataDxfId="6202"/>
    <tableColumn id="10208" xr3:uid="{3A71EE83-B570-471F-B291-461DE35E3E51}" name="Column10184" dataDxfId="6201"/>
    <tableColumn id="10209" xr3:uid="{A170E0F1-9264-424B-9656-834352C74178}" name="Column10185" dataDxfId="6200"/>
    <tableColumn id="10210" xr3:uid="{1FE768E3-56F8-4EC4-B8E0-C8CEB46007F7}" name="Column10186" dataDxfId="6199"/>
    <tableColumn id="10211" xr3:uid="{DA944AE6-D983-4D5F-9273-528CD9F36859}" name="Column10187" dataDxfId="6198"/>
    <tableColumn id="10212" xr3:uid="{5E97ED55-64B2-49FB-B232-824D63D8215E}" name="Column10188" dataDxfId="6197"/>
    <tableColumn id="10213" xr3:uid="{AD085CA9-DF3D-4613-AF73-77B0A239EDFE}" name="Column10189" dataDxfId="6196"/>
    <tableColumn id="10214" xr3:uid="{8107F80D-82F2-4A63-B3C5-63D89EA3DE3A}" name="Column10190" dataDxfId="6195"/>
    <tableColumn id="10215" xr3:uid="{A6688CEC-2847-49BB-B343-653DFEFF2A6D}" name="Column10191" dataDxfId="6194"/>
    <tableColumn id="10216" xr3:uid="{1BC5AD30-4E6E-4C7C-89E2-932F4FBF3DC6}" name="Column10192" dataDxfId="6193"/>
    <tableColumn id="10217" xr3:uid="{F7ED8782-A86B-408D-A0CD-A19F61AAA97A}" name="Column10193" dataDxfId="6192"/>
    <tableColumn id="10218" xr3:uid="{BCB1D8E7-CCA8-4390-A62A-4D6EA76AB4F2}" name="Column10194" dataDxfId="6191"/>
    <tableColumn id="10219" xr3:uid="{F1B32D9C-8CC6-46A7-92DA-753879E4DFFA}" name="Column10195" dataDxfId="6190"/>
    <tableColumn id="10220" xr3:uid="{63D69115-8CEC-45B8-A447-63FDB9A1A4C9}" name="Column10196" dataDxfId="6189"/>
    <tableColumn id="10221" xr3:uid="{6CFFE7F4-044E-45E3-B3CC-F8BD554DC3CE}" name="Column10197" dataDxfId="6188"/>
    <tableColumn id="10222" xr3:uid="{0BA15E9C-535B-4F22-87E1-6D04C3B892E8}" name="Column10198" dataDxfId="6187"/>
    <tableColumn id="10223" xr3:uid="{A07B10AA-2C95-4896-9BA0-32E3CB1643E3}" name="Column10199" dataDxfId="6186"/>
    <tableColumn id="10224" xr3:uid="{741ECE9D-E6D3-4416-8B5D-AA12EA0A6476}" name="Column10200" dataDxfId="6185"/>
    <tableColumn id="10225" xr3:uid="{4D9B8AB4-DF11-4F69-94CE-3898EEFE39AE}" name="Column10201" dataDxfId="6184"/>
    <tableColumn id="10226" xr3:uid="{5E63FD77-563A-4E8C-BA7E-73A430E01185}" name="Column10202" dataDxfId="6183"/>
    <tableColumn id="10227" xr3:uid="{B7AE369E-F6BF-434E-BEF9-E386AFDA13FB}" name="Column10203" dataDxfId="6182"/>
    <tableColumn id="10228" xr3:uid="{C90E18C7-35F8-4F27-B97C-715BB07DCFDE}" name="Column10204" dataDxfId="6181"/>
    <tableColumn id="10229" xr3:uid="{E68942D9-9716-4032-A854-C4B80D424C40}" name="Column10205" dataDxfId="6180"/>
    <tableColumn id="10230" xr3:uid="{7969753B-B0FD-4C54-B1AB-5D4E4E4D4B6B}" name="Column10206" dataDxfId="6179"/>
    <tableColumn id="10231" xr3:uid="{34E81977-F9DE-44C3-AD33-9F5468F18E90}" name="Column10207" dataDxfId="6178"/>
    <tableColumn id="10232" xr3:uid="{E97E0CCB-ACDF-4738-975B-24C54AA898EC}" name="Column10208" dataDxfId="6177"/>
    <tableColumn id="10233" xr3:uid="{D2B6B6B8-21A6-4F73-8074-6274A4381B35}" name="Column10209" dataDxfId="6176"/>
    <tableColumn id="10234" xr3:uid="{5DA26B83-3E25-4ABE-A649-ED5494A435E8}" name="Column10210" dataDxfId="6175"/>
    <tableColumn id="10235" xr3:uid="{51025229-AA24-4C0B-A32E-0725145371EA}" name="Column10211" dataDxfId="6174"/>
    <tableColumn id="10236" xr3:uid="{B6E453F4-C157-475A-A8EE-2A3A5365307B}" name="Column10212" dataDxfId="6173"/>
    <tableColumn id="10237" xr3:uid="{05AA6490-789E-49A8-8368-6A12237B96E0}" name="Column10213" dataDxfId="6172"/>
    <tableColumn id="10238" xr3:uid="{2E50527C-8409-45B9-93BD-40F52FE1D7CA}" name="Column10214" dataDxfId="6171"/>
    <tableColumn id="10239" xr3:uid="{490A731B-AED5-4337-BEBF-09718FD564A6}" name="Column10215" dataDxfId="6170"/>
    <tableColumn id="10240" xr3:uid="{EFBD529C-7F22-4065-A498-C1DCB0D4897D}" name="Column10216" dataDxfId="6169"/>
    <tableColumn id="10241" xr3:uid="{4BA35C2C-AC1D-4004-A436-F67604E726EC}" name="Column10217" dataDxfId="6168"/>
    <tableColumn id="10242" xr3:uid="{A1BACD1A-AAFA-47E1-ADC2-5435B0418B4D}" name="Column10218" dataDxfId="6167"/>
    <tableColumn id="10243" xr3:uid="{19198DBC-00D5-4D5E-B612-FAD370CD70E4}" name="Column10219" dataDxfId="6166"/>
    <tableColumn id="10244" xr3:uid="{E93FC153-7A9B-4C30-95B5-855C232C719B}" name="Column10220" dataDxfId="6165"/>
    <tableColumn id="10245" xr3:uid="{1C0B0177-BCF3-480C-A339-D0B349B43433}" name="Column10221" dataDxfId="6164"/>
    <tableColumn id="10246" xr3:uid="{97E090B4-F3EE-428F-A8DA-86F35BE03C91}" name="Column10222" dataDxfId="6163"/>
    <tableColumn id="10247" xr3:uid="{37142BDF-E8F6-47FB-8B3E-C6E1632B0CE7}" name="Column10223" dataDxfId="6162"/>
    <tableColumn id="10248" xr3:uid="{AE6CD92A-715B-4025-A82E-47BBDD948BEA}" name="Column10224" dataDxfId="6161"/>
    <tableColumn id="10249" xr3:uid="{DBFC37D2-11E5-45A5-A217-F4D5244061EE}" name="Column10225" dataDxfId="6160"/>
    <tableColumn id="10250" xr3:uid="{7B715850-26B3-4755-95B9-006DB9AC65CB}" name="Column10226" dataDxfId="6159"/>
    <tableColumn id="10251" xr3:uid="{0497B540-9576-410F-8026-E215F33E21F4}" name="Column10227" dataDxfId="6158"/>
    <tableColumn id="10252" xr3:uid="{2E089BB0-6F86-49FA-A88C-6FB837AD85C7}" name="Column10228" dataDxfId="6157"/>
    <tableColumn id="10253" xr3:uid="{0D0AC144-D321-473D-A44E-26FCB281AF1F}" name="Column10229" dataDxfId="6156"/>
    <tableColumn id="10254" xr3:uid="{122BFDD3-1393-4B4C-9524-B28C327FBA7F}" name="Column10230" dataDxfId="6155"/>
    <tableColumn id="10255" xr3:uid="{B7158E7D-D633-4571-85D6-F2F4CBA49942}" name="Column10231" dataDxfId="6154"/>
    <tableColumn id="10256" xr3:uid="{6901FE67-2D41-4453-885B-664BB86BF7F9}" name="Column10232" dataDxfId="6153"/>
    <tableColumn id="10257" xr3:uid="{426F601C-1FDA-4E13-A5D2-382602E1F54A}" name="Column10233" dataDxfId="6152"/>
    <tableColumn id="10258" xr3:uid="{177880DA-5B79-4F11-B187-DCCF33E90443}" name="Column10234" dataDxfId="6151"/>
    <tableColumn id="10259" xr3:uid="{FE8B4B63-FE82-49A2-ACED-5536AC5D6619}" name="Column10235" dataDxfId="6150"/>
    <tableColumn id="10260" xr3:uid="{C6E5956C-B90E-42B1-A443-E1DAA2666C3A}" name="Column10236" dataDxfId="6149"/>
    <tableColumn id="10261" xr3:uid="{77F942A9-5CD8-4DA4-B77C-BE55A21EFC9A}" name="Column10237" dataDxfId="6148"/>
    <tableColumn id="10262" xr3:uid="{0A97E7AA-86F1-4519-AC41-B35CCE56D9DE}" name="Column10238" dataDxfId="6147"/>
    <tableColumn id="10263" xr3:uid="{77B8BB5C-984C-416D-AA8D-BF3DB38E7CF4}" name="Column10239" dataDxfId="6146"/>
    <tableColumn id="10264" xr3:uid="{FDB4C934-4A49-4FF1-B6EC-96C9803D5798}" name="Column10240" dataDxfId="6145"/>
    <tableColumn id="10265" xr3:uid="{0291FAD5-3C56-4605-9147-CCACFE01C138}" name="Column10241" dataDxfId="6144"/>
    <tableColumn id="10266" xr3:uid="{B6FCBE5D-3C65-4B2F-94B6-74ABDF19A263}" name="Column10242" dataDxfId="6143"/>
    <tableColumn id="10267" xr3:uid="{9F29A954-9A17-42FF-BC8E-B71B25E4CC5A}" name="Column10243" dataDxfId="6142"/>
    <tableColumn id="10268" xr3:uid="{45DDBE0F-5C87-43D3-A206-488DDA2301DE}" name="Column10244" dataDxfId="6141"/>
    <tableColumn id="10269" xr3:uid="{20A43060-7924-4AC2-9FEA-80B853BDDC5F}" name="Column10245" dataDxfId="6140"/>
    <tableColumn id="10270" xr3:uid="{B5A55F6B-461D-46E5-B0A3-91E39F1D92F0}" name="Column10246" dataDxfId="6139"/>
    <tableColumn id="10271" xr3:uid="{8903CB13-3095-4186-B69C-5CFC176B4A3B}" name="Column10247" dataDxfId="6138"/>
    <tableColumn id="10272" xr3:uid="{77204CCD-3B40-4DA4-A604-6AFC9E63C5AB}" name="Column10248" dataDxfId="6137"/>
    <tableColumn id="10273" xr3:uid="{6F9A0933-FE41-42FB-9734-024E06BC96EF}" name="Column10249" dataDxfId="6136"/>
    <tableColumn id="10274" xr3:uid="{45584AB2-E832-4E8B-93F4-36FB836F7E5F}" name="Column10250" dataDxfId="6135"/>
    <tableColumn id="10275" xr3:uid="{8F7C68E9-48E0-4CF4-9309-0F178E3DFB72}" name="Column10251" dataDxfId="6134"/>
    <tableColumn id="10276" xr3:uid="{79E05D12-66BB-4839-A485-18020746D987}" name="Column10252" dataDxfId="6133"/>
    <tableColumn id="10277" xr3:uid="{69C81A0E-8451-43FB-94C3-647A8D336544}" name="Column10253" dataDxfId="6132"/>
    <tableColumn id="10278" xr3:uid="{B40E962D-4EEC-4A65-928B-50ABCE7431CF}" name="Column10254" dataDxfId="6131"/>
    <tableColumn id="10279" xr3:uid="{42DC5277-929D-4A42-8541-4D52DDB00590}" name="Column10255" dataDxfId="6130"/>
    <tableColumn id="10280" xr3:uid="{87CCC2A7-6A5F-47A9-8D7F-EDAA89DFBAD9}" name="Column10256" dataDxfId="6129"/>
    <tableColumn id="10281" xr3:uid="{FC25E2BE-3C1D-4724-9117-4B0A098C3080}" name="Column10257" dataDxfId="6128"/>
    <tableColumn id="10282" xr3:uid="{F70A6E2B-0698-4CA3-82F4-92E3EFBAFD00}" name="Column10258" dataDxfId="6127"/>
    <tableColumn id="10283" xr3:uid="{8AB47334-1A02-4BFB-A2C2-A104A028236E}" name="Column10259" dataDxfId="6126"/>
    <tableColumn id="10284" xr3:uid="{E7574057-8BA1-4E13-BDB9-C5A3539991EB}" name="Column10260" dataDxfId="6125"/>
    <tableColumn id="10285" xr3:uid="{A88D010C-2530-438C-9F57-8557B3FDB12D}" name="Column10261" dataDxfId="6124"/>
    <tableColumn id="10286" xr3:uid="{92FADDB3-E0B7-4CFA-9BEC-DB375F25AFB2}" name="Column10262" dataDxfId="6123"/>
    <tableColumn id="10287" xr3:uid="{30DF17FC-9814-43B0-852C-5D0EF1365C38}" name="Column10263" dataDxfId="6122"/>
    <tableColumn id="10288" xr3:uid="{0B695317-0FD6-4306-B4F1-04FB20C01C6A}" name="Column10264" dataDxfId="6121"/>
    <tableColumn id="10289" xr3:uid="{5CF9BF06-D34B-4459-8203-99E9F6DCA98C}" name="Column10265" dataDxfId="6120"/>
    <tableColumn id="10290" xr3:uid="{93B2D88B-09AA-42E8-849F-8EEDDC542087}" name="Column10266" dataDxfId="6119"/>
    <tableColumn id="10291" xr3:uid="{611F6B0A-2197-416D-A906-35F82E731D80}" name="Column10267" dataDxfId="6118"/>
    <tableColumn id="10292" xr3:uid="{E78A3BF5-940A-4982-AFE6-2D9D654C05BE}" name="Column10268" dataDxfId="6117"/>
    <tableColumn id="10293" xr3:uid="{78989E77-1073-4FC9-8007-7407AEDC2D41}" name="Column10269" dataDxfId="6116"/>
    <tableColumn id="10294" xr3:uid="{31AA77A3-5375-4B71-A0C4-2CE4824062CC}" name="Column10270" dataDxfId="6115"/>
    <tableColumn id="10295" xr3:uid="{B86FB45F-982E-4D6C-9213-A4560CBC235E}" name="Column10271" dataDxfId="6114"/>
    <tableColumn id="10296" xr3:uid="{6E8CB3DF-E4A9-4279-B04C-B442490E3C88}" name="Column10272" dataDxfId="6113"/>
    <tableColumn id="10297" xr3:uid="{E5113504-019B-4ADE-9FFA-3CCA8C87F92A}" name="Column10273" dataDxfId="6112"/>
    <tableColumn id="10298" xr3:uid="{AB8296FB-023D-4538-B90A-741568E50D42}" name="Column10274" dataDxfId="6111"/>
    <tableColumn id="10299" xr3:uid="{5F65CF0B-32BF-4A29-8045-11DE9C62CC56}" name="Column10275" dataDxfId="6110"/>
    <tableColumn id="10300" xr3:uid="{90B7D54D-4FA3-4421-8B5E-E6A45C11D2D5}" name="Column10276" dataDxfId="6109"/>
    <tableColumn id="10301" xr3:uid="{A8592026-F884-4BC6-A5F5-FC3CBCCF7EE7}" name="Column10277" dataDxfId="6108"/>
    <tableColumn id="10302" xr3:uid="{BE1AAD02-8AFE-403B-B45C-FB19A0A7A377}" name="Column10278" dataDxfId="6107"/>
    <tableColumn id="10303" xr3:uid="{44D3459B-EA28-4029-9384-2E17867112C7}" name="Column10279" dataDxfId="6106"/>
    <tableColumn id="10304" xr3:uid="{0A2E44D8-3AAF-4EAA-AFB7-86A5D335F086}" name="Column10280" dataDxfId="6105"/>
    <tableColumn id="10305" xr3:uid="{186EF634-9660-4C40-BC59-EDE9A8BCD5C5}" name="Column10281" dataDxfId="6104"/>
    <tableColumn id="10306" xr3:uid="{C5A9299B-70F2-4F79-8B4F-187A8CC002CD}" name="Column10282" dataDxfId="6103"/>
    <tableColumn id="10307" xr3:uid="{F3187B0B-66C7-423A-A185-0690FF4E8554}" name="Column10283" dataDxfId="6102"/>
    <tableColumn id="10308" xr3:uid="{1AA6476B-FEF6-4658-989D-498E0136701F}" name="Column10284" dataDxfId="6101"/>
    <tableColumn id="10309" xr3:uid="{D5902123-16B2-4F04-9DCC-8DBD5BEC1100}" name="Column10285" dataDxfId="6100"/>
    <tableColumn id="10310" xr3:uid="{91BDD29D-4EAD-4D11-B0CA-0444101AE3CB}" name="Column10286" dataDxfId="6099"/>
    <tableColumn id="10311" xr3:uid="{4AAC7831-D367-45FE-A7EF-B5767F750BB1}" name="Column10287" dataDxfId="6098"/>
    <tableColumn id="10312" xr3:uid="{88D0B02E-45FF-4B2B-8731-D004C91286FB}" name="Column10288" dataDxfId="6097"/>
    <tableColumn id="10313" xr3:uid="{DD3E7906-487B-4360-8BE5-FF48F372303D}" name="Column10289" dataDxfId="6096"/>
    <tableColumn id="10314" xr3:uid="{29C923AB-6E1B-400E-A3D2-E32BC7FB3D6C}" name="Column10290" dataDxfId="6095"/>
    <tableColumn id="10315" xr3:uid="{B7C3F415-52F8-4550-9A17-450DC43CC0E5}" name="Column10291" dataDxfId="6094"/>
    <tableColumn id="10316" xr3:uid="{C31507FB-CA15-499C-8834-ABC0EF9E25A2}" name="Column10292" dataDxfId="6093"/>
    <tableColumn id="10317" xr3:uid="{83094B63-15A5-4CE2-8962-B1DDF2C3D2E4}" name="Column10293" dataDxfId="6092"/>
    <tableColumn id="10318" xr3:uid="{3F9556C2-7A96-47CB-836D-D3BCD83E2469}" name="Column10294" dataDxfId="6091"/>
    <tableColumn id="10319" xr3:uid="{DB3EE5EB-D608-4AAF-8B67-A49B514F56AB}" name="Column10295" dataDxfId="6090"/>
    <tableColumn id="10320" xr3:uid="{19F8C0ED-B711-4BD3-8803-938EB751B29F}" name="Column10296" dataDxfId="6089"/>
    <tableColumn id="10321" xr3:uid="{47A8AC47-AD00-4F2E-9E00-29A38BA3E892}" name="Column10297" dataDxfId="6088"/>
    <tableColumn id="10322" xr3:uid="{DED734DF-E10B-4293-933A-8A26486C5C86}" name="Column10298" dataDxfId="6087"/>
    <tableColumn id="10323" xr3:uid="{C8E68DB3-9F4E-408E-9502-4FE59DFC89DD}" name="Column10299" dataDxfId="6086"/>
    <tableColumn id="10324" xr3:uid="{5679ECA6-426B-4BEF-AC11-064143E58987}" name="Column10300" dataDxfId="6085"/>
    <tableColumn id="10325" xr3:uid="{B27A65F6-7F49-4885-8B72-4B905E09F426}" name="Column10301" dataDxfId="6084"/>
    <tableColumn id="10326" xr3:uid="{BF1593C8-3346-484D-A11F-FA16DDD097D4}" name="Column10302" dataDxfId="6083"/>
    <tableColumn id="10327" xr3:uid="{96C6AC78-69A3-4903-9996-7D2DAA4CD8DA}" name="Column10303" dataDxfId="6082"/>
    <tableColumn id="10328" xr3:uid="{AA28A875-1B9A-4FA9-825A-2DBCD094EA30}" name="Column10304" dataDxfId="6081"/>
    <tableColumn id="10329" xr3:uid="{5FB8A99E-2ABC-487F-8E7C-DE8B263BC243}" name="Column10305" dataDxfId="6080"/>
    <tableColumn id="10330" xr3:uid="{CEF8EBDC-024E-422F-B0EC-4118B402361F}" name="Column10306" dataDxfId="6079"/>
    <tableColumn id="10331" xr3:uid="{0641C4D3-5356-46B3-A63B-1927CD44D6CF}" name="Column10307" dataDxfId="6078"/>
    <tableColumn id="10332" xr3:uid="{B7A3B7DD-5614-4807-9C06-3EEC5A727274}" name="Column10308" dataDxfId="6077"/>
    <tableColumn id="10333" xr3:uid="{1C064587-1C6C-4F0B-B34B-411F4392C5D8}" name="Column10309" dataDxfId="6076"/>
    <tableColumn id="10334" xr3:uid="{9B3F8C93-8F22-4986-A7FB-3BDFA0DCF44D}" name="Column10310" dataDxfId="6075"/>
    <tableColumn id="10335" xr3:uid="{77AA0ACA-4414-4F37-B24F-D913D71A0664}" name="Column10311" dataDxfId="6074"/>
    <tableColumn id="10336" xr3:uid="{7C240C0D-B60B-4ED6-AE25-9437260D1814}" name="Column10312" dataDxfId="6073"/>
    <tableColumn id="10337" xr3:uid="{555E3BD8-2C8D-4D3F-92F9-EE67F5D0E229}" name="Column10313" dataDxfId="6072"/>
    <tableColumn id="10338" xr3:uid="{74091F9B-F91D-4E3A-A4DC-9F7315655DB6}" name="Column10314" dataDxfId="6071"/>
    <tableColumn id="10339" xr3:uid="{C66BC553-5B96-40F3-9B89-FC7BD4F0AC0B}" name="Column10315" dataDxfId="6070"/>
    <tableColumn id="10340" xr3:uid="{827DED7D-DBA3-4C20-B6AC-A295241E214D}" name="Column10316" dataDxfId="6069"/>
    <tableColumn id="10341" xr3:uid="{2C2B892F-54F8-4073-B654-04B8F28CE9BF}" name="Column10317" dataDxfId="6068"/>
    <tableColumn id="10342" xr3:uid="{098A42AE-E6DF-4C2A-86D0-68A2518BBB3E}" name="Column10318" dataDxfId="6067"/>
    <tableColumn id="10343" xr3:uid="{B5D3ECA2-FE12-411F-9513-FFE84970AFD3}" name="Column10319" dataDxfId="6066"/>
    <tableColumn id="10344" xr3:uid="{AE4CCE37-ADAC-415F-A987-032DA341A65C}" name="Column10320" dataDxfId="6065"/>
    <tableColumn id="10345" xr3:uid="{BA80D9B8-339D-4F0A-B41A-8ACF828AF4F1}" name="Column10321" dataDxfId="6064"/>
    <tableColumn id="10346" xr3:uid="{3B8CFE98-10C5-43B9-A043-0DB3EB321635}" name="Column10322" dataDxfId="6063"/>
    <tableColumn id="10347" xr3:uid="{1D7E685A-509A-4609-9F3C-21DEC68276FE}" name="Column10323" dataDxfId="6062"/>
    <tableColumn id="10348" xr3:uid="{0810AA50-8156-437C-A7BB-0F05E826E0EF}" name="Column10324" dataDxfId="6061"/>
    <tableColumn id="10349" xr3:uid="{A881E849-13A7-491B-ABC5-331BB6EEE3E0}" name="Column10325" dataDxfId="6060"/>
    <tableColumn id="10350" xr3:uid="{79978ABA-BA40-4930-A06B-1B15B6053E00}" name="Column10326" dataDxfId="6059"/>
    <tableColumn id="10351" xr3:uid="{B19F9FA4-7D90-4721-A140-D2F98F599D45}" name="Column10327" dataDxfId="6058"/>
    <tableColumn id="10352" xr3:uid="{F12CDF93-2469-4EFC-A60A-9766284277C4}" name="Column10328" dataDxfId="6057"/>
    <tableColumn id="10353" xr3:uid="{A02C2D41-3518-417A-8B8F-AFF0894451A5}" name="Column10329" dataDxfId="6056"/>
    <tableColumn id="10354" xr3:uid="{91E6D29C-1B7D-4507-9352-1AE445A8680C}" name="Column10330" dataDxfId="6055"/>
    <tableColumn id="10355" xr3:uid="{F000D632-AD1B-4FEA-BC45-0B4013EF25D7}" name="Column10331" dataDxfId="6054"/>
    <tableColumn id="10356" xr3:uid="{29B4DCFE-9F37-413C-ACDD-BD718F65EABF}" name="Column10332" dataDxfId="6053"/>
    <tableColumn id="10357" xr3:uid="{F41059D9-D291-4592-9390-23B003A505C4}" name="Column10333" dataDxfId="6052"/>
    <tableColumn id="10358" xr3:uid="{AE27C640-B1E4-4746-AD5C-CCFE26C87198}" name="Column10334" dataDxfId="6051"/>
    <tableColumn id="10359" xr3:uid="{CF72AC34-FD08-402C-9538-6AF39D5BB5E0}" name="Column10335" dataDxfId="6050"/>
    <tableColumn id="10360" xr3:uid="{81F80910-18BB-47CD-8D8A-3EB87FE2D553}" name="Column10336" dataDxfId="6049"/>
    <tableColumn id="10361" xr3:uid="{A280D620-F375-4A1D-A7F9-767DD017EDF6}" name="Column10337" dataDxfId="6048"/>
    <tableColumn id="10362" xr3:uid="{5647B6C4-A3E8-4D2A-8737-2C14D7C762FF}" name="Column10338" dataDxfId="6047"/>
    <tableColumn id="10363" xr3:uid="{A0C67315-6AB8-4A42-A8CB-C4DF2FF39012}" name="Column10339" dataDxfId="6046"/>
    <tableColumn id="10364" xr3:uid="{DBF38CD2-90AE-40DE-8F92-4478DFBA1A99}" name="Column10340" dataDxfId="6045"/>
    <tableColumn id="10365" xr3:uid="{F094CCCE-892B-41BB-B799-A6A28A4FDD2C}" name="Column10341" dataDxfId="6044"/>
    <tableColumn id="10366" xr3:uid="{AE97304F-E12D-493A-AF99-2E4AF57D02BE}" name="Column10342" dataDxfId="6043"/>
    <tableColumn id="10367" xr3:uid="{9A660989-ED0A-4990-8F57-0547177D28CB}" name="Column10343" dataDxfId="6042"/>
    <tableColumn id="10368" xr3:uid="{33650C97-87D1-46C3-851A-69A16AB90863}" name="Column10344" dataDxfId="6041"/>
    <tableColumn id="10369" xr3:uid="{66F7806A-DA5C-4A4D-9630-DF9CF61501FC}" name="Column10345" dataDxfId="6040"/>
    <tableColumn id="10370" xr3:uid="{B8B58BA8-CFAA-45FB-B18B-E535FF50D8DA}" name="Column10346" dataDxfId="6039"/>
    <tableColumn id="10371" xr3:uid="{BE3DBF4F-2462-4C90-BBD9-87A625416611}" name="Column10347" dataDxfId="6038"/>
    <tableColumn id="10372" xr3:uid="{143AECEF-3C7B-4B2B-B2A8-22678450389F}" name="Column10348" dataDxfId="6037"/>
    <tableColumn id="10373" xr3:uid="{A85FFDE1-CD4D-49C6-BD55-0FAED954161B}" name="Column10349" dataDxfId="6036"/>
    <tableColumn id="10374" xr3:uid="{E0FBF271-509E-412B-B194-822328BB4B9B}" name="Column10350" dataDxfId="6035"/>
    <tableColumn id="10375" xr3:uid="{1CDC9A92-5B0E-4EDC-B3E2-5AE85908FFE7}" name="Column10351" dataDxfId="6034"/>
    <tableColumn id="10376" xr3:uid="{DAF1A513-98E6-4C98-A14D-11659AAB8A2A}" name="Column10352" dataDxfId="6033"/>
    <tableColumn id="10377" xr3:uid="{BFB27996-976D-48C4-A6AA-0E116ED100D4}" name="Column10353" dataDxfId="6032"/>
    <tableColumn id="10378" xr3:uid="{273FC7A3-14B2-47C1-9E03-4A265C5887A2}" name="Column10354" dataDxfId="6031"/>
    <tableColumn id="10379" xr3:uid="{272BA8E8-5311-4B58-833E-9CEB8220A92B}" name="Column10355" dataDxfId="6030"/>
    <tableColumn id="10380" xr3:uid="{1C3CC636-6E91-4654-A7D0-95310E9F30CB}" name="Column10356" dataDxfId="6029"/>
    <tableColumn id="10381" xr3:uid="{BE98F320-66DE-4F24-B814-76CD80AD268A}" name="Column10357" dataDxfId="6028"/>
    <tableColumn id="10382" xr3:uid="{CCCFA3FE-427C-4761-818E-C744671BF797}" name="Column10358" dataDxfId="6027"/>
    <tableColumn id="10383" xr3:uid="{DB0F2509-976A-4DCF-9997-DEE84B2C6B48}" name="Column10359" dataDxfId="6026"/>
    <tableColumn id="10384" xr3:uid="{6F55B0C6-E200-486F-BDC9-C4ECAF9BAB89}" name="Column10360" dataDxfId="6025"/>
    <tableColumn id="10385" xr3:uid="{A6EA5D5D-44E9-470D-A985-6C5C51052595}" name="Column10361" dataDxfId="6024"/>
    <tableColumn id="10386" xr3:uid="{FC94AFD2-B013-431F-8C13-DF70A4049900}" name="Column10362" dataDxfId="6023"/>
    <tableColumn id="10387" xr3:uid="{1DD0AE7C-287B-4971-B1DB-24E77A9D7284}" name="Column10363" dataDxfId="6022"/>
    <tableColumn id="10388" xr3:uid="{23284691-D672-4D73-A453-1CD92F3B2792}" name="Column10364" dataDxfId="6021"/>
    <tableColumn id="10389" xr3:uid="{B4551D02-87BA-4AAE-A625-9078F6502966}" name="Column10365" dataDxfId="6020"/>
    <tableColumn id="10390" xr3:uid="{1C42793B-9439-48AD-9F8B-01487FD960CE}" name="Column10366" dataDxfId="6019"/>
    <tableColumn id="10391" xr3:uid="{B75C625E-178C-4045-89EA-2998793735C9}" name="Column10367" dataDxfId="6018"/>
    <tableColumn id="10392" xr3:uid="{4EBB4171-5AD5-49A8-AB6E-61103CA77660}" name="Column10368" dataDxfId="6017"/>
    <tableColumn id="10393" xr3:uid="{4FEA90EE-2B9E-4D46-9A13-60E52DBBE54B}" name="Column10369" dataDxfId="6016"/>
    <tableColumn id="10394" xr3:uid="{5DF0314C-A661-4191-848F-15EBD6039AE8}" name="Column10370" dataDxfId="6015"/>
    <tableColumn id="10395" xr3:uid="{0E6F2524-EFC7-40D5-9404-421EAC9C48A9}" name="Column10371" dataDxfId="6014"/>
    <tableColumn id="10396" xr3:uid="{68BD8D7A-750E-4B9B-8962-C4A30F27AAD6}" name="Column10372" dataDxfId="6013"/>
    <tableColumn id="10397" xr3:uid="{AB8C70B9-6DCF-4623-AE5D-85D9A088B4F5}" name="Column10373" dataDxfId="6012"/>
    <tableColumn id="10398" xr3:uid="{0AA33C53-72C4-423C-AEF7-BC03DBA5035C}" name="Column10374" dataDxfId="6011"/>
    <tableColumn id="10399" xr3:uid="{FDC8FD0F-7AA7-4F45-B57B-A4121D9E2FE3}" name="Column10375" dataDxfId="6010"/>
    <tableColumn id="10400" xr3:uid="{31EC50F8-2067-417B-AB23-7184AE03EE8D}" name="Column10376" dataDxfId="6009"/>
    <tableColumn id="10401" xr3:uid="{C7404448-409E-470C-8B89-EA243036769B}" name="Column10377" dataDxfId="6008"/>
    <tableColumn id="10402" xr3:uid="{13AC08A4-930F-49BF-B763-87E0C9F4AE54}" name="Column10378" dataDxfId="6007"/>
    <tableColumn id="10403" xr3:uid="{1003E39A-414A-484A-A5E6-0F1FD1B9ED79}" name="Column10379" dataDxfId="6006"/>
    <tableColumn id="10404" xr3:uid="{242AE106-7BDF-415E-9EF8-0126BEE2110E}" name="Column10380" dataDxfId="6005"/>
    <tableColumn id="10405" xr3:uid="{289AC6A4-2973-4E4D-91FF-BFC81760384B}" name="Column10381" dataDxfId="6004"/>
    <tableColumn id="10406" xr3:uid="{A0E0ED19-7A56-42AC-8E78-CBEBBF3B393C}" name="Column10382" dataDxfId="6003"/>
    <tableColumn id="10407" xr3:uid="{F5238405-A8AE-4D2B-96F3-F9EC7960CF52}" name="Column10383" dataDxfId="6002"/>
    <tableColumn id="10408" xr3:uid="{FE2863EE-E84A-477F-844F-66415B36594D}" name="Column10384" dataDxfId="6001"/>
    <tableColumn id="10409" xr3:uid="{E8DC743B-15D2-4AB5-831A-B967DECE06D3}" name="Column10385" dataDxfId="6000"/>
    <tableColumn id="10410" xr3:uid="{30C4A950-CC9F-42BC-96FA-51D79A313966}" name="Column10386" dataDxfId="5999"/>
    <tableColumn id="10411" xr3:uid="{14038A07-5FC8-42DE-9E4F-2F5CCD0A668F}" name="Column10387" dataDxfId="5998"/>
    <tableColumn id="10412" xr3:uid="{43670D83-8915-46B9-B7F7-91726897F2AF}" name="Column10388" dataDxfId="5997"/>
    <tableColumn id="10413" xr3:uid="{F56A69D3-A62A-4ED1-AEAB-95ECF1921381}" name="Column10389" dataDxfId="5996"/>
    <tableColumn id="10414" xr3:uid="{B85125D3-2515-439E-B708-16C1C0BE6BAD}" name="Column10390" dataDxfId="5995"/>
    <tableColumn id="10415" xr3:uid="{EED087F3-7948-4746-A65F-A3D21E3855F5}" name="Column10391" dataDxfId="5994"/>
    <tableColumn id="10416" xr3:uid="{7DE71F87-E5BA-4C5F-9647-317E95E49FFE}" name="Column10392" dataDxfId="5993"/>
    <tableColumn id="10417" xr3:uid="{72E1DA8B-D51C-4477-8D49-17C366FDD991}" name="Column10393" dataDxfId="5992"/>
    <tableColumn id="10418" xr3:uid="{4D9EC9D8-9E65-4836-9750-AA2C08AFF13B}" name="Column10394" dataDxfId="5991"/>
    <tableColumn id="10419" xr3:uid="{12F3FBEC-5607-46D8-B2AC-8B1B1EA60011}" name="Column10395" dataDxfId="5990"/>
    <tableColumn id="10420" xr3:uid="{5CC6FE1D-7AF5-4AC0-BE5A-F5E3114A3517}" name="Column10396" dataDxfId="5989"/>
    <tableColumn id="10421" xr3:uid="{4539E748-90B1-4448-8E3F-E8C09A8EED9C}" name="Column10397" dataDxfId="5988"/>
    <tableColumn id="10422" xr3:uid="{56B877D9-4E1C-42D3-97E2-620E886B0DCF}" name="Column10398" dataDxfId="5987"/>
    <tableColumn id="10423" xr3:uid="{22AFA0BB-806A-443F-AF9C-64276F644B47}" name="Column10399" dataDxfId="5986"/>
    <tableColumn id="10424" xr3:uid="{8A3AD9E5-FF2A-4F21-AA79-94372E80928D}" name="Column10400" dataDxfId="5985"/>
    <tableColumn id="10425" xr3:uid="{FCA16B85-D0E1-42C7-BD2A-D66C14C61DED}" name="Column10401" dataDxfId="5984"/>
    <tableColumn id="10426" xr3:uid="{70AC5F2B-0664-4A5A-A1DA-E0AF042E28D8}" name="Column10402" dataDxfId="5983"/>
    <tableColumn id="10427" xr3:uid="{E0A835E2-F28D-471E-8C9D-D4368FDB536D}" name="Column10403" dataDxfId="5982"/>
    <tableColumn id="10428" xr3:uid="{A02E040C-8A0B-4703-96B6-C31A0DE3B46C}" name="Column10404" dataDxfId="5981"/>
    <tableColumn id="10429" xr3:uid="{B26515A3-F7DA-48B0-83B8-8EC219DEF9DE}" name="Column10405" dataDxfId="5980"/>
    <tableColumn id="10430" xr3:uid="{ABD93C4C-39AA-4E5E-82B5-38D25766B26B}" name="Column10406" dataDxfId="5979"/>
    <tableColumn id="10431" xr3:uid="{D3C2E8C5-94FA-4A87-B239-C52EB761380F}" name="Column10407" dataDxfId="5978"/>
    <tableColumn id="10432" xr3:uid="{FA3016F5-C77F-4CE7-BBD6-274EC71546D5}" name="Column10408" dataDxfId="5977"/>
    <tableColumn id="10433" xr3:uid="{7DE337E6-1EBB-4668-B398-461B2A1C5978}" name="Column10409" dataDxfId="5976"/>
    <tableColumn id="10434" xr3:uid="{680D774F-69AA-4A9B-9CBD-0232637154FB}" name="Column10410" dataDxfId="5975"/>
    <tableColumn id="10435" xr3:uid="{183D5620-95DA-43C4-8AE9-B651A7627D0B}" name="Column10411" dataDxfId="5974"/>
    <tableColumn id="10436" xr3:uid="{B8C993EE-9667-4DF4-AB2A-FE9D1F0BFBCC}" name="Column10412" dataDxfId="5973"/>
    <tableColumn id="10437" xr3:uid="{FCD8C34A-B981-4447-BD7F-1B0236AD53AA}" name="Column10413" dataDxfId="5972"/>
    <tableColumn id="10438" xr3:uid="{CE0B36BF-52CC-4A38-A176-739E7A20CEFA}" name="Column10414" dataDxfId="5971"/>
    <tableColumn id="10439" xr3:uid="{66E006B7-7B05-45C0-8C55-1B784E738F43}" name="Column10415" dataDxfId="5970"/>
    <tableColumn id="10440" xr3:uid="{B283DAF5-F9CD-4594-8D81-EBC8B8BA6ACC}" name="Column10416" dataDxfId="5969"/>
    <tableColumn id="10441" xr3:uid="{422996E6-13E9-41A7-A491-E4928D5C5275}" name="Column10417" dataDxfId="5968"/>
    <tableColumn id="10442" xr3:uid="{FB4E3C88-5684-4967-84E0-50EF1C977FBC}" name="Column10418" dataDxfId="5967"/>
    <tableColumn id="10443" xr3:uid="{43A77FA0-3D6E-44AA-BEED-DCFC1C219C58}" name="Column10419" dataDxfId="5966"/>
    <tableColumn id="10444" xr3:uid="{C8191EA0-B553-459B-959C-52041702819C}" name="Column10420" dataDxfId="5965"/>
    <tableColumn id="10445" xr3:uid="{5E8129F8-D84F-499A-A263-23370D8AAD1D}" name="Column10421" dataDxfId="5964"/>
    <tableColumn id="10446" xr3:uid="{BF0BC740-EF45-4CD0-8A08-1EC0FB67FC55}" name="Column10422" dataDxfId="5963"/>
    <tableColumn id="10447" xr3:uid="{EB581887-FF20-48E4-A4B7-7A52646CF964}" name="Column10423" dataDxfId="5962"/>
    <tableColumn id="10448" xr3:uid="{1059A54A-7B88-4B35-93DA-DFBBC436430D}" name="Column10424" dataDxfId="5961"/>
    <tableColumn id="10449" xr3:uid="{51319A4A-0CC2-4EC3-B449-5B73903D0701}" name="Column10425" dataDxfId="5960"/>
    <tableColumn id="10450" xr3:uid="{13E236C7-0B63-425F-8CDF-653895928900}" name="Column10426" dataDxfId="5959"/>
    <tableColumn id="10451" xr3:uid="{804231EE-6425-43A7-AA6D-EC5E4CAC7678}" name="Column10427" dataDxfId="5958"/>
    <tableColumn id="10452" xr3:uid="{6D7F04D2-5440-41D5-8BA7-FD8B62FDDFBC}" name="Column10428" dataDxfId="5957"/>
    <tableColumn id="10453" xr3:uid="{C946F77D-474D-4E35-A1DD-19A926C8018F}" name="Column10429" dataDxfId="5956"/>
    <tableColumn id="10454" xr3:uid="{27F07CCE-D48D-4B54-8BE5-ED4AC4C75B1A}" name="Column10430" dataDxfId="5955"/>
    <tableColumn id="10455" xr3:uid="{157B688C-049B-477A-BF17-D43A1A0402DD}" name="Column10431" dataDxfId="5954"/>
    <tableColumn id="10456" xr3:uid="{8315B806-4F00-4001-B278-9038264CE976}" name="Column10432" dataDxfId="5953"/>
    <tableColumn id="10457" xr3:uid="{9F83E11E-D483-42E1-860E-17A9FEC95372}" name="Column10433" dataDxfId="5952"/>
    <tableColumn id="10458" xr3:uid="{18584450-8B2F-4831-A19E-82763149A03C}" name="Column10434" dataDxfId="5951"/>
    <tableColumn id="10459" xr3:uid="{063A953C-13D4-41E4-B48E-CB276098D4C5}" name="Column10435" dataDxfId="5950"/>
    <tableColumn id="10460" xr3:uid="{D77B7DAF-1C62-4278-BB8A-A1F0A05FA02B}" name="Column10436" dataDxfId="5949"/>
    <tableColumn id="10461" xr3:uid="{75DA8C7E-9167-4A6E-AA30-91C1BCFF8BCA}" name="Column10437" dataDxfId="5948"/>
    <tableColumn id="10462" xr3:uid="{7FD8C5DC-06FC-4EED-8F84-6ED2746DE596}" name="Column10438" dataDxfId="5947"/>
    <tableColumn id="10463" xr3:uid="{05F56CC3-1047-4016-AB3B-C8806C451418}" name="Column10439" dataDxfId="5946"/>
    <tableColumn id="10464" xr3:uid="{ED8297C2-C068-45D5-8778-398476B4552D}" name="Column10440" dataDxfId="5945"/>
    <tableColumn id="10465" xr3:uid="{D4086D60-85A4-4641-9366-F872EE39C837}" name="Column10441" dataDxfId="5944"/>
    <tableColumn id="10466" xr3:uid="{375409DE-FAC4-46E9-A308-5CEBBA511F55}" name="Column10442" dataDxfId="5943"/>
    <tableColumn id="10467" xr3:uid="{BCD9A322-EB4B-4B01-923E-767DC91E187D}" name="Column10443" dataDxfId="5942"/>
    <tableColumn id="10468" xr3:uid="{20D7D711-FA64-4A3A-8206-9798A8E2BFFF}" name="Column10444" dataDxfId="5941"/>
    <tableColumn id="10469" xr3:uid="{953FF3C7-9960-4979-B471-C81519BF8550}" name="Column10445" dataDxfId="5940"/>
    <tableColumn id="10470" xr3:uid="{38C217D3-1460-47BD-9C55-C3A26B756F0A}" name="Column10446" dataDxfId="5939"/>
    <tableColumn id="10471" xr3:uid="{4E7F4C32-DD8E-4DE7-863B-219F9357C1BD}" name="Column10447" dataDxfId="5938"/>
    <tableColumn id="10472" xr3:uid="{FFF27A66-8CC4-48CA-8840-8CBEC796B308}" name="Column10448" dataDxfId="5937"/>
    <tableColumn id="10473" xr3:uid="{DB96DC09-9CA6-49D6-B63F-F76C46323D87}" name="Column10449" dataDxfId="5936"/>
    <tableColumn id="10474" xr3:uid="{5836F600-400C-44A2-88E9-A521465D7BB5}" name="Column10450" dataDxfId="5935"/>
    <tableColumn id="10475" xr3:uid="{E7687125-6A18-44D8-A130-94B51A35A128}" name="Column10451" dataDxfId="5934"/>
    <tableColumn id="10476" xr3:uid="{735BAE72-79AE-4D9B-9890-D00210C1578F}" name="Column10452" dataDxfId="5933"/>
    <tableColumn id="10477" xr3:uid="{EE1F4FD6-084A-48E3-A3BF-AAB80B66B1C1}" name="Column10453" dataDxfId="5932"/>
    <tableColumn id="10478" xr3:uid="{AA4F412A-B958-4419-AE24-F395ECC262E9}" name="Column10454" dataDxfId="5931"/>
    <tableColumn id="10479" xr3:uid="{6723E386-6CCB-42A4-A3FA-58ACBD9EE64E}" name="Column10455" dataDxfId="5930"/>
    <tableColumn id="10480" xr3:uid="{3D93735B-3AFB-40F3-9A24-56EF8EC35A30}" name="Column10456" dataDxfId="5929"/>
    <tableColumn id="10481" xr3:uid="{79B2F045-1B33-4FFF-B88E-6513052CC3F3}" name="Column10457" dataDxfId="5928"/>
    <tableColumn id="10482" xr3:uid="{67B43538-9729-4193-83F4-819F0D5DF9B1}" name="Column10458" dataDxfId="5927"/>
    <tableColumn id="10483" xr3:uid="{E7FD6655-011C-4669-A19A-97E6BE0F5D05}" name="Column10459" dataDxfId="5926"/>
    <tableColumn id="10484" xr3:uid="{1231A8E7-3918-48E2-BF70-CB1C3455E04C}" name="Column10460" dataDxfId="5925"/>
    <tableColumn id="10485" xr3:uid="{C2718455-3722-4EE9-84A6-F2722E249FD1}" name="Column10461" dataDxfId="5924"/>
    <tableColumn id="10486" xr3:uid="{1F08347A-6EAE-43C8-89B3-F4DFC9880CF9}" name="Column10462" dataDxfId="5923"/>
    <tableColumn id="10487" xr3:uid="{EB190F83-4ACB-47DB-AFDA-FA2358836EAC}" name="Column10463" dataDxfId="5922"/>
    <tableColumn id="10488" xr3:uid="{5449398C-B98B-4E7C-A24B-FF5CAFA12C67}" name="Column10464" dataDxfId="5921"/>
    <tableColumn id="10489" xr3:uid="{2852C593-945A-4934-9542-DA66C1A964F8}" name="Column10465" dataDxfId="5920"/>
    <tableColumn id="10490" xr3:uid="{EB74600E-6831-494B-80CE-392C36689CEE}" name="Column10466" dataDxfId="5919"/>
    <tableColumn id="10491" xr3:uid="{37CCC7B0-34E0-423E-9F11-55E0DC18566C}" name="Column10467" dataDxfId="5918"/>
    <tableColumn id="10492" xr3:uid="{83B81B7B-5989-4A32-BA35-A32AB74D5BD6}" name="Column10468" dataDxfId="5917"/>
    <tableColumn id="10493" xr3:uid="{03749DD9-2981-418F-B6FB-9B755E490DA0}" name="Column10469" dataDxfId="5916"/>
    <tableColumn id="10494" xr3:uid="{C3D13345-12B8-42C8-8326-8F45240FA642}" name="Column10470" dataDxfId="5915"/>
    <tableColumn id="10495" xr3:uid="{CE4D073E-9D9E-40F9-B4B2-6D56C3B5F044}" name="Column10471" dataDxfId="5914"/>
    <tableColumn id="10496" xr3:uid="{F8A28ECD-617B-4340-96F2-966ED7D9D28A}" name="Column10472" dataDxfId="5913"/>
    <tableColumn id="10497" xr3:uid="{D2A38B31-2BED-4CAE-B45E-4AA0B08DF7CE}" name="Column10473" dataDxfId="5912"/>
    <tableColumn id="10498" xr3:uid="{DC5D8D3F-86A5-4336-BC14-A0FF7D0D51BE}" name="Column10474" dataDxfId="5911"/>
    <tableColumn id="10499" xr3:uid="{B85056D1-4EA6-4ACE-8222-180228B48531}" name="Column10475" dataDxfId="5910"/>
    <tableColumn id="10500" xr3:uid="{A2DCA9B3-7F71-407D-A1D8-157FE48AE59F}" name="Column10476" dataDxfId="5909"/>
    <tableColumn id="10501" xr3:uid="{9A7EA651-78DD-49DA-BA22-32A0EA25E942}" name="Column10477" dataDxfId="5908"/>
    <tableColumn id="10502" xr3:uid="{A048C2D2-99AF-46BC-A4BA-1E7B9677056E}" name="Column10478" dataDxfId="5907"/>
    <tableColumn id="10503" xr3:uid="{65686D36-4841-4CC7-8523-9F9E76DF2FB8}" name="Column10479" dataDxfId="5906"/>
    <tableColumn id="10504" xr3:uid="{83803AE7-FC0E-45C7-A473-E268EB1F55CF}" name="Column10480" dataDxfId="5905"/>
    <tableColumn id="10505" xr3:uid="{1398CBFD-6279-4418-96FC-3B6920347568}" name="Column10481" dataDxfId="5904"/>
    <tableColumn id="10506" xr3:uid="{F5D66C05-628F-4364-8485-A7C43D76E6B5}" name="Column10482" dataDxfId="5903"/>
    <tableColumn id="10507" xr3:uid="{7526F989-2B40-4F6A-A713-36B806E0CC4E}" name="Column10483" dataDxfId="5902"/>
    <tableColumn id="10508" xr3:uid="{D74DC04C-D9A4-42BB-8396-66F2E9CAE46B}" name="Column10484" dataDxfId="5901"/>
    <tableColumn id="10509" xr3:uid="{654DEC6B-76F9-4B70-A3E2-F2569D06CF67}" name="Column10485" dataDxfId="5900"/>
    <tableColumn id="10510" xr3:uid="{F5539378-5608-4426-B247-74CB4405C919}" name="Column10486" dataDxfId="5899"/>
    <tableColumn id="10511" xr3:uid="{EF81896D-7E49-4241-A161-FD936D9625F7}" name="Column10487" dataDxfId="5898"/>
    <tableColumn id="10512" xr3:uid="{C40B75E2-4E79-45B8-86A1-241865F310D9}" name="Column10488" dataDxfId="5897"/>
    <tableColumn id="10513" xr3:uid="{E7537CCA-69CF-480C-AC12-6468BDFF655B}" name="Column10489" dataDxfId="5896"/>
    <tableColumn id="10514" xr3:uid="{4B5264A2-7928-45B9-BE2A-CF6DD2A4054E}" name="Column10490" dataDxfId="5895"/>
    <tableColumn id="10515" xr3:uid="{A7B31C7A-EF2B-4F98-B47C-B675B218BD24}" name="Column10491" dataDxfId="5894"/>
    <tableColumn id="10516" xr3:uid="{4204A715-D090-4A91-BCF9-E8C1327FFD84}" name="Column10492" dataDxfId="5893"/>
    <tableColumn id="10517" xr3:uid="{7B048D46-078C-4CA6-8AC8-2BE1EC161753}" name="Column10493" dataDxfId="5892"/>
    <tableColumn id="10518" xr3:uid="{DC8CF4C8-9A73-4A79-8BA0-3F4DE97D1537}" name="Column10494" dataDxfId="5891"/>
    <tableColumn id="10519" xr3:uid="{25A48948-4C15-43FB-999C-0E7D2EA02623}" name="Column10495" dataDxfId="5890"/>
    <tableColumn id="10520" xr3:uid="{E7757635-6004-49FE-856A-FAE15E22691B}" name="Column10496" dataDxfId="5889"/>
    <tableColumn id="10521" xr3:uid="{FB2E6B34-3225-4BFA-8388-0DC8018DAE53}" name="Column10497" dataDxfId="5888"/>
    <tableColumn id="10522" xr3:uid="{9234375B-D243-473E-95F9-5E8F261561AA}" name="Column10498" dataDxfId="5887"/>
    <tableColumn id="10523" xr3:uid="{5053853A-5E09-46D2-9FE5-1B4FFCBFD0EE}" name="Column10499" dataDxfId="5886"/>
    <tableColumn id="10524" xr3:uid="{40B2B73E-2855-4E4A-ABA9-D47B55523D73}" name="Column10500" dataDxfId="5885"/>
    <tableColumn id="10525" xr3:uid="{D2A720A1-4755-4FC5-984C-9FC2E106EBC8}" name="Column10501" dataDxfId="5884"/>
    <tableColumn id="10526" xr3:uid="{2D9910B0-321F-49C1-B113-BEBB024AC10F}" name="Column10502" dataDxfId="5883"/>
    <tableColumn id="10527" xr3:uid="{67293FEB-88DE-433C-A078-5DFC59531C6D}" name="Column10503" dataDxfId="5882"/>
    <tableColumn id="10528" xr3:uid="{EBF7DF84-83CC-4EC7-9DB1-9249E876D83D}" name="Column10504" dataDxfId="5881"/>
    <tableColumn id="10529" xr3:uid="{592EDFDF-FA30-43DE-855D-359497E59AFC}" name="Column10505" dataDxfId="5880"/>
    <tableColumn id="10530" xr3:uid="{87AAAD94-2A18-4342-A0A9-8FB8BD376BE6}" name="Column10506" dataDxfId="5879"/>
    <tableColumn id="10531" xr3:uid="{F6EDB447-C6C3-4F25-9161-848F1AA306F2}" name="Column10507" dataDxfId="5878"/>
    <tableColumn id="10532" xr3:uid="{23B885E3-11F1-4504-8EAE-42949027BB70}" name="Column10508" dataDxfId="5877"/>
    <tableColumn id="10533" xr3:uid="{3DD79B2F-60E4-4F81-B46B-1B390D01F088}" name="Column10509" dataDxfId="5876"/>
    <tableColumn id="10534" xr3:uid="{8CBA44C7-5959-4454-8FAF-440896E549D1}" name="Column10510" dataDxfId="5875"/>
    <tableColumn id="10535" xr3:uid="{12ACDB69-C274-4200-ADE1-D6280A6E265F}" name="Column10511" dataDxfId="5874"/>
    <tableColumn id="10536" xr3:uid="{DDDFF604-6724-4653-9FBD-B00CA1BC0930}" name="Column10512" dataDxfId="5873"/>
    <tableColumn id="10537" xr3:uid="{CC350242-4955-4442-A406-C169FA91B85C}" name="Column10513" dataDxfId="5872"/>
    <tableColumn id="10538" xr3:uid="{5825207D-09DB-40CA-86B3-9F8BCCAE9FCB}" name="Column10514" dataDxfId="5871"/>
    <tableColumn id="10539" xr3:uid="{2C3A4A10-A9DF-4086-94F5-5A0972A709F7}" name="Column10515" dataDxfId="5870"/>
    <tableColumn id="10540" xr3:uid="{C5B4A297-DA0F-4F28-B23C-6794B8B499F8}" name="Column10516" dataDxfId="5869"/>
    <tableColumn id="10541" xr3:uid="{9CC40D72-283A-4994-B074-6B094FD26752}" name="Column10517" dataDxfId="5868"/>
    <tableColumn id="10542" xr3:uid="{EB01D4B1-6391-4836-BCF2-87F3301BCFD8}" name="Column10518" dataDxfId="5867"/>
    <tableColumn id="10543" xr3:uid="{34791509-5B2A-477A-A291-408F66C1B2E7}" name="Column10519" dataDxfId="5866"/>
    <tableColumn id="10544" xr3:uid="{EF22713C-0839-4B1C-8967-B9979CB76211}" name="Column10520" dataDxfId="5865"/>
    <tableColumn id="10545" xr3:uid="{004F817E-73C7-4071-939C-50D3EDD9467B}" name="Column10521" dataDxfId="5864"/>
    <tableColumn id="10546" xr3:uid="{CC82D1DF-8EC9-4AB3-952A-7E74D6220DE3}" name="Column10522" dataDxfId="5863"/>
    <tableColumn id="10547" xr3:uid="{738952D8-71E7-45D7-BECD-CB5861926C8A}" name="Column10523" dataDxfId="5862"/>
    <tableColumn id="10548" xr3:uid="{5EA3DF17-6E58-4634-A2B0-6F27B4907A70}" name="Column10524" dataDxfId="5861"/>
    <tableColumn id="10549" xr3:uid="{B896327F-9059-4E9B-885B-0375BE370094}" name="Column10525" dataDxfId="5860"/>
    <tableColumn id="10550" xr3:uid="{1A721613-1A8E-4D5D-8679-25A83212BA44}" name="Column10526" dataDxfId="5859"/>
    <tableColumn id="10551" xr3:uid="{833456DD-EE58-4E73-A28F-C091AD1A2ADC}" name="Column10527" dataDxfId="5858"/>
    <tableColumn id="10552" xr3:uid="{9D92DD3B-27F1-43CD-B791-F37D13D94A3A}" name="Column10528" dataDxfId="5857"/>
    <tableColumn id="10553" xr3:uid="{758E6338-7684-4D33-AE53-5260EBBEA419}" name="Column10529" dataDxfId="5856"/>
    <tableColumn id="10554" xr3:uid="{A42CAEA7-7EF3-40B8-8669-537F40E366B6}" name="Column10530" dataDxfId="5855"/>
    <tableColumn id="10555" xr3:uid="{345890BF-33D1-4E65-BC90-291ABC3D786F}" name="Column10531" dataDxfId="5854"/>
    <tableColumn id="10556" xr3:uid="{C5E031B1-8023-4B4F-80E7-C780422D32C1}" name="Column10532" dataDxfId="5853"/>
    <tableColumn id="10557" xr3:uid="{7887766F-D968-4326-9303-411418E39E50}" name="Column10533" dataDxfId="5852"/>
    <tableColumn id="10558" xr3:uid="{0656FFE6-4F66-4025-9456-8F21BFB986D0}" name="Column10534" dataDxfId="5851"/>
    <tableColumn id="10559" xr3:uid="{7DC9EC31-6630-409E-8142-595C3CF7913F}" name="Column10535" dataDxfId="5850"/>
    <tableColumn id="10560" xr3:uid="{F7BA2B95-5EE3-4195-BD4B-970828B5B9B3}" name="Column10536" dataDxfId="5849"/>
    <tableColumn id="10561" xr3:uid="{A7E264E0-F5E9-4F66-BD1B-6F769620CC9D}" name="Column10537" dataDxfId="5848"/>
    <tableColumn id="10562" xr3:uid="{B32DE81E-FB76-4DAB-9A7C-D00EAE97362C}" name="Column10538" dataDxfId="5847"/>
    <tableColumn id="10563" xr3:uid="{2906264B-FFC5-46D3-AB08-D2C4F29FA146}" name="Column10539" dataDxfId="5846"/>
    <tableColumn id="10564" xr3:uid="{DD90159B-E060-4D44-9320-28E0C0A58B05}" name="Column10540" dataDxfId="5845"/>
    <tableColumn id="10565" xr3:uid="{6BEA6917-4DF3-470E-AC57-E43A4794FACA}" name="Column10541" dataDxfId="5844"/>
    <tableColumn id="10566" xr3:uid="{12FFFC8D-E307-43C6-A2EF-6E29BA9E7075}" name="Column10542" dataDxfId="5843"/>
    <tableColumn id="10567" xr3:uid="{66A2D9E2-A2DC-4562-9457-929B1B97A2A7}" name="Column10543" dataDxfId="5842"/>
    <tableColumn id="10568" xr3:uid="{0CB035EA-5C10-49C7-A8DD-737B729391FE}" name="Column10544" dataDxfId="5841"/>
    <tableColumn id="10569" xr3:uid="{42AFD460-373A-4217-A61F-ADE3329FD064}" name="Column10545" dataDxfId="5840"/>
    <tableColumn id="10570" xr3:uid="{4B126FCE-11E0-4750-B939-524C59804113}" name="Column10546" dataDxfId="5839"/>
    <tableColumn id="10571" xr3:uid="{429D520C-AD2A-4083-AA0B-7A75BC765A24}" name="Column10547" dataDxfId="5838"/>
    <tableColumn id="10572" xr3:uid="{72264EDB-462F-4BC4-808E-793B940FF2A8}" name="Column10548" dataDxfId="5837"/>
    <tableColumn id="10573" xr3:uid="{D6CEBD13-2AFB-4FA0-B4D3-D83FE1E21F25}" name="Column10549" dataDxfId="5836"/>
    <tableColumn id="10574" xr3:uid="{713496C5-350E-4E05-9C3E-4A2D3081E45E}" name="Column10550" dataDxfId="5835"/>
    <tableColumn id="10575" xr3:uid="{677C32D9-8012-4813-A659-B6AAE6E5BCFC}" name="Column10551" dataDxfId="5834"/>
    <tableColumn id="10576" xr3:uid="{5853671E-F1CC-424E-B7ED-84A8A5C32BBE}" name="Column10552" dataDxfId="5833"/>
    <tableColumn id="10577" xr3:uid="{94413C74-49EB-4516-BCD6-F9DAA7C14FF6}" name="Column10553" dataDxfId="5832"/>
    <tableColumn id="10578" xr3:uid="{F22FDE0A-4B57-4E54-812C-D8BC1BDE4CB4}" name="Column10554" dataDxfId="5831"/>
    <tableColumn id="10579" xr3:uid="{6F64B098-4BF3-459E-AF86-C2B4CA34E36B}" name="Column10555" dataDxfId="5830"/>
    <tableColumn id="10580" xr3:uid="{DCFC91CB-590B-447C-894D-45A7A9359AF7}" name="Column10556" dataDxfId="5829"/>
    <tableColumn id="10581" xr3:uid="{0241328A-9721-4113-97A2-5C2F70A4DEB2}" name="Column10557" dataDxfId="5828"/>
    <tableColumn id="10582" xr3:uid="{9F2CA993-9899-4C3E-BBDF-CEC4F26595B7}" name="Column10558" dataDxfId="5827"/>
    <tableColumn id="10583" xr3:uid="{CE031764-CDD8-4D68-BFF6-6C864140B4B2}" name="Column10559" dataDxfId="5826"/>
    <tableColumn id="10584" xr3:uid="{0B4B5040-1397-473B-893F-7C32F7A66178}" name="Column10560" dataDxfId="5825"/>
    <tableColumn id="10585" xr3:uid="{405E22B8-AE4A-40E7-861D-CBE87F0B334E}" name="Column10561" dataDxfId="5824"/>
    <tableColumn id="10586" xr3:uid="{5F5C7B82-C0ED-4EFA-8A33-37ED468C47FC}" name="Column10562" dataDxfId="5823"/>
    <tableColumn id="10587" xr3:uid="{A6F6478B-CF48-495D-B444-1A2D0A5C8246}" name="Column10563" dataDxfId="5822"/>
    <tableColumn id="10588" xr3:uid="{5B89E6FA-3EEA-4734-A394-1138E7B69D3E}" name="Column10564" dataDxfId="5821"/>
    <tableColumn id="10589" xr3:uid="{4A49E510-43DB-4E3F-AFEC-07E69E191306}" name="Column10565" dataDxfId="5820"/>
    <tableColumn id="10590" xr3:uid="{0C2CACB3-9922-436D-8F0B-F1C5A5DD5A67}" name="Column10566" dataDxfId="5819"/>
    <tableColumn id="10591" xr3:uid="{4FE9CDCB-05AD-47EA-82E1-5E4BC3546503}" name="Column10567" dataDxfId="5818"/>
    <tableColumn id="10592" xr3:uid="{12E0909B-F64E-4F97-BDDE-5D7602FF363E}" name="Column10568" dataDxfId="5817"/>
    <tableColumn id="10593" xr3:uid="{82FC52A6-D593-4215-BCE4-2BAFC8D74A00}" name="Column10569" dataDxfId="5816"/>
    <tableColumn id="10594" xr3:uid="{E5698D7E-6843-4963-8ADA-6A4D0D244EF9}" name="Column10570" dataDxfId="5815"/>
    <tableColumn id="10595" xr3:uid="{F98296EB-94B6-4F44-89E1-ED8711C2B666}" name="Column10571" dataDxfId="5814"/>
    <tableColumn id="10596" xr3:uid="{0D8E6DBF-C1BF-439A-B385-06D0E55137B6}" name="Column10572" dataDxfId="5813"/>
    <tableColumn id="10597" xr3:uid="{9360E0E1-7383-4259-8DFF-4D2712D8A4AF}" name="Column10573" dataDxfId="5812"/>
    <tableColumn id="10598" xr3:uid="{AFB759FC-9040-460D-A7F7-C1B8FC0498DB}" name="Column10574" dataDxfId="5811"/>
    <tableColumn id="10599" xr3:uid="{FE088DE4-A88F-48A0-ADCD-6B9D21C8254B}" name="Column10575" dataDxfId="5810"/>
    <tableColumn id="10600" xr3:uid="{8BEFF305-7CC8-47D8-AFBB-D8BF494D45C2}" name="Column10576" dataDxfId="5809"/>
    <tableColumn id="10601" xr3:uid="{1DE02A87-3122-4571-920F-B98B07C5B77D}" name="Column10577" dataDxfId="5808"/>
    <tableColumn id="10602" xr3:uid="{CF9C5C74-0646-4F9B-9CF7-E7A4C4DE43DA}" name="Column10578" dataDxfId="5807"/>
    <tableColumn id="10603" xr3:uid="{B3794546-27FC-4077-A350-784F2BD7AAA8}" name="Column10579" dataDxfId="5806"/>
    <tableColumn id="10604" xr3:uid="{16D29B4B-EF41-4A67-93E8-826087B20253}" name="Column10580" dataDxfId="5805"/>
    <tableColumn id="10605" xr3:uid="{A0CF48B0-03DA-4763-9585-C2E41CC385C8}" name="Column10581" dataDxfId="5804"/>
    <tableColumn id="10606" xr3:uid="{D1123FB0-94CB-4EB3-89C0-6C217E173FD3}" name="Column10582" dataDxfId="5803"/>
    <tableColumn id="10607" xr3:uid="{22A98CFF-7FDD-48E1-9046-718951FCEE89}" name="Column10583" dataDxfId="5802"/>
    <tableColumn id="10608" xr3:uid="{55C45D71-222E-4A7E-87AD-653170EDB76A}" name="Column10584" dataDxfId="5801"/>
    <tableColumn id="10609" xr3:uid="{62192814-A6F8-462B-9593-6EACDDE89FCB}" name="Column10585" dataDxfId="5800"/>
    <tableColumn id="10610" xr3:uid="{FA263450-50E1-426B-A56D-15A29A2123E9}" name="Column10586" dataDxfId="5799"/>
    <tableColumn id="10611" xr3:uid="{325313EB-C53B-4595-9948-EFD611D19781}" name="Column10587" dataDxfId="5798"/>
    <tableColumn id="10612" xr3:uid="{8F65A0B6-A276-494D-BB7E-58EA86B4778E}" name="Column10588" dataDxfId="5797"/>
    <tableColumn id="10613" xr3:uid="{CB285CF4-708B-4D79-B173-6C5372807AEB}" name="Column10589" dataDxfId="5796"/>
    <tableColumn id="10614" xr3:uid="{789C1BCE-0172-492B-92BF-8509E8D50A9C}" name="Column10590" dataDxfId="5795"/>
    <tableColumn id="10615" xr3:uid="{769F4DE9-27D6-42B6-947A-522BE46B2FD8}" name="Column10591" dataDxfId="5794"/>
    <tableColumn id="10616" xr3:uid="{F01A6CC3-1103-46B1-B887-FEC323FDA433}" name="Column10592" dataDxfId="5793"/>
    <tableColumn id="10617" xr3:uid="{BE18E645-5047-4664-AF02-71D970A4761D}" name="Column10593" dataDxfId="5792"/>
    <tableColumn id="10618" xr3:uid="{36C1D9CE-711A-4454-9DCC-BCFE299800EB}" name="Column10594" dataDxfId="5791"/>
    <tableColumn id="10619" xr3:uid="{35E404CC-11E4-4625-B635-ACA0D2289F3C}" name="Column10595" dataDxfId="5790"/>
    <tableColumn id="10620" xr3:uid="{85FA6521-D1A4-425E-947E-E20BA2045465}" name="Column10596" dataDxfId="5789"/>
    <tableColumn id="10621" xr3:uid="{DFF34B17-3F72-4BC6-9A27-F01391868954}" name="Column10597" dataDxfId="5788"/>
    <tableColumn id="10622" xr3:uid="{25D50D3C-CA5C-4961-9C2A-70CFA4A4E603}" name="Column10598" dataDxfId="5787"/>
    <tableColumn id="10623" xr3:uid="{7F6BF441-67E0-4716-8458-415B3584042D}" name="Column10599" dataDxfId="5786"/>
    <tableColumn id="10624" xr3:uid="{714845C1-28C6-477F-897D-7C0882968A10}" name="Column10600" dataDxfId="5785"/>
    <tableColumn id="10625" xr3:uid="{B1673C8F-16BE-49D0-B35D-19A505FA6266}" name="Column10601" dataDxfId="5784"/>
    <tableColumn id="10626" xr3:uid="{66DEB42A-02CD-40F1-B52C-37567DA129F4}" name="Column10602" dataDxfId="5783"/>
    <tableColumn id="10627" xr3:uid="{5D29F4F0-D1DF-4B2D-BFCF-B09BF9BD1E94}" name="Column10603" dataDxfId="5782"/>
    <tableColumn id="10628" xr3:uid="{CF6241CB-E42D-418B-8E99-F66C9BFF7002}" name="Column10604" dataDxfId="5781"/>
    <tableColumn id="10629" xr3:uid="{181570D1-E890-49C8-961A-2E7678F6C754}" name="Column10605" dataDxfId="5780"/>
    <tableColumn id="10630" xr3:uid="{2B931C25-D5AF-410B-BC5E-0E2B290CC744}" name="Column10606" dataDxfId="5779"/>
    <tableColumn id="10631" xr3:uid="{3B370BA4-03D9-4A45-9A1A-AEE3CFFAC7E1}" name="Column10607" dataDxfId="5778"/>
    <tableColumn id="10632" xr3:uid="{270D3F18-7C72-4133-BC76-2C5457085041}" name="Column10608" dataDxfId="5777"/>
    <tableColumn id="10633" xr3:uid="{70EF833A-5E9A-489C-99AC-81CCC1E59BD9}" name="Column10609" dataDxfId="5776"/>
    <tableColumn id="10634" xr3:uid="{AAD70DCF-2D07-462E-BC68-D4E05BEF6C3F}" name="Column10610" dataDxfId="5775"/>
    <tableColumn id="10635" xr3:uid="{574E2BA6-277F-4D7D-BEC5-005C341A180A}" name="Column10611" dataDxfId="5774"/>
    <tableColumn id="10636" xr3:uid="{4047FFD0-BCCC-4637-9E7F-AD3213D5800F}" name="Column10612" dataDxfId="5773"/>
    <tableColumn id="10637" xr3:uid="{B731C4CD-E186-446E-8010-DD6D5F7D0E58}" name="Column10613" dataDxfId="5772"/>
    <tableColumn id="10638" xr3:uid="{385BAEDC-A2BB-4C70-9707-AC3104F8327A}" name="Column10614" dataDxfId="5771"/>
    <tableColumn id="10639" xr3:uid="{36C00486-E50B-47BC-AE10-0EED700AF623}" name="Column10615" dataDxfId="5770"/>
    <tableColumn id="10640" xr3:uid="{A3914450-8731-43B0-98EB-FF60997F6849}" name="Column10616" dataDxfId="5769"/>
    <tableColumn id="10641" xr3:uid="{551E60A1-7B6A-47E5-A141-C9C8864D4A84}" name="Column10617" dataDxfId="5768"/>
    <tableColumn id="10642" xr3:uid="{0986038F-3418-4E70-9EEB-9F36C0FD674F}" name="Column10618" dataDxfId="5767"/>
    <tableColumn id="10643" xr3:uid="{F2042D4C-E8CB-4739-B0E0-E6F10047EE1D}" name="Column10619" dataDxfId="5766"/>
    <tableColumn id="10644" xr3:uid="{ED44EB6A-3459-4255-80F5-3795D609B039}" name="Column10620" dataDxfId="5765"/>
    <tableColumn id="10645" xr3:uid="{4E0A052A-F747-4497-BF45-AB9430CF4916}" name="Column10621" dataDxfId="5764"/>
    <tableColumn id="10646" xr3:uid="{53247F25-E476-48B8-A4A4-3400EE0BB8EB}" name="Column10622" dataDxfId="5763"/>
    <tableColumn id="10647" xr3:uid="{95E79B62-CDB0-4E90-924C-C7A1902F1CDA}" name="Column10623" dataDxfId="5762"/>
    <tableColumn id="10648" xr3:uid="{C286795D-BD28-4D75-AA23-444E880C1517}" name="Column10624" dataDxfId="5761"/>
    <tableColumn id="10649" xr3:uid="{E5D363EB-65F2-4052-877E-D006B65D6722}" name="Column10625" dataDxfId="5760"/>
    <tableColumn id="10650" xr3:uid="{E0523316-BC69-42BC-9BFC-1F51BB8B3110}" name="Column10626" dataDxfId="5759"/>
    <tableColumn id="10651" xr3:uid="{7DC4BB30-455A-4F7F-AE5E-087B8BBEEE49}" name="Column10627" dataDxfId="5758"/>
    <tableColumn id="10652" xr3:uid="{65FBA248-5784-40AF-9983-B4392D8143CE}" name="Column10628" dataDxfId="5757"/>
    <tableColumn id="10653" xr3:uid="{10DF6E9E-23E5-40D6-BB7D-F18347C53422}" name="Column10629" dataDxfId="5756"/>
    <tableColumn id="10654" xr3:uid="{A07A599E-EEAD-4634-B939-B7A4B39D69F1}" name="Column10630" dataDxfId="5755"/>
    <tableColumn id="10655" xr3:uid="{967938B2-A6CF-45D7-8F9F-4082BC290FF6}" name="Column10631" dataDxfId="5754"/>
    <tableColumn id="10656" xr3:uid="{11FF1ADA-23CE-4B65-BC14-3A80F3C44355}" name="Column10632" dataDxfId="5753"/>
    <tableColumn id="10657" xr3:uid="{4DFF51F3-1A53-41A5-8FE3-F5B595D631F2}" name="Column10633" dataDxfId="5752"/>
    <tableColumn id="10658" xr3:uid="{464B2533-5DB3-48FF-B269-C67014FCAE2F}" name="Column10634" dataDxfId="5751"/>
    <tableColumn id="10659" xr3:uid="{FC05D2F6-F5C2-414B-94FD-8F220497C140}" name="Column10635" dataDxfId="5750"/>
    <tableColumn id="10660" xr3:uid="{0A734E0B-E66C-4190-9D44-CEB79B5938E9}" name="Column10636" dataDxfId="5749"/>
    <tableColumn id="10661" xr3:uid="{550C8AEA-03E4-4266-92D3-53655964BCD0}" name="Column10637" dataDxfId="5748"/>
    <tableColumn id="10662" xr3:uid="{2E41938A-29ED-4364-869B-48CC6AF36A68}" name="Column10638" dataDxfId="5747"/>
    <tableColumn id="10663" xr3:uid="{32DA2288-C29D-44AE-B562-2CCDE8681A7D}" name="Column10639" dataDxfId="5746"/>
    <tableColumn id="10664" xr3:uid="{361717D5-DC13-4272-8471-77904724396B}" name="Column10640" dataDxfId="5745"/>
    <tableColumn id="10665" xr3:uid="{A4A37A96-5CD6-4EFD-BA65-3CEBFD2973FB}" name="Column10641" dataDxfId="5744"/>
    <tableColumn id="10666" xr3:uid="{557F0F3D-1FEC-427C-818D-AA1BEC76B97A}" name="Column10642" dataDxfId="5743"/>
    <tableColumn id="10667" xr3:uid="{E71062C6-9B13-40D2-AD8C-9C70FC331CFC}" name="Column10643" dataDxfId="5742"/>
    <tableColumn id="10668" xr3:uid="{5BB38402-7B4F-40FB-A47E-42DF4BAABF55}" name="Column10644" dataDxfId="5741"/>
    <tableColumn id="10669" xr3:uid="{60ADF1FE-E255-454A-891A-63ABF362A467}" name="Column10645" dataDxfId="5740"/>
    <tableColumn id="10670" xr3:uid="{D707C16D-5060-49CF-9DAE-853A3ED3721A}" name="Column10646" dataDxfId="5739"/>
    <tableColumn id="10671" xr3:uid="{DD597643-21E9-461E-8ED1-3DDF64776ABA}" name="Column10647" dataDxfId="5738"/>
    <tableColumn id="10672" xr3:uid="{5FEA2046-47B4-4538-979A-09E04BB1E062}" name="Column10648" dataDxfId="5737"/>
    <tableColumn id="10673" xr3:uid="{E4844B87-7919-4ACE-9434-A02A0F77AA1C}" name="Column10649" dataDxfId="5736"/>
    <tableColumn id="10674" xr3:uid="{7A1A0122-6ADC-490B-979D-A4FB889FFDB0}" name="Column10650" dataDxfId="5735"/>
    <tableColumn id="10675" xr3:uid="{D44BA5D8-57DB-48A6-AB2A-C520918522FC}" name="Column10651" dataDxfId="5734"/>
    <tableColumn id="10676" xr3:uid="{2DA4257E-8C34-4306-9EDB-581F0CE682CA}" name="Column10652" dataDxfId="5733"/>
    <tableColumn id="10677" xr3:uid="{DCB62522-3F5E-49F5-BA0B-1764AF6F062A}" name="Column10653" dataDxfId="5732"/>
    <tableColumn id="10678" xr3:uid="{88C448A1-EB88-495D-84E4-90AB334BBDDB}" name="Column10654" dataDxfId="5731"/>
    <tableColumn id="10679" xr3:uid="{508F87F1-6D7C-4E2A-9684-AC901D82E439}" name="Column10655" dataDxfId="5730"/>
    <tableColumn id="10680" xr3:uid="{989EBEBD-7F59-4AAD-A9B7-A491890BA7EB}" name="Column10656" dataDxfId="5729"/>
    <tableColumn id="10681" xr3:uid="{F885A4C7-13D8-483B-8352-EF37C14A546B}" name="Column10657" dataDxfId="5728"/>
    <tableColumn id="10682" xr3:uid="{39AB010D-8E5E-450B-9310-37D394E07763}" name="Column10658" dataDxfId="5727"/>
    <tableColumn id="10683" xr3:uid="{04849D02-8D55-418E-A5D8-8F63416A7AF1}" name="Column10659" dataDxfId="5726"/>
    <tableColumn id="10684" xr3:uid="{C4F8A236-9DE2-4ECC-8B14-A09A36807BD2}" name="Column10660" dataDxfId="5725"/>
    <tableColumn id="10685" xr3:uid="{870C6130-BD72-4979-A96D-DC50030695BA}" name="Column10661" dataDxfId="5724"/>
    <tableColumn id="10686" xr3:uid="{EA65EAB7-08FF-460F-B944-F3708884EDA6}" name="Column10662" dataDxfId="5723"/>
    <tableColumn id="10687" xr3:uid="{48913024-0D1A-4AAC-A6A2-BED3F6308FB2}" name="Column10663" dataDxfId="5722"/>
    <tableColumn id="10688" xr3:uid="{05450288-1C82-4E6A-AFA5-B9485E31ADCD}" name="Column10664" dataDxfId="5721"/>
    <tableColumn id="10689" xr3:uid="{F8C59A8E-C08E-4312-BA36-D67F804F3992}" name="Column10665" dataDxfId="5720"/>
    <tableColumn id="10690" xr3:uid="{DD43D961-1253-483A-B34B-7400CC931F52}" name="Column10666" dataDxfId="5719"/>
    <tableColumn id="10691" xr3:uid="{653456F3-FA93-4096-94AA-74A29347D78D}" name="Column10667" dataDxfId="5718"/>
    <tableColumn id="10692" xr3:uid="{D2F82F65-4895-46AF-A025-26BDE9D4CB89}" name="Column10668" dataDxfId="5717"/>
    <tableColumn id="10693" xr3:uid="{9E2D8700-680D-4F05-B86E-ECA63D2553CB}" name="Column10669" dataDxfId="5716"/>
    <tableColumn id="10694" xr3:uid="{64D11F66-85BA-47E7-8421-E320512920B4}" name="Column10670" dataDxfId="5715"/>
    <tableColumn id="10695" xr3:uid="{EFCA41AF-32C3-415B-B86B-BBBB01BF32B0}" name="Column10671" dataDxfId="5714"/>
    <tableColumn id="10696" xr3:uid="{22F466BE-7C9B-4E6B-9E28-4E6F51819F37}" name="Column10672" dataDxfId="5713"/>
    <tableColumn id="10697" xr3:uid="{F05CE3CC-8273-496F-8F3E-C21F80A6127A}" name="Column10673" dataDxfId="5712"/>
    <tableColumn id="10698" xr3:uid="{857C6127-89DA-40CF-A5BB-995842DCBAC6}" name="Column10674" dataDxfId="5711"/>
    <tableColumn id="10699" xr3:uid="{93573778-28CE-430C-9AE7-5E0C08ADB2E0}" name="Column10675" dataDxfId="5710"/>
    <tableColumn id="10700" xr3:uid="{E6999DF1-F047-42AB-B3FA-6946C51D361F}" name="Column10676" dataDxfId="5709"/>
    <tableColumn id="10701" xr3:uid="{F644C0ED-869A-46EB-BDFF-F58D7942D21D}" name="Column10677" dataDxfId="5708"/>
    <tableColumn id="10702" xr3:uid="{3961D914-5BFE-4E84-9B85-42A7F6ABA3D2}" name="Column10678" dataDxfId="5707"/>
    <tableColumn id="10703" xr3:uid="{F82EADB9-9BD0-4CA1-9925-9CF3B18A4453}" name="Column10679" dataDxfId="5706"/>
    <tableColumn id="10704" xr3:uid="{8395B65F-A933-428E-9479-4EC94F953DE8}" name="Column10680" dataDxfId="5705"/>
    <tableColumn id="10705" xr3:uid="{70456A74-9C35-4BFF-BD15-885C048EEF2E}" name="Column10681" dataDxfId="5704"/>
    <tableColumn id="10706" xr3:uid="{ABA46F44-069F-4823-9117-5190ECC02240}" name="Column10682" dataDxfId="5703"/>
    <tableColumn id="10707" xr3:uid="{E8061131-57D6-47FD-8A2B-54F8F1B1203B}" name="Column10683" dataDxfId="5702"/>
    <tableColumn id="10708" xr3:uid="{A586B383-3594-4C89-90AA-1D092E8EDE69}" name="Column10684" dataDxfId="5701"/>
    <tableColumn id="10709" xr3:uid="{69C9F701-3C58-4953-9E2D-4D0FBCBA0B39}" name="Column10685" dataDxfId="5700"/>
    <tableColumn id="10710" xr3:uid="{77D115C7-E14F-4FDB-8CD8-865CB590C61B}" name="Column10686" dataDxfId="5699"/>
    <tableColumn id="10711" xr3:uid="{362EAB70-D390-4B50-855D-C3BA7F8AF9E0}" name="Column10687" dataDxfId="5698"/>
    <tableColumn id="10712" xr3:uid="{D9292333-AE4C-41F8-A581-54F781A1DF7D}" name="Column10688" dataDxfId="5697"/>
    <tableColumn id="10713" xr3:uid="{3B593A3F-B602-4481-94CB-9C97776E27A5}" name="Column10689" dataDxfId="5696"/>
    <tableColumn id="10714" xr3:uid="{B7FDEA7D-325E-46F1-B3E6-3B6D93213A15}" name="Column10690" dataDxfId="5695"/>
    <tableColumn id="10715" xr3:uid="{4C1F3A7D-6910-4A84-BEA4-540A80584C85}" name="Column10691" dataDxfId="5694"/>
    <tableColumn id="10716" xr3:uid="{217BF64F-46A3-4663-9542-8232A18E080E}" name="Column10692" dataDxfId="5693"/>
    <tableColumn id="10717" xr3:uid="{0A677BDE-BA10-4777-8DA5-47A89A34F857}" name="Column10693" dataDxfId="5692"/>
    <tableColumn id="10718" xr3:uid="{DEC49353-EE8A-4A24-89EE-315F1357ADBC}" name="Column10694" dataDxfId="5691"/>
    <tableColumn id="10719" xr3:uid="{4A446484-258D-418E-B833-9191F8D24356}" name="Column10695" dataDxfId="5690"/>
    <tableColumn id="10720" xr3:uid="{3F7D4994-6A64-4D6B-8CB9-817482D408C4}" name="Column10696" dataDxfId="5689"/>
    <tableColumn id="10721" xr3:uid="{F8AB1939-7918-47BC-B8FC-880817DF862C}" name="Column10697" dataDxfId="5688"/>
    <tableColumn id="10722" xr3:uid="{CE864FD7-3E6D-434E-A857-18C9322AA0AF}" name="Column10698" dataDxfId="5687"/>
    <tableColumn id="10723" xr3:uid="{120588E5-EE9C-4BA5-AFE1-35006EDFDB93}" name="Column10699" dataDxfId="5686"/>
    <tableColumn id="10724" xr3:uid="{6FB1656A-D478-4C13-ABC7-2CA0FCC36CA5}" name="Column10700" dataDxfId="5685"/>
    <tableColumn id="10725" xr3:uid="{E7CDEBF0-65AC-45C8-BFC2-221A2570C44A}" name="Column10701" dataDxfId="5684"/>
    <tableColumn id="10726" xr3:uid="{F245C71B-43AE-4094-8F04-133E0F9872DD}" name="Column10702" dataDxfId="5683"/>
    <tableColumn id="10727" xr3:uid="{AC440C83-8A91-4221-B6AA-193F4DAC1F60}" name="Column10703" dataDxfId="5682"/>
    <tableColumn id="10728" xr3:uid="{2548C3FD-D26C-4081-83DF-8BB36D41FD03}" name="Column10704" dataDxfId="5681"/>
    <tableColumn id="10729" xr3:uid="{66029A02-BA95-41B6-9EBA-9FD92F75584C}" name="Column10705" dataDxfId="5680"/>
    <tableColumn id="10730" xr3:uid="{6E4D244E-9297-4C56-BAC1-857CCFC126BA}" name="Column10706" dataDxfId="5679"/>
    <tableColumn id="10731" xr3:uid="{D00259B6-4FC5-461D-96EA-163DBDAA828A}" name="Column10707" dataDxfId="5678"/>
    <tableColumn id="10732" xr3:uid="{FD0D09E3-1405-459A-875C-DBC7A605180A}" name="Column10708" dataDxfId="5677"/>
    <tableColumn id="10733" xr3:uid="{13B1855B-18E9-42C5-B77D-A9F1A514FFC2}" name="Column10709" dataDxfId="5676"/>
    <tableColumn id="10734" xr3:uid="{BE768D10-3546-440D-B64E-24771BADB0B3}" name="Column10710" dataDxfId="5675"/>
    <tableColumn id="10735" xr3:uid="{1B6DD1A3-E946-48CA-9E80-DF7A39D582BF}" name="Column10711" dataDxfId="5674"/>
    <tableColumn id="10736" xr3:uid="{3F906D30-2C13-4EBE-8D19-B0C9B3AE15EB}" name="Column10712" dataDxfId="5673"/>
    <tableColumn id="10737" xr3:uid="{D9FF21E1-9B41-456D-A70E-4D705B5321C9}" name="Column10713" dataDxfId="5672"/>
    <tableColumn id="10738" xr3:uid="{1AA3BC83-195D-49EB-892F-2CDE3C92B700}" name="Column10714" dataDxfId="5671"/>
    <tableColumn id="10739" xr3:uid="{D5CACA9E-96BC-4790-B71E-8609286DB3B9}" name="Column10715" dataDxfId="5670"/>
    <tableColumn id="10740" xr3:uid="{04971AA7-43BF-4F84-A7B2-1A96956DAD4E}" name="Column10716" dataDxfId="5669"/>
    <tableColumn id="10741" xr3:uid="{40494DE4-3B3B-49BA-9DF3-3A911186FA5E}" name="Column10717" dataDxfId="5668"/>
    <tableColumn id="10742" xr3:uid="{1A310E55-9B3C-4C60-A7F9-917AA0A68697}" name="Column10718" dataDxfId="5667"/>
    <tableColumn id="10743" xr3:uid="{CBC5D29B-FB54-46B7-AA2A-0C35F7612D0A}" name="Column10719" dataDxfId="5666"/>
    <tableColumn id="10744" xr3:uid="{E403F6FE-C3F1-4F81-85FF-BBABDA1A650D}" name="Column10720" dataDxfId="5665"/>
    <tableColumn id="10745" xr3:uid="{561DA485-6047-4472-A6B8-5FAAEDB45245}" name="Column10721" dataDxfId="5664"/>
    <tableColumn id="10746" xr3:uid="{6C511FD7-D938-424F-8501-D8CD6579F1F7}" name="Column10722" dataDxfId="5663"/>
    <tableColumn id="10747" xr3:uid="{4F81ECC3-D4B0-4D20-B8AF-B78405C1FD75}" name="Column10723" dataDxfId="5662"/>
    <tableColumn id="10748" xr3:uid="{16399BF9-2CF9-4BEE-9424-B30502ABB4A8}" name="Column10724" dataDxfId="5661"/>
    <tableColumn id="10749" xr3:uid="{34898F3C-5B84-4233-ABDA-69106D4D58B5}" name="Column10725" dataDxfId="5660"/>
    <tableColumn id="10750" xr3:uid="{F027A8E1-DC40-4886-AF61-AE7FA0913861}" name="Column10726" dataDxfId="5659"/>
    <tableColumn id="10751" xr3:uid="{55B93E8F-1DDA-445C-BDFE-D0AF858B3E1C}" name="Column10727" dataDxfId="5658"/>
    <tableColumn id="10752" xr3:uid="{F298AB9C-7376-4CB5-A267-0EBC85BC2793}" name="Column10728" dataDxfId="5657"/>
    <tableColumn id="10753" xr3:uid="{76467277-68E3-40BA-A895-040DE9EFF738}" name="Column10729" dataDxfId="5656"/>
    <tableColumn id="10754" xr3:uid="{FAE86AF1-713C-4D7C-980A-AF95BE2AC26A}" name="Column10730" dataDxfId="5655"/>
    <tableColumn id="10755" xr3:uid="{D1CF0A92-F82E-4771-BD55-C0B6AA127B16}" name="Column10731" dataDxfId="5654"/>
    <tableColumn id="10756" xr3:uid="{780A6E01-F458-41DB-BD91-7A8946A05804}" name="Column10732" dataDxfId="5653"/>
    <tableColumn id="10757" xr3:uid="{3977BC3D-59F7-4B7A-9C51-B34E9DC56FAB}" name="Column10733" dataDxfId="5652"/>
    <tableColumn id="10758" xr3:uid="{8A08E605-475B-43D2-891D-415555864A6F}" name="Column10734" dataDxfId="5651"/>
    <tableColumn id="10759" xr3:uid="{6321EF04-0ECB-4F47-AE06-2D364E5E360C}" name="Column10735" dataDxfId="5650"/>
    <tableColumn id="10760" xr3:uid="{962CD4F5-83C3-4337-87C1-DA7901BE9245}" name="Column10736" dataDxfId="5649"/>
    <tableColumn id="10761" xr3:uid="{809D7483-B0BE-4847-BBC9-08E349096A93}" name="Column10737" dataDxfId="5648"/>
    <tableColumn id="10762" xr3:uid="{40B75C22-A5D6-49F1-8755-AAA06F60A59C}" name="Column10738" dataDxfId="5647"/>
    <tableColumn id="10763" xr3:uid="{6E592572-503F-46CE-8231-4F65FA62B925}" name="Column10739" dataDxfId="5646"/>
    <tableColumn id="10764" xr3:uid="{6A42ECD2-3740-447E-8B2E-F96D9A50F566}" name="Column10740" dataDxfId="5645"/>
    <tableColumn id="10765" xr3:uid="{E830B67D-A913-41D3-AA1F-9F6B2742EAEC}" name="Column10741" dataDxfId="5644"/>
    <tableColumn id="10766" xr3:uid="{BA04D98B-7AB0-43F8-AFC3-EDD1E1AA0CD6}" name="Column10742" dataDxfId="5643"/>
    <tableColumn id="10767" xr3:uid="{806C02B0-0ADD-420C-834E-D7740D488B53}" name="Column10743" dataDxfId="5642"/>
    <tableColumn id="10768" xr3:uid="{1269AF49-D264-41E4-B4C0-C31092F29052}" name="Column10744" dataDxfId="5641"/>
    <tableColumn id="10769" xr3:uid="{7951CFF0-6134-43D2-AC28-F4044BAC650F}" name="Column10745" dataDxfId="5640"/>
    <tableColumn id="10770" xr3:uid="{C7CA6934-B4B8-4620-A6FD-61814CECCF63}" name="Column10746" dataDxfId="5639"/>
    <tableColumn id="10771" xr3:uid="{FC3CFF50-9F49-424F-8C46-843FD4CFA53F}" name="Column10747" dataDxfId="5638"/>
    <tableColumn id="10772" xr3:uid="{0720C7B2-10C7-4245-AC0E-848C928A13D7}" name="Column10748" dataDxfId="5637"/>
    <tableColumn id="10773" xr3:uid="{2A317C41-8A8E-492B-9446-F1019B9F8D15}" name="Column10749" dataDxfId="5636"/>
    <tableColumn id="10774" xr3:uid="{9DF6AFC7-455D-4E57-B3C2-235E4FCBC507}" name="Column10750" dataDxfId="5635"/>
    <tableColumn id="10775" xr3:uid="{3E874119-99D0-4A18-9DE3-DC52D2DC2761}" name="Column10751" dataDxfId="5634"/>
    <tableColumn id="10776" xr3:uid="{C3BAB506-6390-4642-80DA-CF8DAA354BEB}" name="Column10752" dataDxfId="5633"/>
    <tableColumn id="10777" xr3:uid="{EF91D4E0-0786-4CBC-AD4B-1DA6A29DB3AB}" name="Column10753" dataDxfId="5632"/>
    <tableColumn id="10778" xr3:uid="{4B7E463C-0DA1-49B6-B9AF-39B642FB92B6}" name="Column10754" dataDxfId="5631"/>
    <tableColumn id="10779" xr3:uid="{D3BD4203-2B9F-4D11-84F9-91F420473EB6}" name="Column10755" dataDxfId="5630"/>
    <tableColumn id="10780" xr3:uid="{0A269E83-7275-4363-93F4-E4AC90CC1F41}" name="Column10756" dataDxfId="5629"/>
    <tableColumn id="10781" xr3:uid="{10B04F5E-8DFB-4739-8E76-E29EDB40B4AC}" name="Column10757" dataDxfId="5628"/>
    <tableColumn id="10782" xr3:uid="{7C141683-8DEE-4286-AFDF-6C085270A3B3}" name="Column10758" dataDxfId="5627"/>
    <tableColumn id="10783" xr3:uid="{34B8F528-4AB1-40E9-8624-3A960B8D7B32}" name="Column10759" dataDxfId="5626"/>
    <tableColumn id="10784" xr3:uid="{17B11549-963E-4697-A326-CB8BC44C9AEE}" name="Column10760" dataDxfId="5625"/>
    <tableColumn id="10785" xr3:uid="{B75E9CB9-AFC3-47AA-8785-2004E83F2F85}" name="Column10761" dataDxfId="5624"/>
    <tableColumn id="10786" xr3:uid="{FE19D889-3F75-4DAA-885D-59EB98A4BB68}" name="Column10762" dataDxfId="5623"/>
    <tableColumn id="10787" xr3:uid="{D38C4652-1B0C-42F8-A073-4E0F4A0895A7}" name="Column10763" dataDxfId="5622"/>
    <tableColumn id="10788" xr3:uid="{66EBB58C-F303-45D3-93CE-C0C2514D4D52}" name="Column10764" dataDxfId="5621"/>
    <tableColumn id="10789" xr3:uid="{AF37564E-6DF6-4215-BEC2-16F597B05112}" name="Column10765" dataDxfId="5620"/>
    <tableColumn id="10790" xr3:uid="{F406DABC-CF23-4902-AAAC-E2F17DA2F7B8}" name="Column10766" dataDxfId="5619"/>
    <tableColumn id="10791" xr3:uid="{EC00B7AD-FA2D-49A7-8FF0-91B5AFF311C9}" name="Column10767" dataDxfId="5618"/>
    <tableColumn id="10792" xr3:uid="{9C3F496E-F91B-4B54-9E30-3E683101F331}" name="Column10768" dataDxfId="5617"/>
    <tableColumn id="10793" xr3:uid="{004BE4DD-9128-4183-931D-1A1E669C55E1}" name="Column10769" dataDxfId="5616"/>
    <tableColumn id="10794" xr3:uid="{CF030E6E-5068-449D-9C56-75217082F17C}" name="Column10770" dataDxfId="5615"/>
    <tableColumn id="10795" xr3:uid="{96842ADF-5964-443B-834B-D4554D82044F}" name="Column10771" dataDxfId="5614"/>
    <tableColumn id="10796" xr3:uid="{18CD4412-8B9A-4B41-B574-B694CCAEA9FE}" name="Column10772" dataDxfId="5613"/>
    <tableColumn id="10797" xr3:uid="{F0D90A75-4FB3-4B2A-86C4-6B61D1904A27}" name="Column10773" dataDxfId="5612"/>
    <tableColumn id="10798" xr3:uid="{C5594F0C-14F2-42B1-A015-DF11276BFA11}" name="Column10774" dataDxfId="5611"/>
    <tableColumn id="10799" xr3:uid="{F6D0CAA0-CF1E-4E68-B55A-FBB630FC4F59}" name="Column10775" dataDxfId="5610"/>
    <tableColumn id="10800" xr3:uid="{63D0F54F-A3D6-49DA-8722-C44465B5C816}" name="Column10776" dataDxfId="5609"/>
    <tableColumn id="10801" xr3:uid="{FE1B5A25-12F3-4845-9BB3-4570E8B15F1F}" name="Column10777" dataDxfId="5608"/>
    <tableColumn id="10802" xr3:uid="{85778A10-3DBA-4468-A04B-298C4E6804C6}" name="Column10778" dataDxfId="5607"/>
    <tableColumn id="10803" xr3:uid="{41B60D64-3E18-42AE-9B43-3C6700F0845D}" name="Column10779" dataDxfId="5606"/>
    <tableColumn id="10804" xr3:uid="{4EEB29A3-B13D-4A9F-887C-84873DC3EDAC}" name="Column10780" dataDxfId="5605"/>
    <tableColumn id="10805" xr3:uid="{53EC0798-BB0C-4334-B369-194C91B82B3B}" name="Column10781" dataDxfId="5604"/>
    <tableColumn id="10806" xr3:uid="{4A560B2C-CED7-4E65-BA99-769094E7B17F}" name="Column10782" dataDxfId="5603"/>
    <tableColumn id="10807" xr3:uid="{EBE0F21E-ED84-4B07-8F9D-93F7B73E78B0}" name="Column10783" dataDxfId="5602"/>
    <tableColumn id="10808" xr3:uid="{0C16DE0D-FD9B-4CD1-B489-C29C9523BDD0}" name="Column10784" dataDxfId="5601"/>
    <tableColumn id="10809" xr3:uid="{0F905B9F-683F-41B5-A5E6-AE8AF689DB88}" name="Column10785" dataDxfId="5600"/>
    <tableColumn id="10810" xr3:uid="{987D8BFF-FAD4-4B40-9111-CEB4C353E1C3}" name="Column10786" dataDxfId="5599"/>
    <tableColumn id="10811" xr3:uid="{2B638B3E-F525-40DA-81B6-283CE43B65FC}" name="Column10787" dataDxfId="5598"/>
    <tableColumn id="10812" xr3:uid="{C517214C-2085-4B2B-87FB-7DE6253BB227}" name="Column10788" dataDxfId="5597"/>
    <tableColumn id="10813" xr3:uid="{54408F6E-55C1-4D89-BC4E-631483A2C814}" name="Column10789" dataDxfId="5596"/>
    <tableColumn id="10814" xr3:uid="{8577BDFD-7D39-4086-BD7B-8151FFFADF46}" name="Column10790" dataDxfId="5595"/>
    <tableColumn id="10815" xr3:uid="{EAFE542A-13BE-484C-AB6F-5CEA77BB14FB}" name="Column10791" dataDxfId="5594"/>
    <tableColumn id="10816" xr3:uid="{2817FDE3-C88F-4CB4-B4B6-FCABAD0C1232}" name="Column10792" dataDxfId="5593"/>
    <tableColumn id="10817" xr3:uid="{98036F35-7912-4E04-AD88-8175936EBDA6}" name="Column10793" dataDxfId="5592"/>
    <tableColumn id="10818" xr3:uid="{01D1E645-48B9-41EE-AC6D-8D999FDBF8E8}" name="Column10794" dataDxfId="5591"/>
    <tableColumn id="10819" xr3:uid="{9BFE7CEF-F8DF-4607-8274-6F8B5C34ABCD}" name="Column10795" dataDxfId="5590"/>
    <tableColumn id="10820" xr3:uid="{3E186551-9E78-48B1-9704-FD8AC40BF3DB}" name="Column10796" dataDxfId="5589"/>
    <tableColumn id="10821" xr3:uid="{7D7D660F-72DD-4BD7-A3D6-D0546E74BCFD}" name="Column10797" dataDxfId="5588"/>
    <tableColumn id="10822" xr3:uid="{9B42E96D-68BC-41AB-9F69-66CB0FC9301C}" name="Column10798" dataDxfId="5587"/>
    <tableColumn id="10823" xr3:uid="{BBD20156-F09A-49DA-8E94-8A66384CCC22}" name="Column10799" dataDxfId="5586"/>
    <tableColumn id="10824" xr3:uid="{12FE251F-0CF9-46AD-AABA-8DC8DF2913CC}" name="Column10800" dataDxfId="5585"/>
    <tableColumn id="10825" xr3:uid="{51B2927D-481C-4437-8365-B59574B400C5}" name="Column10801" dataDxfId="5584"/>
    <tableColumn id="10826" xr3:uid="{EEB7D59C-DACE-475E-8198-A8DA3F7345D2}" name="Column10802" dataDxfId="5583"/>
    <tableColumn id="10827" xr3:uid="{3CE12A30-E22F-46FA-9AB1-96ED3BD0861B}" name="Column10803" dataDxfId="5582"/>
    <tableColumn id="10828" xr3:uid="{77473297-6FA3-4E8E-B018-376D0202FF8F}" name="Column10804" dataDxfId="5581"/>
    <tableColumn id="10829" xr3:uid="{7323AF9A-2DBD-4099-B09D-C93EF765E702}" name="Column10805" dataDxfId="5580"/>
    <tableColumn id="10830" xr3:uid="{516ECA7F-4C27-4EB5-8305-0EEA962D4AD2}" name="Column10806" dataDxfId="5579"/>
    <tableColumn id="10831" xr3:uid="{5C974D5B-DE27-40FD-9535-1B7783D3CBDB}" name="Column10807" dataDxfId="5578"/>
    <tableColumn id="10832" xr3:uid="{AE6DF5CA-5BE5-4C67-B9D3-3F4404C38D12}" name="Column10808" dataDxfId="5577"/>
    <tableColumn id="10833" xr3:uid="{F320F302-6DE9-41C5-BAFC-A94123CE4745}" name="Column10809" dataDxfId="5576"/>
    <tableColumn id="10834" xr3:uid="{E34BEB89-18CC-4687-AD86-F5E7320B0011}" name="Column10810" dataDxfId="5575"/>
    <tableColumn id="10835" xr3:uid="{008203A3-FFC1-4B3A-BA96-8245E25972AB}" name="Column10811" dataDxfId="5574"/>
    <tableColumn id="10836" xr3:uid="{AF58E2DA-8386-4B88-9BE8-5A24E8982AC6}" name="Column10812" dataDxfId="5573"/>
    <tableColumn id="10837" xr3:uid="{A8078F2D-2681-4658-ACE7-399319FCA4A6}" name="Column10813" dataDxfId="5572"/>
    <tableColumn id="10838" xr3:uid="{D11938CA-DDDD-4382-9E27-0C0EFD84973E}" name="Column10814" dataDxfId="5571"/>
    <tableColumn id="10839" xr3:uid="{221AA28F-3901-493C-892A-4971D74B0756}" name="Column10815" dataDxfId="5570"/>
    <tableColumn id="10840" xr3:uid="{B44BA834-1965-4F71-A614-273AA066621E}" name="Column10816" dataDxfId="5569"/>
    <tableColumn id="10841" xr3:uid="{B379405C-93DC-4FD1-A2A0-75EBA6CD0B29}" name="Column10817" dataDxfId="5568"/>
    <tableColumn id="10842" xr3:uid="{29FA5942-F10B-4D31-A293-F7F03293480B}" name="Column10818" dataDxfId="5567"/>
    <tableColumn id="10843" xr3:uid="{183FCD8F-57EA-4227-84BA-1666CB19D98C}" name="Column10819" dataDxfId="5566"/>
    <tableColumn id="10844" xr3:uid="{B1C2BF36-AE6B-48DE-A954-F62A2725B13C}" name="Column10820" dataDxfId="5565"/>
    <tableColumn id="10845" xr3:uid="{3F5B332A-AE29-4B87-99FB-CBE664AC7634}" name="Column10821" dataDxfId="5564"/>
    <tableColumn id="10846" xr3:uid="{B99F3C50-F7EF-4D2C-BABC-6E1B576304C7}" name="Column10822" dataDxfId="5563"/>
    <tableColumn id="10847" xr3:uid="{81BAF783-197C-40E8-88E8-C6AFA9B18D1E}" name="Column10823" dataDxfId="5562"/>
    <tableColumn id="10848" xr3:uid="{5B6528B4-5A26-46DE-8525-00ABAD08FACD}" name="Column10824" dataDxfId="5561"/>
    <tableColumn id="10849" xr3:uid="{274DFB74-AD22-40A8-A267-FA48C10D13A4}" name="Column10825" dataDxfId="5560"/>
    <tableColumn id="10850" xr3:uid="{8EC22F19-5635-4C82-87CA-DB0FEF1065AC}" name="Column10826" dataDxfId="5559"/>
    <tableColumn id="10851" xr3:uid="{C5A3DB35-01B5-41C6-977A-2C4D3A8C0341}" name="Column10827" dataDxfId="5558"/>
    <tableColumn id="10852" xr3:uid="{56D9AB91-5400-403D-B91A-B83F9FEE0FFE}" name="Column10828" dataDxfId="5557"/>
    <tableColumn id="10853" xr3:uid="{650FDD46-1007-490D-BA21-8E91ADD2A3CD}" name="Column10829" dataDxfId="5556"/>
    <tableColumn id="10854" xr3:uid="{ECB7C0E6-7F9C-47DB-BA7B-83F2EA978009}" name="Column10830" dataDxfId="5555"/>
    <tableColumn id="10855" xr3:uid="{1AEF1B8E-5629-4571-B814-C5D6A1F42C74}" name="Column10831" dataDxfId="5554"/>
    <tableColumn id="10856" xr3:uid="{360C88B1-5638-44AC-98DF-7DE3A12A5BB1}" name="Column10832" dataDxfId="5553"/>
    <tableColumn id="10857" xr3:uid="{61179E39-B9B2-41D8-938B-B42FC97A8C18}" name="Column10833" dataDxfId="5552"/>
    <tableColumn id="10858" xr3:uid="{644CF69A-7090-42F7-B42A-7E57D7F31E48}" name="Column10834" dataDxfId="5551"/>
    <tableColumn id="10859" xr3:uid="{CD237FB0-47F6-4276-856B-A761A66D985E}" name="Column10835" dataDxfId="5550"/>
    <tableColumn id="10860" xr3:uid="{7C4F72D4-1BB1-4B23-9F4E-2E8324B27BAC}" name="Column10836" dataDxfId="5549"/>
    <tableColumn id="10861" xr3:uid="{5633A880-4ED7-4F53-8303-6A73CCAED15A}" name="Column10837" dataDxfId="5548"/>
    <tableColumn id="10862" xr3:uid="{B047A21B-D102-4DD8-BD7D-2B517358B78D}" name="Column10838" dataDxfId="5547"/>
    <tableColumn id="10863" xr3:uid="{61962591-4B8A-4B80-8550-462FCF7C238C}" name="Column10839" dataDxfId="5546"/>
    <tableColumn id="10864" xr3:uid="{013ECE66-C15E-40ED-8943-1F20B914F983}" name="Column10840" dataDxfId="5545"/>
    <tableColumn id="10865" xr3:uid="{E7B18C3A-B0C5-46CB-84AE-51F8AD8BB2DE}" name="Column10841" dataDxfId="5544"/>
    <tableColumn id="10866" xr3:uid="{0A9326E2-C954-4BF9-A70F-D2B33CC0B2C2}" name="Column10842" dataDxfId="5543"/>
    <tableColumn id="10867" xr3:uid="{7E28E998-6A64-46CD-817C-575FA1C6D7CD}" name="Column10843" dataDxfId="5542"/>
    <tableColumn id="10868" xr3:uid="{7960DBE5-6FFF-493D-A913-9EB3AD0CC4A9}" name="Column10844" dataDxfId="5541"/>
    <tableColumn id="10869" xr3:uid="{E8B36F0D-186C-4376-86D1-3D607AC80487}" name="Column10845" dataDxfId="5540"/>
    <tableColumn id="10870" xr3:uid="{491235E6-BBFB-47C1-B9A7-CB4B50C9AB0D}" name="Column10846" dataDxfId="5539"/>
    <tableColumn id="10871" xr3:uid="{5EB6922A-7715-4B75-B8F4-EA9D600BB241}" name="Column10847" dataDxfId="5538"/>
    <tableColumn id="10872" xr3:uid="{4F7CED16-F06E-42B3-B315-19C80D8CA690}" name="Column10848" dataDxfId="5537"/>
    <tableColumn id="10873" xr3:uid="{D92CC00B-B6FD-4887-8825-AAD1A94D51E5}" name="Column10849" dataDxfId="5536"/>
    <tableColumn id="10874" xr3:uid="{61FD19E8-6FBC-421E-98F7-B2BEC592A3FD}" name="Column10850" dataDxfId="5535"/>
    <tableColumn id="10875" xr3:uid="{BE79B820-AB4D-4826-889A-1C91677F97B6}" name="Column10851" dataDxfId="5534"/>
    <tableColumn id="10876" xr3:uid="{32F6323B-11A0-40ED-97F7-57FCAE724BE3}" name="Column10852" dataDxfId="5533"/>
    <tableColumn id="10877" xr3:uid="{85D6F5CB-17AE-4475-A3BC-2D986C8432F1}" name="Column10853" dataDxfId="5532"/>
    <tableColumn id="10878" xr3:uid="{56679F2D-1114-4FBB-B25C-B455CF204B1E}" name="Column10854" dataDxfId="5531"/>
    <tableColumn id="10879" xr3:uid="{D73870DF-BD52-43D4-8DE0-D63788DE6DE7}" name="Column10855" dataDxfId="5530"/>
    <tableColumn id="10880" xr3:uid="{8E71FA64-AAD5-4EDB-A35D-0EFF288AC8C9}" name="Column10856" dataDxfId="5529"/>
    <tableColumn id="10881" xr3:uid="{ABB8329C-2742-4BA0-A745-DE5A183F96A4}" name="Column10857" dataDxfId="5528"/>
    <tableColumn id="10882" xr3:uid="{E03E0D84-4D03-4A6A-88B4-269481821F06}" name="Column10858" dataDxfId="5527"/>
    <tableColumn id="10883" xr3:uid="{A1D37BAB-704B-49B3-BFB5-DD9B7C7D0213}" name="Column10859" dataDxfId="5526"/>
    <tableColumn id="10884" xr3:uid="{6968B1F3-2F65-4DE9-AC8B-11BDEE955233}" name="Column10860" dataDxfId="5525"/>
    <tableColumn id="10885" xr3:uid="{E4600FFC-9DC4-42DA-97DE-994F621170CF}" name="Column10861" dataDxfId="5524"/>
    <tableColumn id="10886" xr3:uid="{F2EBE3CD-6344-43D9-AF84-36C74E771FF5}" name="Column10862" dataDxfId="5523"/>
    <tableColumn id="10887" xr3:uid="{2F83ED7E-29E8-4905-BEE9-6E5C8A5CBD7A}" name="Column10863" dataDxfId="5522"/>
    <tableColumn id="10888" xr3:uid="{61AF5DAA-5F61-4394-8E43-25200BA7917D}" name="Column10864" dataDxfId="5521"/>
    <tableColumn id="10889" xr3:uid="{D0ACECF9-4CD3-46DA-A3D4-B0DC5CC69A15}" name="Column10865" dataDxfId="5520"/>
    <tableColumn id="10890" xr3:uid="{23D8FAD7-9125-4879-87EC-CF5B91862125}" name="Column10866" dataDxfId="5519"/>
    <tableColumn id="10891" xr3:uid="{EB517B01-E378-4D9B-A166-E89C4CD2890F}" name="Column10867" dataDxfId="5518"/>
    <tableColumn id="10892" xr3:uid="{D4A47E86-B8D9-48F8-967F-91E16BD0D6B6}" name="Column10868" dataDxfId="5517"/>
    <tableColumn id="10893" xr3:uid="{F1633F2C-71A0-40FA-B2D2-6F6D5A8A4054}" name="Column10869" dataDxfId="5516"/>
    <tableColumn id="10894" xr3:uid="{36F64359-448A-4744-986C-A5B20C2D87EF}" name="Column10870" dataDxfId="5515"/>
    <tableColumn id="10895" xr3:uid="{F1A96829-A00A-473C-9536-B3AD8A9812BD}" name="Column10871" dataDxfId="5514"/>
    <tableColumn id="10896" xr3:uid="{037BF35A-6766-4CEC-B830-1C8164648D09}" name="Column10872" dataDxfId="5513"/>
    <tableColumn id="10897" xr3:uid="{E981ACDF-DC7B-48A9-B237-57FF12C4967D}" name="Column10873" dataDxfId="5512"/>
    <tableColumn id="10898" xr3:uid="{A0D1334A-4802-4F19-BA79-69C9A67C8588}" name="Column10874" dataDxfId="5511"/>
    <tableColumn id="10899" xr3:uid="{A6EABEBC-F2A1-4B23-A82C-7CFA0649D0C7}" name="Column10875" dataDxfId="5510"/>
    <tableColumn id="10900" xr3:uid="{9667BF25-C4AD-44A5-84B3-E471E89DAFFE}" name="Column10876" dataDxfId="5509"/>
    <tableColumn id="10901" xr3:uid="{2E11F2A1-D42A-4B54-9E85-B561BF5E9F10}" name="Column10877" dataDxfId="5508"/>
    <tableColumn id="10902" xr3:uid="{916DF03F-E551-4F64-BEB2-798E2976A8F9}" name="Column10878" dataDxfId="5507"/>
    <tableColumn id="10903" xr3:uid="{F92BFFE5-2C32-48C0-9A2F-A3B2549AA12C}" name="Column10879" dataDxfId="5506"/>
    <tableColumn id="10904" xr3:uid="{12652FDA-A31A-40C8-8298-F36C330662BA}" name="Column10880" dataDxfId="5505"/>
    <tableColumn id="10905" xr3:uid="{D0643091-5A80-422B-87D9-9AC8214E1E00}" name="Column10881" dataDxfId="5504"/>
    <tableColumn id="10906" xr3:uid="{39787CB6-A75A-417D-B3FB-065A08EDDA99}" name="Column10882" dataDxfId="5503"/>
    <tableColumn id="10907" xr3:uid="{A667B0B7-8173-41FD-9676-9C8D44111E69}" name="Column10883" dataDxfId="5502"/>
    <tableColumn id="10908" xr3:uid="{AC879492-71DA-4F0D-B8AD-E9539E8B4EFF}" name="Column10884" dataDxfId="5501"/>
    <tableColumn id="10909" xr3:uid="{84875DB7-A194-4463-B221-C5A9151811CD}" name="Column10885" dataDxfId="5500"/>
    <tableColumn id="10910" xr3:uid="{0441A210-8123-4C0B-9C99-0DBBAD5D2952}" name="Column10886" dataDxfId="5499"/>
    <tableColumn id="10911" xr3:uid="{B907DADA-C811-4957-94F5-C8DF173C7555}" name="Column10887" dataDxfId="5498"/>
    <tableColumn id="10912" xr3:uid="{78773E4A-4A00-45EA-A7C2-08E306F3633A}" name="Column10888" dataDxfId="5497"/>
    <tableColumn id="10913" xr3:uid="{3A44459D-2363-4E5B-A596-FB4A31624B9E}" name="Column10889" dataDxfId="5496"/>
    <tableColumn id="10914" xr3:uid="{475011C1-A4C1-4F05-B2B3-CC02830AA72C}" name="Column10890" dataDxfId="5495"/>
    <tableColumn id="10915" xr3:uid="{58DADE98-A2D9-42E4-9BE4-36F15D5C4AC1}" name="Column10891" dataDxfId="5494"/>
    <tableColumn id="10916" xr3:uid="{72C2E85C-B5F6-4B91-A57B-502FF6AC3C7A}" name="Column10892" dataDxfId="5493"/>
    <tableColumn id="10917" xr3:uid="{E9E4D52B-3C31-426F-A9F8-3465CACB921C}" name="Column10893" dataDxfId="5492"/>
    <tableColumn id="10918" xr3:uid="{47516495-2E38-4989-8525-72E434542EEF}" name="Column10894" dataDxfId="5491"/>
    <tableColumn id="10919" xr3:uid="{AB024F20-1D8B-4A34-98FD-CF9024ECF133}" name="Column10895" dataDxfId="5490"/>
    <tableColumn id="10920" xr3:uid="{5D8E71DC-DBE7-46F9-8320-23D08DD9957F}" name="Column10896" dataDxfId="5489"/>
    <tableColumn id="10921" xr3:uid="{90484002-CB41-4BA9-A810-51350F72F8CE}" name="Column10897" dataDxfId="5488"/>
    <tableColumn id="10922" xr3:uid="{38EF4FC3-8ACE-46CB-B728-109EE14E7BF0}" name="Column10898" dataDxfId="5487"/>
    <tableColumn id="10923" xr3:uid="{303AF596-702D-4838-B873-F4A6B4318DC0}" name="Column10899" dataDxfId="5486"/>
    <tableColumn id="10924" xr3:uid="{63EC5B43-0A7F-4C49-A302-DB4E051113A0}" name="Column10900" dataDxfId="5485"/>
    <tableColumn id="10925" xr3:uid="{62EAD95B-AA90-4426-A740-ED4DB2E5DB81}" name="Column10901" dataDxfId="5484"/>
    <tableColumn id="10926" xr3:uid="{E04E45CE-ED8B-498E-9D44-B1ED0E2F79C3}" name="Column10902" dataDxfId="5483"/>
    <tableColumn id="10927" xr3:uid="{5B3E6C8F-832F-4C08-B160-B5D6F5C88DC9}" name="Column10903" dataDxfId="5482"/>
    <tableColumn id="10928" xr3:uid="{61340EF1-7474-48FF-B85F-4506D1FE859E}" name="Column10904" dataDxfId="5481"/>
    <tableColumn id="10929" xr3:uid="{3F03043E-85C5-4CC2-9EB1-BDEA167D23DA}" name="Column10905" dataDxfId="5480"/>
    <tableColumn id="10930" xr3:uid="{2640B85A-0699-42F7-A41F-AB8468FB817C}" name="Column10906" dataDxfId="5479"/>
    <tableColumn id="10931" xr3:uid="{FF12D4F7-D04E-47F6-9D6E-E4BC92D37A3D}" name="Column10907" dataDxfId="5478"/>
    <tableColumn id="10932" xr3:uid="{83A77BC3-8E47-4641-89BE-C97B385BE7EE}" name="Column10908" dataDxfId="5477"/>
    <tableColumn id="10933" xr3:uid="{0FFA42BE-433B-408F-8DD8-C28472F0C9B9}" name="Column10909" dataDxfId="5476"/>
    <tableColumn id="10934" xr3:uid="{48A0FDAF-2E51-4872-9A55-D61C2C373FFD}" name="Column10910" dataDxfId="5475"/>
    <tableColumn id="10935" xr3:uid="{B3361CD9-4B53-428D-A7CC-C70402827B8F}" name="Column10911" dataDxfId="5474"/>
    <tableColumn id="10936" xr3:uid="{82AD85F6-F9A2-4BBD-B723-C02FBE36D327}" name="Column10912" dataDxfId="5473"/>
    <tableColumn id="10937" xr3:uid="{86B1B69D-6521-409A-898C-E94B26A07098}" name="Column10913" dataDxfId="5472"/>
    <tableColumn id="10938" xr3:uid="{8C4132E3-246D-4E08-A90C-E7A8B7EB1E46}" name="Column10914" dataDxfId="5471"/>
    <tableColumn id="10939" xr3:uid="{9F194CE8-A5C2-441D-9F90-590B7B72F1AE}" name="Column10915" dataDxfId="5470"/>
    <tableColumn id="10940" xr3:uid="{8163B15B-E5D4-4EFE-819D-FDF85A6D2088}" name="Column10916" dataDxfId="5469"/>
    <tableColumn id="10941" xr3:uid="{456478C3-FEC5-4494-96BB-B27EDED2C3F6}" name="Column10917" dataDxfId="5468"/>
    <tableColumn id="10942" xr3:uid="{829F7EBA-A07F-46EB-AA95-CF199EFDBB18}" name="Column10918" dataDxfId="5467"/>
    <tableColumn id="10943" xr3:uid="{5E4987F0-1B62-4F9C-8875-C7275999C844}" name="Column10919" dataDxfId="5466"/>
    <tableColumn id="10944" xr3:uid="{CD89EFD0-F9F9-43CC-8202-BD8CD8F0452D}" name="Column10920" dataDxfId="5465"/>
    <tableColumn id="10945" xr3:uid="{10F4434B-E28F-4F68-8BB6-B826C1E08B2E}" name="Column10921" dataDxfId="5464"/>
    <tableColumn id="10946" xr3:uid="{2C196D96-E33D-4357-B905-00BAC57531A4}" name="Column10922" dataDxfId="5463"/>
    <tableColumn id="10947" xr3:uid="{D530A6C0-BE91-49C7-BFBC-DCFB95E8295F}" name="Column10923" dataDxfId="5462"/>
    <tableColumn id="10948" xr3:uid="{5C16B799-F113-44F8-AE3B-00F7A44ACFFE}" name="Column10924" dataDxfId="5461"/>
    <tableColumn id="10949" xr3:uid="{29A72671-9D0B-40C6-A5DE-8416F78DCD7B}" name="Column10925" dataDxfId="5460"/>
    <tableColumn id="10950" xr3:uid="{2F6E8DC6-0351-4DA9-A178-EBA27721B81F}" name="Column10926" dataDxfId="5459"/>
    <tableColumn id="10951" xr3:uid="{FB8D9333-5F37-495F-BC16-43B0A902CD22}" name="Column10927" dataDxfId="5458"/>
    <tableColumn id="10952" xr3:uid="{4001F9BA-660B-4A27-A851-C75B1BC019B7}" name="Column10928" dataDxfId="5457"/>
    <tableColumn id="10953" xr3:uid="{DAE373A9-4E81-4F9A-B834-7E5DDE177682}" name="Column10929" dataDxfId="5456"/>
    <tableColumn id="10954" xr3:uid="{F34FDA20-1C94-4FB0-AF45-ACDB966951DD}" name="Column10930" dataDxfId="5455"/>
    <tableColumn id="10955" xr3:uid="{EC2D5319-F048-4CE6-80A8-BEB6BEAAA425}" name="Column10931" dataDxfId="5454"/>
    <tableColumn id="10956" xr3:uid="{CF757993-BA2D-488D-A105-DDFC0BB67327}" name="Column10932" dataDxfId="5453"/>
    <tableColumn id="10957" xr3:uid="{EA5CC0CB-A347-44FB-A5B1-C2155D1BDDC1}" name="Column10933" dataDxfId="5452"/>
    <tableColumn id="10958" xr3:uid="{DB630ACE-11DE-406F-8AEE-492FBC01EF58}" name="Column10934" dataDxfId="5451"/>
    <tableColumn id="10959" xr3:uid="{C0FB206E-58D4-4F07-AE19-2596E4E6EA1D}" name="Column10935" dataDxfId="5450"/>
    <tableColumn id="10960" xr3:uid="{D8EDC81D-D380-4111-BF5C-1787A793390D}" name="Column10936" dataDxfId="5449"/>
    <tableColumn id="10961" xr3:uid="{FD80CA23-2008-4095-919E-CBB9612FD634}" name="Column10937" dataDxfId="5448"/>
    <tableColumn id="10962" xr3:uid="{266D9DB8-6DF9-4EE1-A318-38212B277115}" name="Column10938" dataDxfId="5447"/>
    <tableColumn id="10963" xr3:uid="{92C0FC99-81A0-49D0-A791-B2F20F376967}" name="Column10939" dataDxfId="5446"/>
    <tableColumn id="10964" xr3:uid="{183A852C-A4DE-4F89-A14E-B71945B43749}" name="Column10940" dataDxfId="5445"/>
    <tableColumn id="10965" xr3:uid="{DE1F8EB0-DB4C-4B70-A803-B05843834A46}" name="Column10941" dataDxfId="5444"/>
    <tableColumn id="10966" xr3:uid="{46C5AB34-B822-4953-8FBA-97F6C51341BD}" name="Column10942" dataDxfId="5443"/>
    <tableColumn id="10967" xr3:uid="{B44CBB11-0F3D-4F9B-8BCB-6DDC1DCBEA76}" name="Column10943" dataDxfId="5442"/>
    <tableColumn id="10968" xr3:uid="{5926AEFC-F86D-4FEC-979A-FDBA4D3187CE}" name="Column10944" dataDxfId="5441"/>
    <tableColumn id="10969" xr3:uid="{6E4B729C-1BCB-4811-9789-0E4486E78E37}" name="Column10945" dataDxfId="5440"/>
    <tableColumn id="10970" xr3:uid="{D953980E-21F7-4A7C-B56E-923B3722307C}" name="Column10946" dataDxfId="5439"/>
    <tableColumn id="10971" xr3:uid="{03ED034E-4292-47D0-AF5F-D5B1FFDEED00}" name="Column10947" dataDxfId="5438"/>
    <tableColumn id="10972" xr3:uid="{ECACE2B9-594A-478D-B28C-4B4ADFBD0042}" name="Column10948" dataDxfId="5437"/>
    <tableColumn id="10973" xr3:uid="{98574A40-68DB-4FDD-9A5B-39DE016BC8E7}" name="Column10949" dataDxfId="5436"/>
    <tableColumn id="10974" xr3:uid="{732A5D02-9707-44E3-B7E7-C247DAA04E89}" name="Column10950" dataDxfId="5435"/>
    <tableColumn id="10975" xr3:uid="{BFFAB34D-4F58-4FDD-BB0D-739472B06F29}" name="Column10951" dataDxfId="5434"/>
    <tableColumn id="10976" xr3:uid="{78B2B17C-3B93-4F1B-A805-C50D0B4339A4}" name="Column10952" dataDxfId="5433"/>
    <tableColumn id="10977" xr3:uid="{53BE774D-AAF9-4792-9DA8-60FB312D1DAF}" name="Column10953" dataDxfId="5432"/>
    <tableColumn id="10978" xr3:uid="{BD8745B7-3F21-4D10-BE41-EBC56BD126FA}" name="Column10954" dataDxfId="5431"/>
    <tableColumn id="10979" xr3:uid="{919F34D3-9DCD-41C2-8533-2661E248C015}" name="Column10955" dataDxfId="5430"/>
    <tableColumn id="10980" xr3:uid="{B017071F-AF05-423D-B5E4-0792E253D1CE}" name="Column10956" dataDxfId="5429"/>
    <tableColumn id="10981" xr3:uid="{0370A248-75C4-4510-BDC6-1A7B94CEA09D}" name="Column10957" dataDxfId="5428"/>
    <tableColumn id="10982" xr3:uid="{129B8B2B-913A-4C9A-ACB2-1F5AAEEA3A76}" name="Column10958" dataDxfId="5427"/>
    <tableColumn id="10983" xr3:uid="{78917E18-86E2-4051-957D-5D5F966BA756}" name="Column10959" dataDxfId="5426"/>
    <tableColumn id="10984" xr3:uid="{FE387506-C679-4374-BB0D-FF41FE9CF95A}" name="Column10960" dataDxfId="5425"/>
    <tableColumn id="10985" xr3:uid="{79F4F42D-BBE3-4B81-A44E-AE6782A9DEDA}" name="Column10961" dataDxfId="5424"/>
    <tableColumn id="10986" xr3:uid="{BF2F672E-338C-49D7-8D61-FB296A35C236}" name="Column10962" dataDxfId="5423"/>
    <tableColumn id="10987" xr3:uid="{1989CF0D-81D0-4E83-9C57-164DD237F6F8}" name="Column10963" dataDxfId="5422"/>
    <tableColumn id="10988" xr3:uid="{DDDAA82D-0EA4-4DEE-BD3F-7B5C484FC388}" name="Column10964" dataDxfId="5421"/>
    <tableColumn id="10989" xr3:uid="{3C95524F-4D80-47A9-A181-A0D8E36A2ACC}" name="Column10965" dataDxfId="5420"/>
    <tableColumn id="10990" xr3:uid="{D2995474-562B-4943-AC35-F1FD3C01990C}" name="Column10966" dataDxfId="5419"/>
    <tableColumn id="10991" xr3:uid="{3CDFFE49-9837-4F2F-81A4-087CB37914F4}" name="Column10967" dataDxfId="5418"/>
    <tableColumn id="10992" xr3:uid="{263838AE-38B1-4E75-9DAF-6CBEA075835E}" name="Column10968" dataDxfId="5417"/>
    <tableColumn id="10993" xr3:uid="{2C725814-C1D7-494F-B1FD-8D702B541B9C}" name="Column10969" dataDxfId="5416"/>
    <tableColumn id="10994" xr3:uid="{17272313-6B7C-483B-9C7D-6C885EA7B36B}" name="Column10970" dataDxfId="5415"/>
    <tableColumn id="10995" xr3:uid="{2E4F16F0-0D4C-4DE5-955A-4D88E1AF4A93}" name="Column10971" dataDxfId="5414"/>
    <tableColumn id="10996" xr3:uid="{3244707F-0DD3-4DC4-BAD4-310E86C47F1F}" name="Column10972" dataDxfId="5413"/>
    <tableColumn id="10997" xr3:uid="{4C16E599-FBDD-4773-A35A-E5336C8DE71C}" name="Column10973" dataDxfId="5412"/>
    <tableColumn id="10998" xr3:uid="{F79E8E83-37ED-4C57-98F7-70C44D1026E9}" name="Column10974" dataDxfId="5411"/>
    <tableColumn id="10999" xr3:uid="{B87AB480-04EF-4F8B-A139-AFD2E3E18CDB}" name="Column10975" dataDxfId="5410"/>
    <tableColumn id="11000" xr3:uid="{19B6171B-39E8-4490-916E-1FD8F7C742E9}" name="Column10976" dataDxfId="5409"/>
    <tableColumn id="11001" xr3:uid="{DAB3DFA3-13DF-4497-A4A3-3424CD006A52}" name="Column10977" dataDxfId="5408"/>
    <tableColumn id="11002" xr3:uid="{B7169C3D-DC05-4EF5-A313-5B5EFB50731A}" name="Column10978" dataDxfId="5407"/>
    <tableColumn id="11003" xr3:uid="{CE7AE880-2E8F-4890-B256-D2643347A001}" name="Column10979" dataDxfId="5406"/>
    <tableColumn id="11004" xr3:uid="{9EB2F5EA-53F3-4D17-8359-B11F698DEF31}" name="Column10980" dataDxfId="5405"/>
    <tableColumn id="11005" xr3:uid="{6A7B8CA8-D5AE-485A-BD43-940FCDB9619D}" name="Column10981" dataDxfId="5404"/>
    <tableColumn id="11006" xr3:uid="{26B4E4A4-BDC6-488C-AADF-81F99266990B}" name="Column10982" dataDxfId="5403"/>
    <tableColumn id="11007" xr3:uid="{B8433938-1B84-45AC-BFAB-8335A3B9BD83}" name="Column10983" dataDxfId="5402"/>
    <tableColumn id="11008" xr3:uid="{92EA25F9-34FC-4C4A-A950-5507D167B11B}" name="Column10984" dataDxfId="5401"/>
    <tableColumn id="11009" xr3:uid="{D0C47E28-BB40-4608-AE9F-1747A07DE488}" name="Column10985" dataDxfId="5400"/>
    <tableColumn id="11010" xr3:uid="{F02F3515-2903-4F26-AF53-CB768E63ACAE}" name="Column10986" dataDxfId="5399"/>
    <tableColumn id="11011" xr3:uid="{6978D7E4-8B17-4E0E-A752-0A0C55B223BB}" name="Column10987" dataDxfId="5398"/>
    <tableColumn id="11012" xr3:uid="{5718DD56-E546-4EC3-94CB-2260ED42E419}" name="Column10988" dataDxfId="5397"/>
    <tableColumn id="11013" xr3:uid="{7229DCDE-ED6A-480E-95E1-9FA14003FB60}" name="Column10989" dataDxfId="5396"/>
    <tableColumn id="11014" xr3:uid="{0D535C41-B153-479A-9FBE-C66985F24FF6}" name="Column10990" dataDxfId="5395"/>
    <tableColumn id="11015" xr3:uid="{41B878BE-1CBF-4ACA-A197-AC76AA9A7A88}" name="Column10991" dataDxfId="5394"/>
    <tableColumn id="11016" xr3:uid="{91D8A6E3-50FA-4BED-B93D-4B37461B9177}" name="Column10992" dataDxfId="5393"/>
    <tableColumn id="11017" xr3:uid="{B52E588D-1605-4F0A-97F5-B9B7DC552605}" name="Column10993" dataDxfId="5392"/>
    <tableColumn id="11018" xr3:uid="{0455DDCC-EAE4-46FC-90AE-D3955FC2FC40}" name="Column10994" dataDxfId="5391"/>
    <tableColumn id="11019" xr3:uid="{BB2981A3-B494-432A-91CD-665198F27573}" name="Column10995" dataDxfId="5390"/>
    <tableColumn id="11020" xr3:uid="{08764566-8825-4D54-818D-FF919D7E1003}" name="Column10996" dataDxfId="5389"/>
    <tableColumn id="11021" xr3:uid="{FE75FC6C-1F7B-4633-85E5-ACFB190A665A}" name="Column10997" dataDxfId="5388"/>
    <tableColumn id="11022" xr3:uid="{937EFE87-3207-478A-8587-476E4FA4E9E3}" name="Column10998" dataDxfId="5387"/>
    <tableColumn id="11023" xr3:uid="{EE6A986B-D03F-4795-BEAD-9651D9447EA2}" name="Column10999" dataDxfId="5386"/>
    <tableColumn id="11024" xr3:uid="{6186949E-98E5-4EE3-ADC2-BA3188A25A91}" name="Column11000" dataDxfId="5385"/>
    <tableColumn id="11025" xr3:uid="{615402A4-BDB6-4BF6-A620-8B6D35EA0A0F}" name="Column11001" dataDxfId="5384"/>
    <tableColumn id="11026" xr3:uid="{0E7F719C-590E-4969-84D5-60CB0CFA1880}" name="Column11002" dataDxfId="5383"/>
    <tableColumn id="11027" xr3:uid="{280DAC55-5F6A-4DD8-9650-72DC865BDD74}" name="Column11003" dataDxfId="5382"/>
    <tableColumn id="11028" xr3:uid="{252D6584-51CC-4FA5-9CB0-E5DF535E80E7}" name="Column11004" dataDxfId="5381"/>
    <tableColumn id="11029" xr3:uid="{B050206C-20D4-4673-A094-E80DB0DEF49B}" name="Column11005" dataDxfId="5380"/>
    <tableColumn id="11030" xr3:uid="{0C1CBB7D-C3F0-4348-9BB0-D34D0D47C0DE}" name="Column11006" dataDxfId="5379"/>
    <tableColumn id="11031" xr3:uid="{1F399D1A-FB28-4EB2-B067-56164B7FCE58}" name="Column11007" dataDxfId="5378"/>
    <tableColumn id="11032" xr3:uid="{B91613CB-491C-4FDF-A3A6-061963278073}" name="Column11008" dataDxfId="5377"/>
    <tableColumn id="11033" xr3:uid="{02D372DE-16AB-419B-9598-D21B97FBD368}" name="Column11009" dataDxfId="5376"/>
    <tableColumn id="11034" xr3:uid="{C376A38B-B442-4780-8E8A-C8C94C592FF5}" name="Column11010" dataDxfId="5375"/>
    <tableColumn id="11035" xr3:uid="{3CEA5069-5DA7-469A-95B7-7E0A80053C5D}" name="Column11011" dataDxfId="5374"/>
    <tableColumn id="11036" xr3:uid="{D9628802-DB93-458B-90FF-B78D78FAB7CD}" name="Column11012" dataDxfId="5373"/>
    <tableColumn id="11037" xr3:uid="{AB195CA7-2297-42AB-8051-2F0F2AEF5A24}" name="Column11013" dataDxfId="5372"/>
    <tableColumn id="11038" xr3:uid="{313487BF-98B7-4E27-B903-70C15D1F8C42}" name="Column11014" dataDxfId="5371"/>
    <tableColumn id="11039" xr3:uid="{D6E8D6B2-0292-4E00-AB8E-DC72A510255E}" name="Column11015" dataDxfId="5370"/>
    <tableColumn id="11040" xr3:uid="{3C393228-CE3D-4223-BBEC-AFB2B9FFA190}" name="Column11016" dataDxfId="5369"/>
    <tableColumn id="11041" xr3:uid="{B36B20AA-2C6A-44DD-AD4B-D4D4838C2B7D}" name="Column11017" dataDxfId="5368"/>
    <tableColumn id="11042" xr3:uid="{A9799AB9-8052-482A-BE6A-DAEA3F5BB806}" name="Column11018" dataDxfId="5367"/>
    <tableColumn id="11043" xr3:uid="{6CD87905-46B5-4D3E-8626-32FF661ACA80}" name="Column11019" dataDxfId="5366"/>
    <tableColumn id="11044" xr3:uid="{DD1D7C98-8EE0-4282-9852-0C8A432673D4}" name="Column11020" dataDxfId="5365"/>
    <tableColumn id="11045" xr3:uid="{FC281D8B-2865-4532-8B01-12D4C7466294}" name="Column11021" dataDxfId="5364"/>
    <tableColumn id="11046" xr3:uid="{EFF8437C-151A-4EFA-8EDD-4BC4548D1B70}" name="Column11022" dataDxfId="5363"/>
    <tableColumn id="11047" xr3:uid="{3F1B1DA4-2ABA-4E48-94E5-982406ADB078}" name="Column11023" dataDxfId="5362"/>
    <tableColumn id="11048" xr3:uid="{DA9FDE6F-85F9-49AD-8030-CFAD8471017C}" name="Column11024" dataDxfId="5361"/>
    <tableColumn id="11049" xr3:uid="{675FC866-BBFB-4577-9D65-CF6B0367E55C}" name="Column11025" dataDxfId="5360"/>
    <tableColumn id="11050" xr3:uid="{87F9AFC3-8CC1-4699-8A97-BAD83F83989C}" name="Column11026" dataDxfId="5359"/>
    <tableColumn id="11051" xr3:uid="{EFDCA5AE-7404-4A99-8ADD-F32DA751CC4E}" name="Column11027" dataDxfId="5358"/>
    <tableColumn id="11052" xr3:uid="{FC0C28E4-3397-473C-A6C0-6690A7D54033}" name="Column11028" dataDxfId="5357"/>
    <tableColumn id="11053" xr3:uid="{B68E84D5-6F72-46BE-8C54-76423E4C8471}" name="Column11029" dataDxfId="5356"/>
    <tableColumn id="11054" xr3:uid="{C62FC483-D014-408F-B756-32A72E8DA3A3}" name="Column11030" dataDxfId="5355"/>
    <tableColumn id="11055" xr3:uid="{DBA4519D-542E-436C-85B1-AF21501CF8B1}" name="Column11031" dataDxfId="5354"/>
    <tableColumn id="11056" xr3:uid="{ADAD2CAF-360B-463C-B273-2992E803DBC9}" name="Column11032" dataDxfId="5353"/>
    <tableColumn id="11057" xr3:uid="{6EEACD6F-8A6B-49EB-A60D-3952018B24B9}" name="Column11033" dataDxfId="5352"/>
    <tableColumn id="11058" xr3:uid="{A6780E52-84DA-4781-A9AA-8164162CBF2A}" name="Column11034" dataDxfId="5351"/>
    <tableColumn id="11059" xr3:uid="{DCE80FAF-4440-43C7-B136-CFE3C19F3564}" name="Column11035" dataDxfId="5350"/>
    <tableColumn id="11060" xr3:uid="{25C6F716-03EE-414E-94DD-CC6E4DE85984}" name="Column11036" dataDxfId="5349"/>
    <tableColumn id="11061" xr3:uid="{E5A596F4-EC42-4F72-A161-1F6F3C29CAFE}" name="Column11037" dataDxfId="5348"/>
    <tableColumn id="11062" xr3:uid="{7D1CCDAC-6D1D-4B7F-BA6C-4DFE4F94A802}" name="Column11038" dataDxfId="5347"/>
    <tableColumn id="11063" xr3:uid="{164BAB2E-7469-406B-8B0C-7D06022D2C84}" name="Column11039" dataDxfId="5346"/>
    <tableColumn id="11064" xr3:uid="{C502B5FF-5E7A-42E5-9A0F-0ACB07A1C776}" name="Column11040" dataDxfId="5345"/>
    <tableColumn id="11065" xr3:uid="{B4277D20-684A-4DA9-9D87-7913835A6B86}" name="Column11041" dataDxfId="5344"/>
    <tableColumn id="11066" xr3:uid="{DAB53F69-77D9-4122-A1BA-5D91C43D2E51}" name="Column11042" dataDxfId="5343"/>
    <tableColumn id="11067" xr3:uid="{FE593DE6-01DD-44BA-9D8A-777CEDDB7DFB}" name="Column11043" dataDxfId="5342"/>
    <tableColumn id="11068" xr3:uid="{E4ED6D61-9CAE-4347-B0C6-3C82E76B6AD8}" name="Column11044" dataDxfId="5341"/>
    <tableColumn id="11069" xr3:uid="{410BD8E4-C608-400F-937E-1B8C39435889}" name="Column11045" dataDxfId="5340"/>
    <tableColumn id="11070" xr3:uid="{32103FA0-1424-4C0F-AD40-E3515198F7F0}" name="Column11046" dataDxfId="5339"/>
    <tableColumn id="11071" xr3:uid="{23B0729A-3262-47B5-90A0-BCFE349D4669}" name="Column11047" dataDxfId="5338"/>
    <tableColumn id="11072" xr3:uid="{441DA651-763E-4CAF-93C7-C46B747EEC44}" name="Column11048" dataDxfId="5337"/>
    <tableColumn id="11073" xr3:uid="{B6B2D07A-46A0-4360-A87A-428086DEF137}" name="Column11049" dataDxfId="5336"/>
    <tableColumn id="11074" xr3:uid="{EE88DB34-8CE5-47B8-ADCB-F84780EE44C4}" name="Column11050" dataDxfId="5335"/>
    <tableColumn id="11075" xr3:uid="{969B0DD8-470A-4BC1-A94F-BDFE6EF8CD25}" name="Column11051" dataDxfId="5334"/>
    <tableColumn id="11076" xr3:uid="{C17609E8-402A-4AC1-AC8C-0FA8CD60AAAF}" name="Column11052" dataDxfId="5333"/>
    <tableColumn id="11077" xr3:uid="{1B1B4296-22F7-451D-99BB-F9B66534A918}" name="Column11053" dataDxfId="5332"/>
    <tableColumn id="11078" xr3:uid="{40A3C0E3-B1C6-451F-9FDC-0312827C7949}" name="Column11054" dataDxfId="5331"/>
    <tableColumn id="11079" xr3:uid="{A34E9646-E604-4A70-8AC3-3ABDE4B40616}" name="Column11055" dataDxfId="5330"/>
    <tableColumn id="11080" xr3:uid="{C6DD3128-2C8A-40BE-8D53-424883AEC169}" name="Column11056" dataDxfId="5329"/>
    <tableColumn id="11081" xr3:uid="{423052B3-B821-4182-89B6-8594EC95C70E}" name="Column11057" dataDxfId="5328"/>
    <tableColumn id="11082" xr3:uid="{D590EBA3-15E3-46CA-983E-4E8747CAA8B3}" name="Column11058" dataDxfId="5327"/>
    <tableColumn id="11083" xr3:uid="{625C0DB6-A42F-48E9-8CF6-053DFD2F10F1}" name="Column11059" dataDxfId="5326"/>
    <tableColumn id="11084" xr3:uid="{E98D28D6-D2D8-4250-9CD2-5C1AEAB990BF}" name="Column11060" dataDxfId="5325"/>
    <tableColumn id="11085" xr3:uid="{A4739335-BAD3-49CF-90B0-CDD4E8B2152B}" name="Column11061" dataDxfId="5324"/>
    <tableColumn id="11086" xr3:uid="{B48DC3C8-6A5B-4F47-BC3E-9211936CA058}" name="Column11062" dataDxfId="5323"/>
    <tableColumn id="11087" xr3:uid="{0C87E094-9930-4D33-98BD-45E6C2D1933A}" name="Column11063" dataDxfId="5322"/>
    <tableColumn id="11088" xr3:uid="{C1473FF8-1C1D-4527-A94A-DBE8DDFFB139}" name="Column11064" dataDxfId="5321"/>
    <tableColumn id="11089" xr3:uid="{466085D0-9748-42A4-AFBB-065437516163}" name="Column11065" dataDxfId="5320"/>
    <tableColumn id="11090" xr3:uid="{FCF2A571-BCED-40AC-B715-43909F27F52D}" name="Column11066" dataDxfId="5319"/>
    <tableColumn id="11091" xr3:uid="{69DCE864-3D5A-4751-8CF0-EE0FD60924A4}" name="Column11067" dataDxfId="5318"/>
    <tableColumn id="11092" xr3:uid="{5A7CF8C4-422E-40D2-813D-E3535DA0A5E5}" name="Column11068" dataDxfId="5317"/>
    <tableColumn id="11093" xr3:uid="{F1925BC6-D36D-4887-8B64-9BDC94D8B372}" name="Column11069" dataDxfId="5316"/>
    <tableColumn id="11094" xr3:uid="{B4745B2A-5C7D-43C5-9100-ED97C021B860}" name="Column11070" dataDxfId="5315"/>
    <tableColumn id="11095" xr3:uid="{A6710570-D814-4A12-886F-4B4D6944314C}" name="Column11071" dataDxfId="5314"/>
    <tableColumn id="11096" xr3:uid="{92B42D48-EF03-43BA-B7BB-FE7157E01C60}" name="Column11072" dataDxfId="5313"/>
    <tableColumn id="11097" xr3:uid="{D9BF9883-4775-432F-96CB-4413E5E7890A}" name="Column11073" dataDxfId="5312"/>
    <tableColumn id="11098" xr3:uid="{FA1D77BE-1F75-499D-8066-5B41BEEDB403}" name="Column11074" dataDxfId="5311"/>
    <tableColumn id="11099" xr3:uid="{EE82C9C9-CD4C-4136-A5EE-ABD2C3FB088F}" name="Column11075" dataDxfId="5310"/>
    <tableColumn id="11100" xr3:uid="{A871385A-527E-4CE6-B9A7-AFFFB1F34519}" name="Column11076" dataDxfId="5309"/>
    <tableColumn id="11101" xr3:uid="{6957832A-40CA-4FB1-BE0C-819E382A59C4}" name="Column11077" dataDxfId="5308"/>
    <tableColumn id="11102" xr3:uid="{9BF49B23-EB95-40A2-B72A-F16391B41765}" name="Column11078" dataDxfId="5307"/>
    <tableColumn id="11103" xr3:uid="{8B7D825D-7C9C-4005-8FC4-94F9E68C6F21}" name="Column11079" dataDxfId="5306"/>
    <tableColumn id="11104" xr3:uid="{AA5AB650-3B32-4776-87A9-AD19A8AC41FC}" name="Column11080" dataDxfId="5305"/>
    <tableColumn id="11105" xr3:uid="{9EB71013-3F9B-410B-AECD-6B2196C77F06}" name="Column11081" dataDxfId="5304"/>
    <tableColumn id="11106" xr3:uid="{209EE674-31C9-40CB-B242-E20DC16EFA89}" name="Column11082" dataDxfId="5303"/>
    <tableColumn id="11107" xr3:uid="{A3C7FCC5-37BF-491B-9AA6-9B1465EA32F2}" name="Column11083" dataDxfId="5302"/>
    <tableColumn id="11108" xr3:uid="{75857A99-7CE5-4665-8A17-714FAFF15EE9}" name="Column11084" dataDxfId="5301"/>
    <tableColumn id="11109" xr3:uid="{22F8EB53-4D3B-4B2C-9003-856EC2FD106E}" name="Column11085" dataDxfId="5300"/>
    <tableColumn id="11110" xr3:uid="{31B7D5F2-2F31-40C0-A7C4-7A0A9966ADAA}" name="Column11086" dataDxfId="5299"/>
    <tableColumn id="11111" xr3:uid="{DAC6962E-0CAE-4330-AF56-C6B9F9D44669}" name="Column11087" dataDxfId="5298"/>
    <tableColumn id="11112" xr3:uid="{AD74BF1B-F3C4-43A0-B6F6-6A6764B3B0A6}" name="Column11088" dataDxfId="5297"/>
    <tableColumn id="11113" xr3:uid="{A22BA26C-FB62-4772-8F68-C0CAEBF6BA46}" name="Column11089" dataDxfId="5296"/>
    <tableColumn id="11114" xr3:uid="{03211A4E-F2B1-4E8D-81EC-9599C334AE9D}" name="Column11090" dataDxfId="5295"/>
    <tableColumn id="11115" xr3:uid="{6A6EC178-5021-4AC7-A900-B26F5F24AAC6}" name="Column11091" dataDxfId="5294"/>
    <tableColumn id="11116" xr3:uid="{5693C3D5-5FB2-4E4B-9BE2-C073924AB028}" name="Column11092" dataDxfId="5293"/>
    <tableColumn id="11117" xr3:uid="{41FEFF5F-24A7-44F3-AD86-2648EDA9E108}" name="Column11093" dataDxfId="5292"/>
    <tableColumn id="11118" xr3:uid="{000D54F3-82D1-4534-9222-7FA062B8B67A}" name="Column11094" dataDxfId="5291"/>
    <tableColumn id="11119" xr3:uid="{D9153FF6-DAAA-496E-AAE3-6D1901B2265D}" name="Column11095" dataDxfId="5290"/>
    <tableColumn id="11120" xr3:uid="{59762F3F-BD13-4548-B0B0-02DD16BDB3B4}" name="Column11096" dataDxfId="5289"/>
    <tableColumn id="11121" xr3:uid="{F6E4F4A1-BF26-4F67-A8F7-6F8B3264AD16}" name="Column11097" dataDxfId="5288"/>
    <tableColumn id="11122" xr3:uid="{0B5D9029-DFA9-4E64-80FB-BA910FB97FE3}" name="Column11098" dataDxfId="5287"/>
    <tableColumn id="11123" xr3:uid="{17770AE0-F787-46A3-B438-C8ABCF2C1D29}" name="Column11099" dataDxfId="5286"/>
    <tableColumn id="11124" xr3:uid="{FA23972C-6A56-4C71-92C8-1BB4966AE1A3}" name="Column11100" dataDxfId="5285"/>
    <tableColumn id="11125" xr3:uid="{48E60082-C951-488A-85F4-CB51CE4D6A36}" name="Column11101" dataDxfId="5284"/>
    <tableColumn id="11126" xr3:uid="{638B170E-3D8F-43B6-9FB1-1C6B2E19CEF9}" name="Column11102" dataDxfId="5283"/>
    <tableColumn id="11127" xr3:uid="{12D416EC-D667-40D0-B500-8CB2B7CD012A}" name="Column11103" dataDxfId="5282"/>
    <tableColumn id="11128" xr3:uid="{0B9DB255-BA46-43F8-BE14-C982CBFE900C}" name="Column11104" dataDxfId="5281"/>
    <tableColumn id="11129" xr3:uid="{2BD0E822-3DD7-4C32-AC65-C3FE596A0723}" name="Column11105" dataDxfId="5280"/>
    <tableColumn id="11130" xr3:uid="{7D1EE7E0-62AC-42DD-A7E1-07F4D1567244}" name="Column11106" dataDxfId="5279"/>
    <tableColumn id="11131" xr3:uid="{890F3888-082A-45E2-AD44-515B7091D9B7}" name="Column11107" dataDxfId="5278"/>
    <tableColumn id="11132" xr3:uid="{651A90A8-CC70-4D81-A641-5A6926A04353}" name="Column11108" dataDxfId="5277"/>
    <tableColumn id="11133" xr3:uid="{FB814BE6-2524-4C24-AD0B-20790AEE2475}" name="Column11109" dataDxfId="5276"/>
    <tableColumn id="11134" xr3:uid="{DEB028BD-085D-49BC-A040-D19F405F42A2}" name="Column11110" dataDxfId="5275"/>
    <tableColumn id="11135" xr3:uid="{ED9C6D4A-1F75-432D-ABCB-BB073088AFE2}" name="Column11111" dataDxfId="5274"/>
    <tableColumn id="11136" xr3:uid="{859D47F4-8A2E-45B9-A9D0-73E257E8C6BE}" name="Column11112" dataDxfId="5273"/>
    <tableColumn id="11137" xr3:uid="{03A56E55-3E28-42C6-9C26-517D5A03904F}" name="Column11113" dataDxfId="5272"/>
    <tableColumn id="11138" xr3:uid="{F4FEED37-FB38-40A5-A934-33DD23A17785}" name="Column11114" dataDxfId="5271"/>
    <tableColumn id="11139" xr3:uid="{9805BF8E-77A2-41EA-B640-E301937C6B30}" name="Column11115" dataDxfId="5270"/>
    <tableColumn id="11140" xr3:uid="{8635C436-24C1-4E80-9F70-5CF742F7D496}" name="Column11116" dataDxfId="5269"/>
    <tableColumn id="11141" xr3:uid="{65854033-AB44-48C5-8A18-43988900E093}" name="Column11117" dataDxfId="5268"/>
    <tableColumn id="11142" xr3:uid="{D1FCD846-980F-4B98-9631-B682CD882EEE}" name="Column11118" dataDxfId="5267"/>
    <tableColumn id="11143" xr3:uid="{94CEDC23-8090-4450-A5CC-10399C664577}" name="Column11119" dataDxfId="5266"/>
    <tableColumn id="11144" xr3:uid="{CDDA1F84-0C0D-49FE-8C0C-4AC3B200E087}" name="Column11120" dataDxfId="5265"/>
    <tableColumn id="11145" xr3:uid="{1A6E6F1F-3532-4253-9253-A5D3DB3B6CC5}" name="Column11121" dataDxfId="5264"/>
    <tableColumn id="11146" xr3:uid="{37903953-1302-446F-9639-561C699F56B5}" name="Column11122" dataDxfId="5263"/>
    <tableColumn id="11147" xr3:uid="{C77190DC-A666-4214-97F7-2C8B7B784AE5}" name="Column11123" dataDxfId="5262"/>
    <tableColumn id="11148" xr3:uid="{EBBA477A-69CF-47B2-A75B-C49E0D577FC4}" name="Column11124" dataDxfId="5261"/>
    <tableColumn id="11149" xr3:uid="{11B95974-72C9-423E-8396-77963C40536E}" name="Column11125" dataDxfId="5260"/>
    <tableColumn id="11150" xr3:uid="{B0299B2C-E50A-4C8D-A258-448954001869}" name="Column11126" dataDxfId="5259"/>
    <tableColumn id="11151" xr3:uid="{F828959D-BADD-4732-BE1A-268019A5FD2D}" name="Column11127" dataDxfId="5258"/>
    <tableColumn id="11152" xr3:uid="{511357CD-F5BF-4DA5-8BE5-A1884E16C298}" name="Column11128" dataDxfId="5257"/>
    <tableColumn id="11153" xr3:uid="{6587EF73-3711-4837-8531-E60E9CF7E9CB}" name="Column11129" dataDxfId="5256"/>
    <tableColumn id="11154" xr3:uid="{1463288A-486C-44FD-A1F5-BBA675CC04BF}" name="Column11130" dataDxfId="5255"/>
    <tableColumn id="11155" xr3:uid="{87E27948-52A2-40E1-8F95-C923CD8BFE4F}" name="Column11131" dataDxfId="5254"/>
    <tableColumn id="11156" xr3:uid="{7144971E-E866-433C-A142-8122E91132DD}" name="Column11132" dataDxfId="5253"/>
    <tableColumn id="11157" xr3:uid="{D4EB31A8-0D93-4F57-92BC-AE5C5E60474E}" name="Column11133" dataDxfId="5252"/>
    <tableColumn id="11158" xr3:uid="{C3CF3852-DFE2-4E84-A3ED-D30F24073C9D}" name="Column11134" dataDxfId="5251"/>
    <tableColumn id="11159" xr3:uid="{7EAB87E2-C2B6-441F-9413-EE503167E6D6}" name="Column11135" dataDxfId="5250"/>
    <tableColumn id="11160" xr3:uid="{B82AC1F1-AFC6-4CDE-9A4F-C4389F4275D7}" name="Column11136" dataDxfId="5249"/>
    <tableColumn id="11161" xr3:uid="{EEA254D4-CA79-4B5A-AF7A-73B057C6574E}" name="Column11137" dataDxfId="5248"/>
    <tableColumn id="11162" xr3:uid="{D9807CA0-103D-49D4-B4D8-3FF91A560EC4}" name="Column11138" dataDxfId="5247"/>
    <tableColumn id="11163" xr3:uid="{6F6180D9-B9B6-411E-8FF5-DB57E7000BB4}" name="Column11139" dataDxfId="5246"/>
    <tableColumn id="11164" xr3:uid="{FECA3FD4-79B7-42DB-AD55-925FA3973CAC}" name="Column11140" dataDxfId="5245"/>
    <tableColumn id="11165" xr3:uid="{4933201A-0077-4CD4-BD86-E2C5F6D5255A}" name="Column11141" dataDxfId="5244"/>
    <tableColumn id="11166" xr3:uid="{68BD658B-4400-49B2-9BB8-376F91CAAB7C}" name="Column11142" dataDxfId="5243"/>
    <tableColumn id="11167" xr3:uid="{201680FF-0F1F-4CC2-B429-0B78E9713129}" name="Column11143" dataDxfId="5242"/>
    <tableColumn id="11168" xr3:uid="{D5B0A82A-F79F-4249-ACD1-1FECC1F72EC9}" name="Column11144" dataDxfId="5241"/>
    <tableColumn id="11169" xr3:uid="{5511EE5E-D133-42C2-AA60-72FDC525419B}" name="Column11145" dataDxfId="5240"/>
    <tableColumn id="11170" xr3:uid="{D63B4D43-56C4-4E9B-AD13-1567BE755BBF}" name="Column11146" dataDxfId="5239"/>
    <tableColumn id="11171" xr3:uid="{26044DF5-C95C-4DC9-845E-E72B98895EEA}" name="Column11147" dataDxfId="5238"/>
    <tableColumn id="11172" xr3:uid="{0FE8CD88-B898-4D8E-968E-2984BADE1AB8}" name="Column11148" dataDxfId="5237"/>
    <tableColumn id="11173" xr3:uid="{E2A301F1-FA69-41FF-8597-ACB3E3E0663E}" name="Column11149" dataDxfId="5236"/>
    <tableColumn id="11174" xr3:uid="{D0CF374A-36E2-419A-A6B5-6D9A29C4CD82}" name="Column11150" dataDxfId="5235"/>
    <tableColumn id="11175" xr3:uid="{076EB2F2-52E1-48AF-BE43-3E4C716AE47C}" name="Column11151" dataDxfId="5234"/>
    <tableColumn id="11176" xr3:uid="{DF297273-221A-40FE-9A0A-CCD37F16DC10}" name="Column11152" dataDxfId="5233"/>
    <tableColumn id="11177" xr3:uid="{09DFA8D7-9D67-48A6-8C25-BD8475A7FAC7}" name="Column11153" dataDxfId="5232"/>
    <tableColumn id="11178" xr3:uid="{02E653E5-A877-47DB-9979-69328A99E15B}" name="Column11154" dataDxfId="5231"/>
    <tableColumn id="11179" xr3:uid="{8A43699F-A0E4-4464-A25B-8C42139E4833}" name="Column11155" dataDxfId="5230"/>
    <tableColumn id="11180" xr3:uid="{2CF28041-CD6C-4F86-954E-FAA00EC66B47}" name="Column11156" dataDxfId="5229"/>
    <tableColumn id="11181" xr3:uid="{4E7E5CE5-AB39-4E59-807F-134A6FF6E468}" name="Column11157" dataDxfId="5228"/>
    <tableColumn id="11182" xr3:uid="{EBB0FF6F-57AC-4FEB-A940-B7103F9275A2}" name="Column11158" dataDxfId="5227"/>
    <tableColumn id="11183" xr3:uid="{87928945-2899-4F82-BD57-BC31A121E1DE}" name="Column11159" dataDxfId="5226"/>
    <tableColumn id="11184" xr3:uid="{7A0FF00F-92AE-4DF9-989F-BC78B6BD4326}" name="Column11160" dataDxfId="5225"/>
    <tableColumn id="11185" xr3:uid="{4CEFE4D8-9995-4964-84F2-6A5924AFE3E2}" name="Column11161" dataDxfId="5224"/>
    <tableColumn id="11186" xr3:uid="{BE0B138A-2934-42FE-9D16-102FC143A0BE}" name="Column11162" dataDxfId="5223"/>
    <tableColumn id="11187" xr3:uid="{4CC81889-A923-40D2-ADD7-1E7E40F65EBB}" name="Column11163" dataDxfId="5222"/>
    <tableColumn id="11188" xr3:uid="{BAD711FC-624B-4434-8B5C-8F7E8E005398}" name="Column11164" dataDxfId="5221"/>
    <tableColumn id="11189" xr3:uid="{B5F2F70E-2368-49F6-8927-4164A953CC9D}" name="Column11165" dataDxfId="5220"/>
    <tableColumn id="11190" xr3:uid="{67D8FA47-79F3-4D8B-87CD-638B447D5A5D}" name="Column11166" dataDxfId="5219"/>
    <tableColumn id="11191" xr3:uid="{2166D6DD-0A28-4F09-8F11-5848307631C8}" name="Column11167" dataDxfId="5218"/>
    <tableColumn id="11192" xr3:uid="{AF2A7FE3-6871-42B5-B29F-8F5C8F4961D4}" name="Column11168" dataDxfId="5217"/>
    <tableColumn id="11193" xr3:uid="{4343F61A-435B-4A9A-8308-6D46EAF3E90F}" name="Column11169" dataDxfId="5216"/>
    <tableColumn id="11194" xr3:uid="{5763A039-C556-4AF9-9799-62AA76E2805F}" name="Column11170" dataDxfId="5215"/>
    <tableColumn id="11195" xr3:uid="{4F5FC92C-E835-4248-A4F1-FC0F5C7E6F7C}" name="Column11171" dataDxfId="5214"/>
    <tableColumn id="11196" xr3:uid="{26034DC8-CA7C-4702-8FFE-F405A3912CDF}" name="Column11172" dataDxfId="5213"/>
    <tableColumn id="11197" xr3:uid="{1B59783C-468A-4255-901E-D41F669A0E87}" name="Column11173" dataDxfId="5212"/>
    <tableColumn id="11198" xr3:uid="{4A5C8564-36EA-4D8E-8E29-140866E6FAD9}" name="Column11174" dataDxfId="5211"/>
    <tableColumn id="11199" xr3:uid="{B778EC2B-5FDD-4565-8B22-04F34E8D3D6E}" name="Column11175" dataDxfId="5210"/>
    <tableColumn id="11200" xr3:uid="{5AC868E6-C732-40D6-9416-46BA45D0E135}" name="Column11176" dataDxfId="5209"/>
    <tableColumn id="11201" xr3:uid="{4A79E335-C593-4E04-9A3C-741503AD5B47}" name="Column11177" dataDxfId="5208"/>
    <tableColumn id="11202" xr3:uid="{15081950-17BC-4001-97FF-CC54933180E7}" name="Column11178" dataDxfId="5207"/>
    <tableColumn id="11203" xr3:uid="{24FFB4DE-4005-4C10-8029-399F20BE00F4}" name="Column11179" dataDxfId="5206"/>
    <tableColumn id="11204" xr3:uid="{F343D388-BE4D-432F-8C01-395E65724ED5}" name="Column11180" dataDxfId="5205"/>
    <tableColumn id="11205" xr3:uid="{A85503DD-C1F8-4736-A6C6-7FD2865DCA4A}" name="Column11181" dataDxfId="5204"/>
    <tableColumn id="11206" xr3:uid="{0EC9E9D4-B638-47F9-8821-2F3AB02F983E}" name="Column11182" dataDxfId="5203"/>
    <tableColumn id="11207" xr3:uid="{0BB13802-DC63-4F0A-AFA2-CB322F21833D}" name="Column11183" dataDxfId="5202"/>
    <tableColumn id="11208" xr3:uid="{22984968-BC20-4856-B3A5-BB203C4840D5}" name="Column11184" dataDxfId="5201"/>
    <tableColumn id="11209" xr3:uid="{13FEC949-3CDD-491B-88F6-28476D9385A5}" name="Column11185" dataDxfId="5200"/>
    <tableColumn id="11210" xr3:uid="{21F02F1C-57B2-4C95-A9E6-B1AFF0D6AAE0}" name="Column11186" dataDxfId="5199"/>
    <tableColumn id="11211" xr3:uid="{BFF2B381-7FB6-4D8A-B138-FC1B0E62D9C3}" name="Column11187" dataDxfId="5198"/>
    <tableColumn id="11212" xr3:uid="{1A93FA65-2B94-4059-9589-FCAF856BF380}" name="Column11188" dataDxfId="5197"/>
    <tableColumn id="11213" xr3:uid="{D75E6AB0-02DE-464A-9F15-0209CA739C43}" name="Column11189" dataDxfId="5196"/>
    <tableColumn id="11214" xr3:uid="{90C3F901-0CAE-49E3-A8D6-2C7D4E5E6274}" name="Column11190" dataDxfId="5195"/>
    <tableColumn id="11215" xr3:uid="{5E2EB8B9-09DA-4EBC-A6BF-4EF27BD9047A}" name="Column11191" dataDxfId="5194"/>
    <tableColumn id="11216" xr3:uid="{C1D156C8-8705-4360-8D9D-092479B192F1}" name="Column11192" dataDxfId="5193"/>
    <tableColumn id="11217" xr3:uid="{E4715346-E151-40B4-A31B-A12F15875E6D}" name="Column11193" dataDxfId="5192"/>
    <tableColumn id="11218" xr3:uid="{82D5D79B-2D87-4138-B1A3-B4A9288F5C34}" name="Column11194" dataDxfId="5191"/>
    <tableColumn id="11219" xr3:uid="{32C5B318-AA82-4AC5-BD7C-B2452816E459}" name="Column11195" dataDxfId="5190"/>
    <tableColumn id="11220" xr3:uid="{48754501-81BF-476E-AE41-7F0614CF5296}" name="Column11196" dataDxfId="5189"/>
    <tableColumn id="11221" xr3:uid="{F779ECB0-A0DF-4BC4-AF3E-8202592DA76D}" name="Column11197" dataDxfId="5188"/>
    <tableColumn id="11222" xr3:uid="{9BF3FE04-C815-4CE9-8667-E3763EE5E114}" name="Column11198" dataDxfId="5187"/>
    <tableColumn id="11223" xr3:uid="{8E9A0B87-7CA9-4E1C-82D8-2D6CEA017750}" name="Column11199" dataDxfId="5186"/>
    <tableColumn id="11224" xr3:uid="{89EAF81C-B4EB-4688-BD9A-A0573CA3F06B}" name="Column11200" dataDxfId="5185"/>
    <tableColumn id="11225" xr3:uid="{1F52D057-B3AD-407C-A9AC-49E94CEAFAA1}" name="Column11201" dataDxfId="5184"/>
    <tableColumn id="11226" xr3:uid="{3FEB7878-725D-4438-A4AA-055468A02CEB}" name="Column11202" dataDxfId="5183"/>
    <tableColumn id="11227" xr3:uid="{9E23EB17-ABD2-4B2C-89CE-79C8BD9459AE}" name="Column11203" dataDxfId="5182"/>
    <tableColumn id="11228" xr3:uid="{4F289086-4246-49D4-819E-E249735C35B0}" name="Column11204" dataDxfId="5181"/>
    <tableColumn id="11229" xr3:uid="{9116D571-FF18-4B38-982E-8EDCD682B47C}" name="Column11205" dataDxfId="5180"/>
    <tableColumn id="11230" xr3:uid="{FDBC360C-468F-41A2-A2F2-B899170CC1F0}" name="Column11206" dataDxfId="5179"/>
    <tableColumn id="11231" xr3:uid="{3CB1F305-8E90-4601-BE5F-A0F688076E1F}" name="Column11207" dataDxfId="5178"/>
    <tableColumn id="11232" xr3:uid="{F1C4AF07-A485-4717-B88C-9728ABF5B267}" name="Column11208" dataDxfId="5177"/>
    <tableColumn id="11233" xr3:uid="{A226EE13-0FF2-40DB-A012-B36012029275}" name="Column11209" dataDxfId="5176"/>
    <tableColumn id="11234" xr3:uid="{81791ED5-A4E9-41C0-809C-B4DEB522545A}" name="Column11210" dataDxfId="5175"/>
    <tableColumn id="11235" xr3:uid="{BA2019F3-E6F3-4100-9762-FE9ABE5A6B87}" name="Column11211" dataDxfId="5174"/>
    <tableColumn id="11236" xr3:uid="{154FD718-66D3-4E20-B990-ADD70ED13015}" name="Column11212" dataDxfId="5173"/>
    <tableColumn id="11237" xr3:uid="{CE54AE6C-6071-4347-A6E6-90A5FAD0A000}" name="Column11213" dataDxfId="5172"/>
    <tableColumn id="11238" xr3:uid="{0404B658-5E3A-484F-A35F-8DAFF0C25D8F}" name="Column11214" dataDxfId="5171"/>
    <tableColumn id="11239" xr3:uid="{225F9928-9805-4595-A5FB-59FED8359C04}" name="Column11215" dataDxfId="5170"/>
    <tableColumn id="11240" xr3:uid="{55B57BEC-765E-4DC5-AEFC-CFAC210DECCA}" name="Column11216" dataDxfId="5169"/>
    <tableColumn id="11241" xr3:uid="{63EE7488-AE55-484D-95A0-BCF08B1C291C}" name="Column11217" dataDxfId="5168"/>
    <tableColumn id="11242" xr3:uid="{B5E35A67-F00B-4E6B-BA28-5EDEC1A2E3EB}" name="Column11218" dataDxfId="5167"/>
    <tableColumn id="11243" xr3:uid="{9FA87DD7-C87A-418C-9960-A18F9BFE3427}" name="Column11219" dataDxfId="5166"/>
    <tableColumn id="11244" xr3:uid="{264383B4-B281-45F4-AE1A-ACCA39660CC3}" name="Column11220" dataDxfId="5165"/>
    <tableColumn id="11245" xr3:uid="{8836DECB-90C2-4AC9-B756-85C02A394DB7}" name="Column11221" dataDxfId="5164"/>
    <tableColumn id="11246" xr3:uid="{7BDA22DE-B786-41A6-9F00-19864D2CE8DA}" name="Column11222" dataDxfId="5163"/>
    <tableColumn id="11247" xr3:uid="{D2F466C0-A3F0-4E51-919E-4962D4632EC3}" name="Column11223" dataDxfId="5162"/>
    <tableColumn id="11248" xr3:uid="{B2A71066-2132-4D12-9A9A-FAFB0EB15D65}" name="Column11224" dataDxfId="5161"/>
    <tableColumn id="11249" xr3:uid="{8B3FA19E-7445-466F-BE6C-A95F38B39E70}" name="Column11225" dataDxfId="5160"/>
    <tableColumn id="11250" xr3:uid="{3B1659F2-E696-46EE-AA30-881DB0E6FD95}" name="Column11226" dataDxfId="5159"/>
    <tableColumn id="11251" xr3:uid="{BA76B4AB-7B78-4623-9602-0FA8B4B5EAAC}" name="Column11227" dataDxfId="5158"/>
    <tableColumn id="11252" xr3:uid="{2BB43C8F-46A2-46E5-BA3F-D411C50CC08F}" name="Column11228" dataDxfId="5157"/>
    <tableColumn id="11253" xr3:uid="{D1F385AE-7727-4468-B5F5-4ED5DA2068A2}" name="Column11229" dataDxfId="5156"/>
    <tableColumn id="11254" xr3:uid="{40C6F30A-0085-400C-99D5-A81F5C7652F4}" name="Column11230" dataDxfId="5155"/>
    <tableColumn id="11255" xr3:uid="{27B1871B-9713-4634-993C-A645B681C10F}" name="Column11231" dataDxfId="5154"/>
    <tableColumn id="11256" xr3:uid="{7CBAC608-E12B-4DEA-8939-692C62296259}" name="Column11232" dataDxfId="5153"/>
    <tableColumn id="11257" xr3:uid="{7FBBE035-BE3D-4B7E-BAEA-1A2FE53C0E17}" name="Column11233" dataDxfId="5152"/>
    <tableColumn id="11258" xr3:uid="{74BC44D6-C2DC-4396-92FA-6F62C812D9C7}" name="Column11234" dataDxfId="5151"/>
    <tableColumn id="11259" xr3:uid="{A734CD0B-453E-4551-84F1-BA2C43A35B1D}" name="Column11235" dataDxfId="5150"/>
    <tableColumn id="11260" xr3:uid="{CFC9F6AF-32F3-4B97-B1EE-5CA3C9361234}" name="Column11236" dataDxfId="5149"/>
    <tableColumn id="11261" xr3:uid="{10B7A226-192C-4D7F-9B85-988C25A77DB0}" name="Column11237" dataDxfId="5148"/>
    <tableColumn id="11262" xr3:uid="{5AB549B6-79DC-431D-BF9C-87F9E9F3662C}" name="Column11238" dataDxfId="5147"/>
    <tableColumn id="11263" xr3:uid="{A9C49F52-1DC4-4511-81CB-A4739919806E}" name="Column11239" dataDxfId="5146"/>
    <tableColumn id="11264" xr3:uid="{215ADBD6-D28D-46FC-8164-CCCA78E41978}" name="Column11240" dataDxfId="5145"/>
    <tableColumn id="11265" xr3:uid="{08A58A64-B19B-4208-831D-6D73D1823FD1}" name="Column11241" dataDxfId="5144"/>
    <tableColumn id="11266" xr3:uid="{86EEBD71-6AFF-4F58-8A85-7D8EA82816B3}" name="Column11242" dataDxfId="5143"/>
    <tableColumn id="11267" xr3:uid="{4663F7E2-26B5-4640-8971-35C4540DD9E0}" name="Column11243" dataDxfId="5142"/>
    <tableColumn id="11268" xr3:uid="{4DD2B096-2F2F-498A-9F5A-751D924517A5}" name="Column11244" dataDxfId="5141"/>
    <tableColumn id="11269" xr3:uid="{714659A5-6BEF-48D9-A258-D0F8BC828BA5}" name="Column11245" dataDxfId="5140"/>
    <tableColumn id="11270" xr3:uid="{CB4BDC5E-0BBF-4FD9-9E5B-724EE92250AA}" name="Column11246" dataDxfId="5139"/>
    <tableColumn id="11271" xr3:uid="{10EA9725-4B60-445E-A1FE-BE56B7F1F2D9}" name="Column11247" dataDxfId="5138"/>
    <tableColumn id="11272" xr3:uid="{7285256E-CA41-4531-B957-A9E8DE78253C}" name="Column11248" dataDxfId="5137"/>
    <tableColumn id="11273" xr3:uid="{FFBD9DB9-64A7-427F-BEE7-0A369F20073F}" name="Column11249" dataDxfId="5136"/>
    <tableColumn id="11274" xr3:uid="{7C53E11A-4514-4C14-96A6-B4D7B1B0D7A7}" name="Column11250" dataDxfId="5135"/>
    <tableColumn id="11275" xr3:uid="{DF306459-2843-477A-988B-5F26920B5EA9}" name="Column11251" dataDxfId="5134"/>
    <tableColumn id="11276" xr3:uid="{A8E98B8F-0F7D-4CAE-A607-4F3CCF360D99}" name="Column11252" dataDxfId="5133"/>
    <tableColumn id="11277" xr3:uid="{B55ACF7A-1B42-481F-91A3-BD533F026F02}" name="Column11253" dataDxfId="5132"/>
    <tableColumn id="11278" xr3:uid="{364DC613-0970-420D-BB47-E1FC8F3A9255}" name="Column11254" dataDxfId="5131"/>
    <tableColumn id="11279" xr3:uid="{CF5864AA-865C-49FA-8104-1AB0B8AAB882}" name="Column11255" dataDxfId="5130"/>
    <tableColumn id="11280" xr3:uid="{E5CC2B30-E088-4777-870E-5ECE76EE5A9A}" name="Column11256" dataDxfId="5129"/>
    <tableColumn id="11281" xr3:uid="{739CD7E0-C204-4B08-ABFA-F72AC1CF1463}" name="Column11257" dataDxfId="5128"/>
    <tableColumn id="11282" xr3:uid="{839A3B8D-CCB2-4661-A3A9-FDB141E69901}" name="Column11258" dataDxfId="5127"/>
    <tableColumn id="11283" xr3:uid="{CA0C410B-104A-41A4-A9CF-7269080EACF6}" name="Column11259" dataDxfId="5126"/>
    <tableColumn id="11284" xr3:uid="{D505C13A-0CC2-4023-9AA3-FCF9AA06075E}" name="Column11260" dataDxfId="5125"/>
    <tableColumn id="11285" xr3:uid="{2A1313BF-47B0-4CC7-9193-AF24C44BA6F4}" name="Column11261" dataDxfId="5124"/>
    <tableColumn id="11286" xr3:uid="{8C0E4677-34C0-4AF6-BB8F-436805844B70}" name="Column11262" dataDxfId="5123"/>
    <tableColumn id="11287" xr3:uid="{6E50E809-C872-476C-B465-619554621BE4}" name="Column11263" dataDxfId="5122"/>
    <tableColumn id="11288" xr3:uid="{D13166E0-54B1-4C17-AB06-BB5DF0A02FAC}" name="Column11264" dataDxfId="5121"/>
    <tableColumn id="11289" xr3:uid="{7A186820-8A98-4217-86B0-8430DD7B5B6D}" name="Column11265" dataDxfId="5120"/>
    <tableColumn id="11290" xr3:uid="{2CD4BA9F-CFC5-4EBC-A7E9-49B13BA01341}" name="Column11266" dataDxfId="5119"/>
    <tableColumn id="11291" xr3:uid="{F61E03D5-3342-4F09-A70D-AF7755A517A9}" name="Column11267" dataDxfId="5118"/>
    <tableColumn id="11292" xr3:uid="{375BADB3-A940-45DF-BA21-2BD44B10AFAD}" name="Column11268" dataDxfId="5117"/>
    <tableColumn id="11293" xr3:uid="{CDC46646-4646-4AA2-B3C2-3564DC8D52AD}" name="Column11269" dataDxfId="5116"/>
    <tableColumn id="11294" xr3:uid="{9BDA1666-9834-4680-9E0F-7B16EBB65B33}" name="Column11270" dataDxfId="5115"/>
    <tableColumn id="11295" xr3:uid="{CD23D52B-B287-4D00-BFA2-185E4B7B74D8}" name="Column11271" dataDxfId="5114"/>
    <tableColumn id="11296" xr3:uid="{1C1FF98D-63E4-473A-A6C2-0DF0E4E4A13B}" name="Column11272" dataDxfId="5113"/>
    <tableColumn id="11297" xr3:uid="{9D12F942-C30A-448F-834C-F97690A56663}" name="Column11273" dataDxfId="5112"/>
    <tableColumn id="11298" xr3:uid="{3B0E3A88-D635-4E2F-BEA8-31DE96072F5D}" name="Column11274" dataDxfId="5111"/>
    <tableColumn id="11299" xr3:uid="{D9F1A658-EC1B-4F3C-BC3E-0AD66E5E682F}" name="Column11275" dataDxfId="5110"/>
    <tableColumn id="11300" xr3:uid="{96B77B1C-7C33-441A-B17A-D3571B0841EA}" name="Column11276" dataDxfId="5109"/>
    <tableColumn id="11301" xr3:uid="{04FEF72F-0A32-46AA-B3AB-16D0F45C5D7D}" name="Column11277" dataDxfId="5108"/>
    <tableColumn id="11302" xr3:uid="{F8462ADA-94D1-470F-AFC4-55103C5A3254}" name="Column11278" dataDxfId="5107"/>
    <tableColumn id="11303" xr3:uid="{C17BE852-878F-476A-893F-71D90D44710F}" name="Column11279" dataDxfId="5106"/>
    <tableColumn id="11304" xr3:uid="{2E01390F-E100-4F37-BF57-590547E67C1A}" name="Column11280" dataDxfId="5105"/>
    <tableColumn id="11305" xr3:uid="{08035E0D-8C8F-4EB5-A802-39FE4EC84F64}" name="Column11281" dataDxfId="5104"/>
    <tableColumn id="11306" xr3:uid="{99FCDEA0-A6AB-46C3-95F9-639880585C8C}" name="Column11282" dataDxfId="5103"/>
    <tableColumn id="11307" xr3:uid="{BA4959F9-9B76-43B6-A798-BA419242DB57}" name="Column11283" dataDxfId="5102"/>
    <tableColumn id="11308" xr3:uid="{018CF141-9A50-45A7-8B80-A7938636371D}" name="Column11284" dataDxfId="5101"/>
    <tableColumn id="11309" xr3:uid="{561904A1-3E49-40F6-8B12-9481E1CE2F5A}" name="Column11285" dataDxfId="5100"/>
    <tableColumn id="11310" xr3:uid="{92728C87-1FC3-4A88-9E94-546D8A681EB6}" name="Column11286" dataDxfId="5099"/>
    <tableColumn id="11311" xr3:uid="{68196075-4698-44FB-85BC-8F692C2372D3}" name="Column11287" dataDxfId="5098"/>
    <tableColumn id="11312" xr3:uid="{08868261-B14F-4C9F-9EE9-2418BDD8AABB}" name="Column11288" dataDxfId="5097"/>
    <tableColumn id="11313" xr3:uid="{521C3D9D-9D5C-437A-A450-FE312C684F04}" name="Column11289" dataDxfId="5096"/>
    <tableColumn id="11314" xr3:uid="{1F16D8BE-2ECD-43D0-B2B3-8BF8DF29E3BA}" name="Column11290" dataDxfId="5095"/>
    <tableColumn id="11315" xr3:uid="{D56990F0-6DA3-4429-AEF5-08283DB7CE10}" name="Column11291" dataDxfId="5094"/>
    <tableColumn id="11316" xr3:uid="{F8E17768-2189-4296-9F32-DC800789D55A}" name="Column11292" dataDxfId="5093"/>
    <tableColumn id="11317" xr3:uid="{9AE08F18-181E-432D-88C1-B750AB6379B3}" name="Column11293" dataDxfId="5092"/>
    <tableColumn id="11318" xr3:uid="{BD6342DA-C04D-49C3-A7EB-D36EED67CC6B}" name="Column11294" dataDxfId="5091"/>
    <tableColumn id="11319" xr3:uid="{C6D567B6-2B39-4C35-817D-491F4C4718B7}" name="Column11295" dataDxfId="5090"/>
    <tableColumn id="11320" xr3:uid="{D94F7BBF-90BB-4458-987F-01D1810EC57E}" name="Column11296" dataDxfId="5089"/>
    <tableColumn id="11321" xr3:uid="{4DF09E6F-9D86-46FC-8815-5F8825D5DD56}" name="Column11297" dataDxfId="5088"/>
    <tableColumn id="11322" xr3:uid="{CDD1BA8A-0E6F-4580-B2C2-5CC9F9994901}" name="Column11298" dataDxfId="5087"/>
    <tableColumn id="11323" xr3:uid="{8029B021-BC70-4DA6-BD44-F64ABC4D6BD6}" name="Column11299" dataDxfId="5086"/>
    <tableColumn id="11324" xr3:uid="{8DD1D5C1-038E-430A-B6EE-E3972A707473}" name="Column11300" dataDxfId="5085"/>
    <tableColumn id="11325" xr3:uid="{F5A1F35E-ECD5-44D3-A1E7-12E4A482FFCD}" name="Column11301" dataDxfId="5084"/>
    <tableColumn id="11326" xr3:uid="{F680F060-88C6-4BD7-B207-23B5FB60D17C}" name="Column11302" dataDxfId="5083"/>
    <tableColumn id="11327" xr3:uid="{956D728C-1E59-4E46-A45C-F662274DD5C9}" name="Column11303" dataDxfId="5082"/>
    <tableColumn id="11328" xr3:uid="{234BF69C-0A6B-4B23-9BC4-C9B085C1919E}" name="Column11304" dataDxfId="5081"/>
    <tableColumn id="11329" xr3:uid="{A4CCE931-40FE-4449-B3EB-A6690FAE90AD}" name="Column11305" dataDxfId="5080"/>
    <tableColumn id="11330" xr3:uid="{664F2F4C-ECAA-4A2F-AA7B-373E9AF9EBED}" name="Column11306" dataDxfId="5079"/>
    <tableColumn id="11331" xr3:uid="{A7A8CB3E-4FD5-48E1-9E10-27E0D255EFA6}" name="Column11307" dataDxfId="5078"/>
    <tableColumn id="11332" xr3:uid="{76C90380-F66D-463D-9CCD-60BD7A8FD41E}" name="Column11308" dataDxfId="5077"/>
    <tableColumn id="11333" xr3:uid="{92D01876-5D95-4682-8347-7C67F0E3294C}" name="Column11309" dataDxfId="5076"/>
    <tableColumn id="11334" xr3:uid="{C5530390-E996-4C41-ADE7-71CA1DE20675}" name="Column11310" dataDxfId="5075"/>
    <tableColumn id="11335" xr3:uid="{EE9F951C-2D76-49B5-8752-43F447124D5D}" name="Column11311" dataDxfId="5074"/>
    <tableColumn id="11336" xr3:uid="{E3648E5F-6B8A-4A98-A24D-BCA5229BAD31}" name="Column11312" dataDxfId="5073"/>
    <tableColumn id="11337" xr3:uid="{78E56928-F4D5-408F-8752-03EB493E8FCE}" name="Column11313" dataDxfId="5072"/>
    <tableColumn id="11338" xr3:uid="{F15AA078-977B-4587-A30B-09CCFE02605B}" name="Column11314" dataDxfId="5071"/>
    <tableColumn id="11339" xr3:uid="{A285053F-DA54-4C9A-802D-2E3A50199717}" name="Column11315" dataDxfId="5070"/>
    <tableColumn id="11340" xr3:uid="{CF81D49B-9D80-42E7-9F49-2D97D6FD505D}" name="Column11316" dataDxfId="5069"/>
    <tableColumn id="11341" xr3:uid="{D8E860F4-8848-4900-9A23-833248150916}" name="Column11317" dataDxfId="5068"/>
    <tableColumn id="11342" xr3:uid="{38E7A055-7E08-45B8-85B7-633DD063179F}" name="Column11318" dataDxfId="5067"/>
    <tableColumn id="11343" xr3:uid="{0EF26F94-0B9A-48F7-840A-CE5C21D098B4}" name="Column11319" dataDxfId="5066"/>
    <tableColumn id="11344" xr3:uid="{6F4D0D6D-D154-4840-A370-ED34AFEFD5CD}" name="Column11320" dataDxfId="5065"/>
    <tableColumn id="11345" xr3:uid="{B82E6587-4060-4FEB-A271-258C98559460}" name="Column11321" dataDxfId="5064"/>
    <tableColumn id="11346" xr3:uid="{E28AD28F-885C-4B0B-9057-CCE8A331CB1E}" name="Column11322" dataDxfId="5063"/>
    <tableColumn id="11347" xr3:uid="{4B8F9FED-D07A-4CFC-BE2B-2A9F83CBEADE}" name="Column11323" dataDxfId="5062"/>
    <tableColumn id="11348" xr3:uid="{FEB76329-4712-4D80-925F-7CA02CD0C2F1}" name="Column11324" dataDxfId="5061"/>
    <tableColumn id="11349" xr3:uid="{658C2981-7BE1-4AF5-A2D8-EA31F51BEA84}" name="Column11325" dataDxfId="5060"/>
    <tableColumn id="11350" xr3:uid="{E4C17B16-15A2-4D22-9895-00233BD5C6B6}" name="Column11326" dataDxfId="5059"/>
    <tableColumn id="11351" xr3:uid="{AABD1A2F-09CA-4CC8-BD98-E8A37E872B85}" name="Column11327" dataDxfId="5058"/>
    <tableColumn id="11352" xr3:uid="{CD4D1F14-82A1-4046-BE71-ECC263BBDAF2}" name="Column11328" dataDxfId="5057"/>
    <tableColumn id="11353" xr3:uid="{A30993FE-E24C-4598-A6AE-E14B582FB4AF}" name="Column11329" dataDxfId="5056"/>
    <tableColumn id="11354" xr3:uid="{6BBBC260-B305-410F-B674-829AA95FB383}" name="Column11330" dataDxfId="5055"/>
    <tableColumn id="11355" xr3:uid="{41919007-09B5-4588-9482-947528585918}" name="Column11331" dataDxfId="5054"/>
    <tableColumn id="11356" xr3:uid="{2F3CA8EF-39EE-4A57-ACCB-2B377592C4A4}" name="Column11332" dataDxfId="5053"/>
    <tableColumn id="11357" xr3:uid="{B41D97AF-1BED-427D-94AD-29D16D388097}" name="Column11333" dataDxfId="5052"/>
    <tableColumn id="11358" xr3:uid="{51E133B4-C577-4E00-9B00-F525F6C417B6}" name="Column11334" dataDxfId="5051"/>
    <tableColumn id="11359" xr3:uid="{A9450809-64C8-4C9F-83C6-6BC679995F01}" name="Column11335" dataDxfId="5050"/>
    <tableColumn id="11360" xr3:uid="{DB7371FF-962A-469B-8623-25974F05148C}" name="Column11336" dataDxfId="5049"/>
    <tableColumn id="11361" xr3:uid="{6D296850-9E22-4BDB-98DC-1ACA559B4B94}" name="Column11337" dataDxfId="5048"/>
    <tableColumn id="11362" xr3:uid="{C79D33CC-2797-43BD-B2E8-1A95C22D3427}" name="Column11338" dataDxfId="5047"/>
    <tableColumn id="11363" xr3:uid="{B760F310-3B88-498F-A1BA-262A6F62EC37}" name="Column11339" dataDxfId="5046"/>
    <tableColumn id="11364" xr3:uid="{E82D5CA4-9938-46B3-AF5B-E33C8D935F17}" name="Column11340" dataDxfId="5045"/>
    <tableColumn id="11365" xr3:uid="{C30C5AF8-A32D-48F3-B995-2141B141B0F7}" name="Column11341" dataDxfId="5044"/>
    <tableColumn id="11366" xr3:uid="{D6D6AC4B-D4D5-440B-AE97-59E1F02D01EE}" name="Column11342" dataDxfId="5043"/>
    <tableColumn id="11367" xr3:uid="{3E4B99A5-7D20-4AB2-AAF8-0069C4A9137A}" name="Column11343" dataDxfId="5042"/>
    <tableColumn id="11368" xr3:uid="{28212F63-5646-4639-B547-1790EF46C2DD}" name="Column11344" dataDxfId="5041"/>
    <tableColumn id="11369" xr3:uid="{C701C506-4169-47C3-8E41-DE7940EA3CCE}" name="Column11345" dataDxfId="5040"/>
    <tableColumn id="11370" xr3:uid="{002C2F09-D00D-4ED1-82D3-693F7FC2F56C}" name="Column11346" dataDxfId="5039"/>
    <tableColumn id="11371" xr3:uid="{E06F0CC4-26F7-4AE4-878E-55F5F11E63C7}" name="Column11347" dataDxfId="5038"/>
    <tableColumn id="11372" xr3:uid="{7C8CAC0A-6546-4382-A371-84282032CD4A}" name="Column11348" dataDxfId="5037"/>
    <tableColumn id="11373" xr3:uid="{67186AF8-A404-4F3D-B9EB-2F2032F085CC}" name="Column11349" dataDxfId="5036"/>
    <tableColumn id="11374" xr3:uid="{59E2C3F5-B1CD-47FD-A8D1-465C715C1AA0}" name="Column11350" dataDxfId="5035"/>
    <tableColumn id="11375" xr3:uid="{688ADB5F-9C70-4AFA-842D-8A7926C94108}" name="Column11351" dataDxfId="5034"/>
    <tableColumn id="11376" xr3:uid="{0029C106-2B61-40AE-A5FF-92B9C4738401}" name="Column11352" dataDxfId="5033"/>
    <tableColumn id="11377" xr3:uid="{0DB86D2D-3F4A-4301-9824-A08E7CC250DF}" name="Column11353" dataDxfId="5032"/>
    <tableColumn id="11378" xr3:uid="{694B33D4-DF1A-4D0C-9432-C2306196CADF}" name="Column11354" dataDxfId="5031"/>
    <tableColumn id="11379" xr3:uid="{6D8A65EF-5B24-4DC2-BF03-D369CBE6C479}" name="Column11355" dataDxfId="5030"/>
    <tableColumn id="11380" xr3:uid="{B4782CEC-EE13-4EED-954B-BF4F8597975F}" name="Column11356" dataDxfId="5029"/>
    <tableColumn id="11381" xr3:uid="{4389C01D-B3DA-4858-B3D1-7527760D7E5B}" name="Column11357" dataDxfId="5028"/>
    <tableColumn id="11382" xr3:uid="{DD8E4D17-D7C8-408B-B1B0-CC498F9DFF68}" name="Column11358" dataDxfId="5027"/>
    <tableColumn id="11383" xr3:uid="{915DB86E-3A82-475B-9967-2400849662E3}" name="Column11359" dataDxfId="5026"/>
    <tableColumn id="11384" xr3:uid="{AB5EE847-0782-4101-8346-AC447E35A1C0}" name="Column11360" dataDxfId="5025"/>
    <tableColumn id="11385" xr3:uid="{624C5B9E-E69B-4419-956A-E5BC190DA4F2}" name="Column11361" dataDxfId="5024"/>
    <tableColumn id="11386" xr3:uid="{D55509D8-5513-471E-9B0C-871DAC30F8D6}" name="Column11362" dataDxfId="5023"/>
    <tableColumn id="11387" xr3:uid="{19021496-DB05-4D0D-A6A7-8620A80E0989}" name="Column11363" dataDxfId="5022"/>
    <tableColumn id="11388" xr3:uid="{9003E501-E9E1-4116-B5F8-2D0814191019}" name="Column11364" dataDxfId="5021"/>
    <tableColumn id="11389" xr3:uid="{B7D3976E-1F6D-40C7-89E0-9E7754D34CBA}" name="Column11365" dataDxfId="5020"/>
    <tableColumn id="11390" xr3:uid="{1CCD592F-BA56-47F1-A9D4-DCA1534E4BB9}" name="Column11366" dataDxfId="5019"/>
    <tableColumn id="11391" xr3:uid="{6ECB1D7A-4D10-4320-BBBA-E6C13488765E}" name="Column11367" dataDxfId="5018"/>
    <tableColumn id="11392" xr3:uid="{8DE005B4-3B64-43C1-99FB-050C072BE12D}" name="Column11368" dataDxfId="5017"/>
    <tableColumn id="11393" xr3:uid="{A9F07310-5B0D-4686-8D01-5300508F1A27}" name="Column11369" dataDxfId="5016"/>
    <tableColumn id="11394" xr3:uid="{F0A4CFEB-6C45-4B9B-B578-4045CC7A528B}" name="Column11370" dataDxfId="5015"/>
    <tableColumn id="11395" xr3:uid="{2886821F-2A4E-4016-937C-28BA0C35C5B4}" name="Column11371" dataDxfId="5014"/>
    <tableColumn id="11396" xr3:uid="{6468BFAD-5626-4751-8767-0269D98C72A8}" name="Column11372" dataDxfId="5013"/>
    <tableColumn id="11397" xr3:uid="{A2649F06-E833-4044-A6A6-B8046F8BD1F6}" name="Column11373" dataDxfId="5012"/>
    <tableColumn id="11398" xr3:uid="{914B74DE-786D-4C91-A9B7-2FC6E0D6E038}" name="Column11374" dataDxfId="5011"/>
    <tableColumn id="11399" xr3:uid="{E780D012-7951-4D3D-BAAB-122DB9CA070E}" name="Column11375" dataDxfId="5010"/>
    <tableColumn id="11400" xr3:uid="{8210593B-6AEF-496E-866A-BEBFE4400D2C}" name="Column11376" dataDxfId="5009"/>
    <tableColumn id="11401" xr3:uid="{DAC3DCF6-97EB-4989-8A06-FE0C40A20593}" name="Column11377" dataDxfId="5008"/>
    <tableColumn id="11402" xr3:uid="{DFACA04E-7E25-4009-8A82-A0E78988C736}" name="Column11378" dataDxfId="5007"/>
    <tableColumn id="11403" xr3:uid="{09CED880-E03D-48D9-83A0-84B2CD3E1C99}" name="Column11379" dataDxfId="5006"/>
    <tableColumn id="11404" xr3:uid="{48C05A24-E300-4635-B7D4-1DF14331E79B}" name="Column11380" dataDxfId="5005"/>
    <tableColumn id="11405" xr3:uid="{69B08DD4-210C-44E6-AB0A-D3B8BCB7EF4C}" name="Column11381" dataDxfId="5004"/>
    <tableColumn id="11406" xr3:uid="{D7CC61F5-A402-461A-BE35-E4ECAD4D44AD}" name="Column11382" dataDxfId="5003"/>
    <tableColumn id="11407" xr3:uid="{71BA4CC2-EA62-4E0D-9FC4-6E4F59A4A3FC}" name="Column11383" dataDxfId="5002"/>
    <tableColumn id="11408" xr3:uid="{561DBB5E-3A48-4243-A001-E58779ED5BD3}" name="Column11384" dataDxfId="5001"/>
    <tableColumn id="11409" xr3:uid="{4DB84933-3168-447D-8D66-6305FF0ADA61}" name="Column11385" dataDxfId="5000"/>
    <tableColumn id="11410" xr3:uid="{E3019E5D-834A-4824-A373-D63AB5E74551}" name="Column11386" dataDxfId="4999"/>
    <tableColumn id="11411" xr3:uid="{A155CF19-7CED-4A19-AEBA-41A52EF9959C}" name="Column11387" dataDxfId="4998"/>
    <tableColumn id="11412" xr3:uid="{15A3F4C6-35C9-44AE-9ABF-474B33C28079}" name="Column11388" dataDxfId="4997"/>
    <tableColumn id="11413" xr3:uid="{A9794070-DD9B-4D08-BA56-A2136B1FA389}" name="Column11389" dataDxfId="4996"/>
    <tableColumn id="11414" xr3:uid="{4831E323-C620-49B0-B575-4F5803FA53BF}" name="Column11390" dataDxfId="4995"/>
    <tableColumn id="11415" xr3:uid="{FB469BA1-C9D0-4AF4-9527-67C8AD12FD43}" name="Column11391" dataDxfId="4994"/>
    <tableColumn id="11416" xr3:uid="{E82ECB02-903B-421C-8BD2-B269DFB1EA82}" name="Column11392" dataDxfId="4993"/>
    <tableColumn id="11417" xr3:uid="{F99DE2F2-3134-480B-9C48-42A136FCD0C1}" name="Column11393" dataDxfId="4992"/>
    <tableColumn id="11418" xr3:uid="{D47440DF-F70B-44DB-9C11-FB8FEECCDBC6}" name="Column11394" dataDxfId="4991"/>
    <tableColumn id="11419" xr3:uid="{E9994A95-96FA-4980-B650-CA4094356262}" name="Column11395" dataDxfId="4990"/>
    <tableColumn id="11420" xr3:uid="{7A961695-9B3B-45CC-963A-324E75AD8A87}" name="Column11396" dataDxfId="4989"/>
    <tableColumn id="11421" xr3:uid="{0ABA0D67-1A5A-4A2A-95EE-2F0D759AC99E}" name="Column11397" dataDxfId="4988"/>
    <tableColumn id="11422" xr3:uid="{3556C99C-8211-470B-B607-D7FB8DB45065}" name="Column11398" dataDxfId="4987"/>
    <tableColumn id="11423" xr3:uid="{F8042E02-7F57-4BC1-837B-B64731EC0084}" name="Column11399" dataDxfId="4986"/>
    <tableColumn id="11424" xr3:uid="{9B78997B-706A-4020-A9AC-64FD2C9FA8FA}" name="Column11400" dataDxfId="4985"/>
    <tableColumn id="11425" xr3:uid="{99740650-65C6-457B-8FB5-0823F150826D}" name="Column11401" dataDxfId="4984"/>
    <tableColumn id="11426" xr3:uid="{3A66FEB4-9F23-4FB0-A273-086BBBAC1D47}" name="Column11402" dataDxfId="4983"/>
    <tableColumn id="11427" xr3:uid="{4D2E125B-9D15-44F2-8293-9587C63A5CC3}" name="Column11403" dataDxfId="4982"/>
    <tableColumn id="11428" xr3:uid="{5BCBAE45-BA21-4D14-8B1E-314CDCDA356F}" name="Column11404" dataDxfId="4981"/>
    <tableColumn id="11429" xr3:uid="{7C49944E-81FC-459B-A2E8-9314A89E5E70}" name="Column11405" dataDxfId="4980"/>
    <tableColumn id="11430" xr3:uid="{89C46D1C-A0D3-4464-A720-5493268B66C1}" name="Column11406" dataDxfId="4979"/>
    <tableColumn id="11431" xr3:uid="{8E777E75-8CE3-4A19-8F98-D81ED2DE75A9}" name="Column11407" dataDxfId="4978"/>
    <tableColumn id="11432" xr3:uid="{6021C865-9733-4F6D-B219-BB12C7BFD513}" name="Column11408" dataDxfId="4977"/>
    <tableColumn id="11433" xr3:uid="{626E2310-EC8F-4F33-A27E-DFBB6087524C}" name="Column11409" dataDxfId="4976"/>
    <tableColumn id="11434" xr3:uid="{3552D00A-863D-4335-BD79-ED72338379F1}" name="Column11410" dataDxfId="4975"/>
    <tableColumn id="11435" xr3:uid="{9D65919E-0381-4A11-885A-810EB4F07867}" name="Column11411" dataDxfId="4974"/>
    <tableColumn id="11436" xr3:uid="{DD86BF7B-AE66-4E5D-B4E8-5719F9419CC2}" name="Column11412" dataDxfId="4973"/>
    <tableColumn id="11437" xr3:uid="{56F8EB4F-D082-436B-8AAD-96305ABDD9D2}" name="Column11413" dataDxfId="4972"/>
    <tableColumn id="11438" xr3:uid="{23C63D0C-4EF2-4E3A-9E4D-0FD0E7CB7A51}" name="Column11414" dataDxfId="4971"/>
    <tableColumn id="11439" xr3:uid="{5F007BE3-0AB2-4E3E-B21F-122C114CADC6}" name="Column11415" dataDxfId="4970"/>
    <tableColumn id="11440" xr3:uid="{C7F8EAD3-26ED-4689-A1EC-77A950072608}" name="Column11416" dataDxfId="4969"/>
    <tableColumn id="11441" xr3:uid="{E1643EE4-60E5-47CE-9012-2B72F127CF68}" name="Column11417" dataDxfId="4968"/>
    <tableColumn id="11442" xr3:uid="{BD0A64C4-CB62-4F23-BB32-C2AE1388D5AE}" name="Column11418" dataDxfId="4967"/>
    <tableColumn id="11443" xr3:uid="{A70E1050-FF5D-46CB-B461-438002C78E5D}" name="Column11419" dataDxfId="4966"/>
    <tableColumn id="11444" xr3:uid="{21339988-9193-4FBA-8B64-E23DA4416277}" name="Column11420" dataDxfId="4965"/>
    <tableColumn id="11445" xr3:uid="{0C8DF43D-C156-4888-B5C2-E0AFF16249DB}" name="Column11421" dataDxfId="4964"/>
    <tableColumn id="11446" xr3:uid="{965CAE6F-7812-4067-A674-B2A3D1D63046}" name="Column11422" dataDxfId="4963"/>
    <tableColumn id="11447" xr3:uid="{0EDFA10E-1DD6-4253-926F-2768F6A7900B}" name="Column11423" dataDxfId="4962"/>
    <tableColumn id="11448" xr3:uid="{B9E7E16A-3C25-43C6-A30E-CABAE4DBB61A}" name="Column11424" dataDxfId="4961"/>
    <tableColumn id="11449" xr3:uid="{36931450-3406-43E6-A038-3F7EDEB6BFB3}" name="Column11425" dataDxfId="4960"/>
    <tableColumn id="11450" xr3:uid="{925E7515-5AAC-416B-BFF6-5A398ABE416A}" name="Column11426" dataDxfId="4959"/>
    <tableColumn id="11451" xr3:uid="{79C8E1FA-F10F-4AD9-AA3F-56848CDAB3A5}" name="Column11427" dataDxfId="4958"/>
    <tableColumn id="11452" xr3:uid="{0E6B4CFE-A1BE-478B-B422-9510E0AF0D5A}" name="Column11428" dataDxfId="4957"/>
    <tableColumn id="11453" xr3:uid="{124DDCFA-FC5B-4C87-956F-4DC026049470}" name="Column11429" dataDxfId="4956"/>
    <tableColumn id="11454" xr3:uid="{C2E9E57C-E7E4-4086-988F-3FC1BF0D455E}" name="Column11430" dataDxfId="4955"/>
    <tableColumn id="11455" xr3:uid="{96C17D07-FDB8-413B-9088-B5F62F2DD70D}" name="Column11431" dataDxfId="4954"/>
    <tableColumn id="11456" xr3:uid="{989B91B9-E287-4F6D-8A80-2622D0244AAC}" name="Column11432" dataDxfId="4953"/>
    <tableColumn id="11457" xr3:uid="{898BD718-3368-4A1E-B14F-216BD5F6C2B0}" name="Column11433" dataDxfId="4952"/>
    <tableColumn id="11458" xr3:uid="{0E8D4C17-7204-470A-83C0-8DAAD3B68E27}" name="Column11434" dataDxfId="4951"/>
    <tableColumn id="11459" xr3:uid="{2F601B3D-50CF-4E54-82E3-CC44A6B14451}" name="Column11435" dataDxfId="4950"/>
    <tableColumn id="11460" xr3:uid="{D93900BB-1F6E-4376-93A6-B36AE556E818}" name="Column11436" dataDxfId="4949"/>
    <tableColumn id="11461" xr3:uid="{82A5904C-CD0A-463F-991D-57355A212482}" name="Column11437" dataDxfId="4948"/>
    <tableColumn id="11462" xr3:uid="{3950C982-A344-4AE2-A17D-A6B45BF1EE9A}" name="Column11438" dataDxfId="4947"/>
    <tableColumn id="11463" xr3:uid="{AB348C4A-0BE2-4860-8BFE-7A26CB151A7B}" name="Column11439" dataDxfId="4946"/>
    <tableColumn id="11464" xr3:uid="{FE26C9F1-FC9A-4B8E-A8C9-0CC7600562FA}" name="Column11440" dataDxfId="4945"/>
    <tableColumn id="11465" xr3:uid="{DC13D749-C032-4EB8-A336-D80E34E9AEDC}" name="Column11441" dataDxfId="4944"/>
    <tableColumn id="11466" xr3:uid="{7F0CB090-BAA5-4083-B5FA-E7A467FC1B76}" name="Column11442" dataDxfId="4943"/>
    <tableColumn id="11467" xr3:uid="{1BC395B8-E0A1-488B-A578-D20D4736D981}" name="Column11443" dataDxfId="4942"/>
    <tableColumn id="11468" xr3:uid="{CF7BA9CB-64A8-4E4E-8404-4EBC54253138}" name="Column11444" dataDxfId="4941"/>
    <tableColumn id="11469" xr3:uid="{5791AB49-AA30-4F60-A070-8BEF2E749F31}" name="Column11445" dataDxfId="4940"/>
    <tableColumn id="11470" xr3:uid="{2CCBEADA-48C4-4C60-8EA6-A5A0348EDB1B}" name="Column11446" dataDxfId="4939"/>
    <tableColumn id="11471" xr3:uid="{71656BF4-1057-46E8-A90A-D901F0DD7262}" name="Column11447" dataDxfId="4938"/>
    <tableColumn id="11472" xr3:uid="{71F359DD-F317-4B8E-9EE7-7E0C7432C2FA}" name="Column11448" dataDxfId="4937"/>
    <tableColumn id="11473" xr3:uid="{D73940FE-4B3B-4D71-8061-A4E990F68279}" name="Column11449" dataDxfId="4936"/>
    <tableColumn id="11474" xr3:uid="{BAF84A6B-07FA-4FD8-9D1D-B67BAC5A96D2}" name="Column11450" dataDxfId="4935"/>
    <tableColumn id="11475" xr3:uid="{31E0E2E2-BEA8-41FD-A26B-787403BA8A48}" name="Column11451" dataDxfId="4934"/>
    <tableColumn id="11476" xr3:uid="{95939BF6-62EF-493E-A10F-CE36B297C82D}" name="Column11452" dataDxfId="4933"/>
    <tableColumn id="11477" xr3:uid="{38AB332A-36F3-437E-BEEA-0CF284A6A70D}" name="Column11453" dataDxfId="4932"/>
    <tableColumn id="11478" xr3:uid="{C4C63B3B-3B3B-4649-BC50-B7B26A7E74FB}" name="Column11454" dataDxfId="4931"/>
    <tableColumn id="11479" xr3:uid="{571E48BE-70F5-44C8-9497-D7973E4CC418}" name="Column11455" dataDxfId="4930"/>
    <tableColumn id="11480" xr3:uid="{56BDD28F-3564-481F-A2F0-92A537C29120}" name="Column11456" dataDxfId="4929"/>
    <tableColumn id="11481" xr3:uid="{F90F5215-3E5F-4399-8FF8-157A477CBA07}" name="Column11457" dataDxfId="4928"/>
    <tableColumn id="11482" xr3:uid="{D05D28D1-D895-4328-9887-EFC8FA3708ED}" name="Column11458" dataDxfId="4927"/>
    <tableColumn id="11483" xr3:uid="{0119AD58-2E80-4F6F-A0B5-B5FC1BF1D6FF}" name="Column11459" dataDxfId="4926"/>
    <tableColumn id="11484" xr3:uid="{DC9FDC91-821B-4351-97ED-C73091051B87}" name="Column11460" dataDxfId="4925"/>
    <tableColumn id="11485" xr3:uid="{D43B6BCC-7AF6-423F-804F-49AB02A218DA}" name="Column11461" dataDxfId="4924"/>
    <tableColumn id="11486" xr3:uid="{7123B76B-3428-4B53-8716-93011A1B12C7}" name="Column11462" dataDxfId="4923"/>
    <tableColumn id="11487" xr3:uid="{E1590972-5015-40B5-8F67-446310920D3C}" name="Column11463" dataDxfId="4922"/>
    <tableColumn id="11488" xr3:uid="{5C722C63-8C02-40D8-9BEC-0238F42C98EB}" name="Column11464" dataDxfId="4921"/>
    <tableColumn id="11489" xr3:uid="{6461A3B6-6509-44C8-B3AA-5CF6310D5BB1}" name="Column11465" dataDxfId="4920"/>
    <tableColumn id="11490" xr3:uid="{E3F37846-6611-4E99-914D-4D006B96867B}" name="Column11466" dataDxfId="4919"/>
    <tableColumn id="11491" xr3:uid="{DB12E9B4-CDD6-49FA-9675-556798350698}" name="Column11467" dataDxfId="4918"/>
    <tableColumn id="11492" xr3:uid="{FD899251-D82F-47D0-B0CE-D39DE403E303}" name="Column11468" dataDxfId="4917"/>
    <tableColumn id="11493" xr3:uid="{B453A2EB-1C7B-491C-8ADB-A6C4A124FA49}" name="Column11469" dataDxfId="4916"/>
    <tableColumn id="11494" xr3:uid="{88E6F54D-AA20-4C88-A0C2-681955348570}" name="Column11470" dataDxfId="4915"/>
    <tableColumn id="11495" xr3:uid="{62993401-64EB-4C48-A5BF-8D63D2659C07}" name="Column11471" dataDxfId="4914"/>
    <tableColumn id="11496" xr3:uid="{9FFB14AC-8F2C-4344-A806-4B8C91178F8E}" name="Column11472" dataDxfId="4913"/>
    <tableColumn id="11497" xr3:uid="{E57D46AE-7136-4D3A-A86A-E386679D8721}" name="Column11473" dataDxfId="4912"/>
    <tableColumn id="11498" xr3:uid="{FB63F5C4-5961-4273-BE4F-FC464C5E37DF}" name="Column11474" dataDxfId="4911"/>
    <tableColumn id="11499" xr3:uid="{7AAA3007-F35D-41CF-967B-017A75745649}" name="Column11475" dataDxfId="4910"/>
    <tableColumn id="11500" xr3:uid="{B7FB27DB-E450-4E47-B34E-99FF5AF58D5E}" name="Column11476" dataDxfId="4909"/>
    <tableColumn id="11501" xr3:uid="{788B67BF-E6BE-4439-8984-B2891C72FEE8}" name="Column11477" dataDxfId="4908"/>
    <tableColumn id="11502" xr3:uid="{17B30BE5-BF11-4D9D-95BC-F8CF16A95192}" name="Column11478" dataDxfId="4907"/>
    <tableColumn id="11503" xr3:uid="{CA9A6980-887B-49C5-99DF-01DD96454B87}" name="Column11479" dataDxfId="4906"/>
    <tableColumn id="11504" xr3:uid="{958953E7-3BEF-450F-A3F0-C995D9173801}" name="Column11480" dataDxfId="4905"/>
    <tableColumn id="11505" xr3:uid="{65F79ECB-373F-4F8C-B977-7056939577D2}" name="Column11481" dataDxfId="4904"/>
    <tableColumn id="11506" xr3:uid="{428159EF-97D0-4FD3-B3A9-84CA772EFA62}" name="Column11482" dataDxfId="4903"/>
    <tableColumn id="11507" xr3:uid="{708A0393-640C-4015-831D-202C74A803AE}" name="Column11483" dataDxfId="4902"/>
    <tableColumn id="11508" xr3:uid="{A258789B-9F85-431B-AD25-4088F693E2D1}" name="Column11484" dataDxfId="4901"/>
    <tableColumn id="11509" xr3:uid="{CFE9E088-5449-4147-9BE1-2B6F983A8CEC}" name="Column11485" dataDxfId="4900"/>
    <tableColumn id="11510" xr3:uid="{1DB9E980-3F5C-4442-BBE3-F2B8AA9DDFF1}" name="Column11486" dataDxfId="4899"/>
    <tableColumn id="11511" xr3:uid="{0844208B-D9BB-417C-B1DA-8756C8B956D1}" name="Column11487" dataDxfId="4898"/>
    <tableColumn id="11512" xr3:uid="{EA9D4F5F-B6E0-498A-AED4-ADAC6B7FD94A}" name="Column11488" dataDxfId="4897"/>
    <tableColumn id="11513" xr3:uid="{44478805-68C3-421E-80A3-BC868B5013B7}" name="Column11489" dataDxfId="4896"/>
    <tableColumn id="11514" xr3:uid="{145F9E85-433B-45D1-BE78-CCFD980A5C82}" name="Column11490" dataDxfId="4895"/>
    <tableColumn id="11515" xr3:uid="{CA12AC49-167C-4C94-944A-7295937C67DC}" name="Column11491" dataDxfId="4894"/>
    <tableColumn id="11516" xr3:uid="{949835B3-20BD-4B7D-8D1D-80829932E3C3}" name="Column11492" dataDxfId="4893"/>
    <tableColumn id="11517" xr3:uid="{39A01D8B-7CB8-4369-BB28-051880CF35C1}" name="Column11493" dataDxfId="4892"/>
    <tableColumn id="11518" xr3:uid="{5AB67F46-3868-4402-8D01-50CF3A53DD88}" name="Column11494" dataDxfId="4891"/>
    <tableColumn id="11519" xr3:uid="{E619C39B-0477-44B6-943D-CE6D065766C3}" name="Column11495" dataDxfId="4890"/>
    <tableColumn id="11520" xr3:uid="{53AE6806-068C-4C3E-933D-697A797E9FA7}" name="Column11496" dataDxfId="4889"/>
    <tableColumn id="11521" xr3:uid="{46D11D9B-D249-42DC-BBB9-D4915E531A3D}" name="Column11497" dataDxfId="4888"/>
    <tableColumn id="11522" xr3:uid="{C8E0476F-E9F1-4C62-8424-36202F5BB267}" name="Column11498" dataDxfId="4887"/>
    <tableColumn id="11523" xr3:uid="{F4FFAA35-491D-416E-ADCC-E64B44A20ECA}" name="Column11499" dataDxfId="4886"/>
    <tableColumn id="11524" xr3:uid="{AD68C84A-2463-4559-980D-46A4183F70AD}" name="Column11500" dataDxfId="4885"/>
    <tableColumn id="11525" xr3:uid="{D85150B7-F684-46E0-8D2D-49712E27052C}" name="Column11501" dataDxfId="4884"/>
    <tableColumn id="11526" xr3:uid="{92B80FB9-366D-49C2-A0C0-FF2A927CAB06}" name="Column11502" dataDxfId="4883"/>
    <tableColumn id="11527" xr3:uid="{CE4FF631-03D2-431A-976E-0FC73F1EFC31}" name="Column11503" dataDxfId="4882"/>
    <tableColumn id="11528" xr3:uid="{4543CCAF-57FA-4344-A6F4-A7C3F7C52E8D}" name="Column11504" dataDxfId="4881"/>
    <tableColumn id="11529" xr3:uid="{56615EDF-404E-4255-82D6-D67214D77CFB}" name="Column11505" dataDxfId="4880"/>
    <tableColumn id="11530" xr3:uid="{E2631538-FC3C-49B1-9B7F-083CEDC7D817}" name="Column11506" dataDxfId="4879"/>
    <tableColumn id="11531" xr3:uid="{C58D43A2-7D1D-4757-85B7-C636471EDEE2}" name="Column11507" dataDxfId="4878"/>
    <tableColumn id="11532" xr3:uid="{26087F40-4A61-48A5-94E3-2B7301DA70AE}" name="Column11508" dataDxfId="4877"/>
    <tableColumn id="11533" xr3:uid="{AFCD2FFB-79BB-4453-869C-87F577E2450D}" name="Column11509" dataDxfId="4876"/>
    <tableColumn id="11534" xr3:uid="{0C2364B4-C339-41DE-B25E-4700897FD814}" name="Column11510" dataDxfId="4875"/>
    <tableColumn id="11535" xr3:uid="{FAF1CDF8-0916-4142-8C98-0B080DDA5E5A}" name="Column11511" dataDxfId="4874"/>
    <tableColumn id="11536" xr3:uid="{968F8A5A-A3CA-45BA-84D7-839FF1E88048}" name="Column11512" dataDxfId="4873"/>
    <tableColumn id="11537" xr3:uid="{C440F2D4-6E7A-4EAF-86EB-E045362F06CD}" name="Column11513" dataDxfId="4872"/>
    <tableColumn id="11538" xr3:uid="{FFB48CC3-6CEC-49B3-B0F2-1365BED455C6}" name="Column11514" dataDxfId="4871"/>
    <tableColumn id="11539" xr3:uid="{E17DDC4D-58F1-403D-936B-F9ECD35A0529}" name="Column11515" dataDxfId="4870"/>
    <tableColumn id="11540" xr3:uid="{46784C59-BD76-41E4-95A5-B5ABEB46B044}" name="Column11516" dataDxfId="4869"/>
    <tableColumn id="11541" xr3:uid="{F96480CE-EDE9-4DCD-9A72-7C15340AF5E8}" name="Column11517" dataDxfId="4868"/>
    <tableColumn id="11542" xr3:uid="{D54DEDB9-9F21-4189-B77C-70BCFB593B21}" name="Column11518" dataDxfId="4867"/>
    <tableColumn id="11543" xr3:uid="{14D265A5-F030-4886-BDEA-F9B47078D517}" name="Column11519" dataDxfId="4866"/>
    <tableColumn id="11544" xr3:uid="{2AA1E0C5-89FC-44E6-A7D2-3CC6A77FCE39}" name="Column11520" dataDxfId="4865"/>
    <tableColumn id="11545" xr3:uid="{13A59CCC-776A-46D1-B238-D8663346ED82}" name="Column11521" dataDxfId="4864"/>
    <tableColumn id="11546" xr3:uid="{D5A7D490-2DFF-46CB-BA0E-A76B4164091E}" name="Column11522" dataDxfId="4863"/>
    <tableColumn id="11547" xr3:uid="{EEFA3828-C387-49A0-817C-8E678624AF8C}" name="Column11523" dataDxfId="4862"/>
    <tableColumn id="11548" xr3:uid="{640ED098-06FD-4059-98CF-F191F03D12F6}" name="Column11524" dataDxfId="4861"/>
    <tableColumn id="11549" xr3:uid="{031189B0-0646-4C54-AA83-BE488E9C0EBF}" name="Column11525" dataDxfId="4860"/>
    <tableColumn id="11550" xr3:uid="{021CA3E0-171F-4CEF-93A6-1B70F5E3B255}" name="Column11526" dataDxfId="4859"/>
    <tableColumn id="11551" xr3:uid="{5F19455B-1A30-4937-BCA8-2B119C45FFA9}" name="Column11527" dataDxfId="4858"/>
    <tableColumn id="11552" xr3:uid="{5C8B2EA8-7E1A-4048-BB97-67B06B24A29E}" name="Column11528" dataDxfId="4857"/>
    <tableColumn id="11553" xr3:uid="{B11F688A-6C6D-40F7-933A-D082B948A99A}" name="Column11529" dataDxfId="4856"/>
    <tableColumn id="11554" xr3:uid="{3B57AB08-3634-4811-BC86-0ACA193A22CB}" name="Column11530" dataDxfId="4855"/>
    <tableColumn id="11555" xr3:uid="{6DB93259-DF51-43C5-A41B-43DBF48EDA97}" name="Column11531" dataDxfId="4854"/>
    <tableColumn id="11556" xr3:uid="{CEDA7F17-10C2-48F2-B4C1-4EDAF6925DED}" name="Column11532" dataDxfId="4853"/>
    <tableColumn id="11557" xr3:uid="{4217DDF3-26E9-4C2C-AA82-284838CA830F}" name="Column11533" dataDxfId="4852"/>
    <tableColumn id="11558" xr3:uid="{FB47204D-2693-4995-9E27-6083424A40D2}" name="Column11534" dataDxfId="4851"/>
    <tableColumn id="11559" xr3:uid="{E79F1F39-EB88-46A1-99EF-2363F0D8DA1F}" name="Column11535" dataDxfId="4850"/>
    <tableColumn id="11560" xr3:uid="{BB939F42-C7D6-4E78-A772-83FF275984E6}" name="Column11536" dataDxfId="4849"/>
    <tableColumn id="11561" xr3:uid="{73B14E8A-C6F6-48F5-AAC8-F1B17E2F21A8}" name="Column11537" dataDxfId="4848"/>
    <tableColumn id="11562" xr3:uid="{B7002F43-A42C-4B92-B9D8-B5C8E09FF6E8}" name="Column11538" dataDxfId="4847"/>
    <tableColumn id="11563" xr3:uid="{510941DD-6706-4B16-A0F1-BD273796EA35}" name="Column11539" dataDxfId="4846"/>
    <tableColumn id="11564" xr3:uid="{5C544FF9-7D5D-47D1-8DD5-D48741A88A2A}" name="Column11540" dataDxfId="4845"/>
    <tableColumn id="11565" xr3:uid="{8650FA61-9D08-4DEA-B4D0-A50F0A3B075F}" name="Column11541" dataDxfId="4844"/>
    <tableColumn id="11566" xr3:uid="{8A594543-9501-4707-AD7E-F36CDAD795E5}" name="Column11542" dataDxfId="4843"/>
    <tableColumn id="11567" xr3:uid="{D87CDD59-2B02-41DF-A532-4EE2B87E5A62}" name="Column11543" dataDxfId="4842"/>
    <tableColumn id="11568" xr3:uid="{9C4F20CA-F617-4D06-835C-6CFECE7BAAC7}" name="Column11544" dataDxfId="4841"/>
    <tableColumn id="11569" xr3:uid="{49F495CA-6926-43A7-84D5-5CEFA65754AE}" name="Column11545" dataDxfId="4840"/>
    <tableColumn id="11570" xr3:uid="{4F3F32B2-0780-4B91-A7E7-16B579893F55}" name="Column11546" dataDxfId="4839"/>
    <tableColumn id="11571" xr3:uid="{D7B0B049-FECF-4FBA-9C21-58ABFC6D97C2}" name="Column11547" dataDxfId="4838"/>
    <tableColumn id="11572" xr3:uid="{F790EC6F-9897-496C-BD78-5A46C04B2692}" name="Column11548" dataDxfId="4837"/>
    <tableColumn id="11573" xr3:uid="{FAA46227-FF1D-4FE9-9250-EFFAABF1D639}" name="Column11549" dataDxfId="4836"/>
    <tableColumn id="11574" xr3:uid="{A65ADD6B-06F7-4B99-B0AF-074F8BA74D38}" name="Column11550" dataDxfId="4835"/>
    <tableColumn id="11575" xr3:uid="{1B2C4DC6-AF3E-4412-87E9-63E54418585C}" name="Column11551" dataDxfId="4834"/>
    <tableColumn id="11576" xr3:uid="{2350AF4C-BF63-4942-98D4-D9D968118C92}" name="Column11552" dataDxfId="4833"/>
    <tableColumn id="11577" xr3:uid="{B8A39C7C-F8BC-4A32-9CDE-BF9E76DA2F9D}" name="Column11553" dataDxfId="4832"/>
    <tableColumn id="11578" xr3:uid="{A719FA33-2174-4331-AB96-93A9259F6376}" name="Column11554" dataDxfId="4831"/>
    <tableColumn id="11579" xr3:uid="{97264C92-B14F-45D5-91E2-4BF7239FB208}" name="Column11555" dataDxfId="4830"/>
    <tableColumn id="11580" xr3:uid="{A9C25C43-56EE-49B3-B3E0-16B3B8FB7D5C}" name="Column11556" dataDxfId="4829"/>
    <tableColumn id="11581" xr3:uid="{7B496A6D-435B-465A-AB53-2DE660AA925E}" name="Column11557" dataDxfId="4828"/>
    <tableColumn id="11582" xr3:uid="{62BC01FE-4470-4682-B4C3-DB798F7103A7}" name="Column11558" dataDxfId="4827"/>
    <tableColumn id="11583" xr3:uid="{7AC1F8C6-48C4-483B-896D-7AEB0457F6A4}" name="Column11559" dataDxfId="4826"/>
    <tableColumn id="11584" xr3:uid="{6F5D4A19-A4CC-4CB4-828E-295516440803}" name="Column11560" dataDxfId="4825"/>
    <tableColumn id="11585" xr3:uid="{95AF0C3C-EF89-4A24-BE11-20505EF1EA9B}" name="Column11561" dataDxfId="4824"/>
    <tableColumn id="11586" xr3:uid="{50343A27-BD87-41B8-9443-9C54F827AAC8}" name="Column11562" dataDxfId="4823"/>
    <tableColumn id="11587" xr3:uid="{DD0C984F-074B-4E37-9350-8A6A2F3E0A18}" name="Column11563" dataDxfId="4822"/>
    <tableColumn id="11588" xr3:uid="{5E5D837D-8122-41AE-8C08-A9D79BC265CB}" name="Column11564" dataDxfId="4821"/>
    <tableColumn id="11589" xr3:uid="{3F087D80-C11F-4A90-9843-B0FDF59F3DCA}" name="Column11565" dataDxfId="4820"/>
    <tableColumn id="11590" xr3:uid="{CAD511EC-3B1E-46EF-B566-91C735AA3EDA}" name="Column11566" dataDxfId="4819"/>
    <tableColumn id="11591" xr3:uid="{9BD6DE4B-BF4A-44F2-8916-0CC2AF7F9E61}" name="Column11567" dataDxfId="4818"/>
    <tableColumn id="11592" xr3:uid="{F9F78827-0041-41F6-84D0-DE3B9FC7FF00}" name="Column11568" dataDxfId="4817"/>
    <tableColumn id="11593" xr3:uid="{88DD1F5F-4CD1-4B51-9D9E-F92DAFE07312}" name="Column11569" dataDxfId="4816"/>
    <tableColumn id="11594" xr3:uid="{5DFF7EBE-080B-4DD8-A173-1E6BC9C69B51}" name="Column11570" dataDxfId="4815"/>
    <tableColumn id="11595" xr3:uid="{9D809E34-9DE1-42A0-86D2-A9A834D05324}" name="Column11571" dataDxfId="4814"/>
    <tableColumn id="11596" xr3:uid="{76100619-5577-4209-A4C1-D562126E8C1F}" name="Column11572" dataDxfId="4813"/>
    <tableColumn id="11597" xr3:uid="{27784811-6094-4F39-B3AE-21808B4EBBF9}" name="Column11573" dataDxfId="4812"/>
    <tableColumn id="11598" xr3:uid="{FF1EF6C9-85AD-4018-A72C-D86431E6A441}" name="Column11574" dataDxfId="4811"/>
    <tableColumn id="11599" xr3:uid="{95B598BC-CF98-4310-9DF4-6C4D0F58AD8F}" name="Column11575" dataDxfId="4810"/>
    <tableColumn id="11600" xr3:uid="{E5E8B64C-10C1-4833-9FFE-DC389C4C849D}" name="Column11576" dataDxfId="4809"/>
    <tableColumn id="11601" xr3:uid="{A85DBBBF-1CC2-4F87-BB3E-6892088D08B0}" name="Column11577" dataDxfId="4808"/>
    <tableColumn id="11602" xr3:uid="{20643D78-4450-4284-8BF6-407A870A6623}" name="Column11578" dataDxfId="4807"/>
    <tableColumn id="11603" xr3:uid="{07C8D2A7-2879-4080-9426-ED39F712651F}" name="Column11579" dataDxfId="4806"/>
    <tableColumn id="11604" xr3:uid="{4B9C5B8C-DBAC-4B00-8B33-484B95234486}" name="Column11580" dataDxfId="4805"/>
    <tableColumn id="11605" xr3:uid="{59013019-9291-46C5-98C1-F838F0AC292D}" name="Column11581" dataDxfId="4804"/>
    <tableColumn id="11606" xr3:uid="{5DA76429-2051-44B3-BFF8-CE0CF4B90884}" name="Column11582" dataDxfId="4803"/>
    <tableColumn id="11607" xr3:uid="{DAD5DDCC-B0D9-4294-A458-E9C1D637E727}" name="Column11583" dataDxfId="4802"/>
    <tableColumn id="11608" xr3:uid="{37E89A5B-AB03-4152-AF32-4DC1CC2E8CC1}" name="Column11584" dataDxfId="4801"/>
    <tableColumn id="11609" xr3:uid="{8B887618-2FDF-4AB1-B575-63B5E11E4CFE}" name="Column11585" dataDxfId="4800"/>
    <tableColumn id="11610" xr3:uid="{DA9CF711-16CA-47FB-B88C-5A0EBB9C6A2B}" name="Column11586" dataDxfId="4799"/>
    <tableColumn id="11611" xr3:uid="{354B1E93-02F3-478E-AB42-E5CD3B869701}" name="Column11587" dataDxfId="4798"/>
    <tableColumn id="11612" xr3:uid="{1AF28AFE-E665-4D5B-8876-AB84AA151C92}" name="Column11588" dataDxfId="4797"/>
    <tableColumn id="11613" xr3:uid="{F46D5D8C-5ECB-427B-A14F-2E10F99FB0D8}" name="Column11589" dataDxfId="4796"/>
    <tableColumn id="11614" xr3:uid="{A4694562-BDAB-446B-BCDA-9F10F744F41F}" name="Column11590" dataDxfId="4795"/>
    <tableColumn id="11615" xr3:uid="{A234DFB4-2E2E-4BF1-BC64-E9C0541383B0}" name="Column11591" dataDxfId="4794"/>
    <tableColumn id="11616" xr3:uid="{0460FF6D-050A-4C0B-A1B8-FEC9330A0348}" name="Column11592" dataDxfId="4793"/>
    <tableColumn id="11617" xr3:uid="{009F42A0-AE3E-4653-9720-6843518954C1}" name="Column11593" dataDxfId="4792"/>
    <tableColumn id="11618" xr3:uid="{B31B2118-2FCA-443B-940E-A9C5EDC61E95}" name="Column11594" dataDxfId="4791"/>
    <tableColumn id="11619" xr3:uid="{EC478689-271D-494A-8384-9899787E33A9}" name="Column11595" dataDxfId="4790"/>
    <tableColumn id="11620" xr3:uid="{0B28F123-697F-446F-AE16-D9D11E7FF41F}" name="Column11596" dataDxfId="4789"/>
    <tableColumn id="11621" xr3:uid="{ACC731F7-5643-4AD5-B736-576BA620DDCF}" name="Column11597" dataDxfId="4788"/>
    <tableColumn id="11622" xr3:uid="{BDE42A88-EBB7-47E9-9485-187179F139C1}" name="Column11598" dataDxfId="4787"/>
    <tableColumn id="11623" xr3:uid="{6FDEA2B9-A670-4B33-9417-99952DD7421F}" name="Column11599" dataDxfId="4786"/>
    <tableColumn id="11624" xr3:uid="{0BAF33DF-84E0-4332-8189-EA4BE7B999A4}" name="Column11600" dataDxfId="4785"/>
    <tableColumn id="11625" xr3:uid="{6980C402-59E4-465F-95B7-B0DF676AE812}" name="Column11601" dataDxfId="4784"/>
    <tableColumn id="11626" xr3:uid="{9A651D38-FDBA-4DC3-B94C-735EAC54DAF3}" name="Column11602" dataDxfId="4783"/>
    <tableColumn id="11627" xr3:uid="{7DE56CF3-FFA2-4DC0-BBBC-70F2DB91FE3F}" name="Column11603" dataDxfId="4782"/>
    <tableColumn id="11628" xr3:uid="{0B02B594-DF4F-4EF6-80A0-D13F5E93E400}" name="Column11604" dataDxfId="4781"/>
    <tableColumn id="11629" xr3:uid="{165B0061-4164-466A-AD72-BAD0FB2CA60F}" name="Column11605" dataDxfId="4780"/>
    <tableColumn id="11630" xr3:uid="{09A3C987-ABA7-4DE0-A690-5C8EEF954FF3}" name="Column11606" dataDxfId="4779"/>
    <tableColumn id="11631" xr3:uid="{CC2B7C72-926B-4FC1-A8DD-4CCB3AFB2B55}" name="Column11607" dataDxfId="4778"/>
    <tableColumn id="11632" xr3:uid="{E8D6E0FF-67E4-4AAC-8052-1D25D9F8EF44}" name="Column11608" dataDxfId="4777"/>
    <tableColumn id="11633" xr3:uid="{3CB049D2-A07C-4BDE-9703-380BF7BC2B56}" name="Column11609" dataDxfId="4776"/>
    <tableColumn id="11634" xr3:uid="{9C6BB8C1-33F4-402D-B223-5876672625F0}" name="Column11610" dataDxfId="4775"/>
    <tableColumn id="11635" xr3:uid="{09D82EA8-E3C9-43CE-A5A6-1CF9EDE1F7D9}" name="Column11611" dataDxfId="4774"/>
    <tableColumn id="11636" xr3:uid="{C7A1E928-E268-4149-A183-F59BF4206418}" name="Column11612" dataDxfId="4773"/>
    <tableColumn id="11637" xr3:uid="{F685146E-321F-48CB-9823-F25582571AC3}" name="Column11613" dataDxfId="4772"/>
    <tableColumn id="11638" xr3:uid="{0E42ADFE-FB11-4386-A753-1AE84439B885}" name="Column11614" dataDxfId="4771"/>
    <tableColumn id="11639" xr3:uid="{A3EBA42D-C2BF-4F57-804B-F01F94DDBDCD}" name="Column11615" dataDxfId="4770"/>
    <tableColumn id="11640" xr3:uid="{0A7EE836-6322-49FF-B1C0-B99FEBDAE24F}" name="Column11616" dataDxfId="4769"/>
    <tableColumn id="11641" xr3:uid="{E326B9B0-2C4C-4A15-8D43-2A96B081214C}" name="Column11617" dataDxfId="4768"/>
    <tableColumn id="11642" xr3:uid="{95FA7C32-4400-414F-98E5-1F315C9A0F27}" name="Column11618" dataDxfId="4767"/>
    <tableColumn id="11643" xr3:uid="{17ADD272-0C7B-40B6-8F69-D7CD986AC630}" name="Column11619" dataDxfId="4766"/>
    <tableColumn id="11644" xr3:uid="{C7EA8954-18B8-4D9C-8BB7-B9DFB14DFD76}" name="Column11620" dataDxfId="4765"/>
    <tableColumn id="11645" xr3:uid="{E017CF4C-C17B-4253-A011-9252C6912C81}" name="Column11621" dataDxfId="4764"/>
    <tableColumn id="11646" xr3:uid="{D2C1DD97-8489-4688-B622-DE282B8EBB02}" name="Column11622" dataDxfId="4763"/>
    <tableColumn id="11647" xr3:uid="{15E5DF34-82D1-4F57-8F55-F41D3D25C6CE}" name="Column11623" dataDxfId="4762"/>
    <tableColumn id="11648" xr3:uid="{2D70AF43-0C08-4905-A5E2-D20A4FCAED05}" name="Column11624" dataDxfId="4761"/>
    <tableColumn id="11649" xr3:uid="{FE1811D4-553C-4377-B0C6-10AEF88ED8AC}" name="Column11625" dataDxfId="4760"/>
    <tableColumn id="11650" xr3:uid="{360D2F01-89F4-462F-95D3-99220C1B5FE2}" name="Column11626" dataDxfId="4759"/>
    <tableColumn id="11651" xr3:uid="{B0C33985-4ED6-49DC-B82C-E507DFF6CA48}" name="Column11627" dataDxfId="4758"/>
    <tableColumn id="11652" xr3:uid="{C4FADFE8-2861-4EC7-96A7-B5B6E938F262}" name="Column11628" dataDxfId="4757"/>
    <tableColumn id="11653" xr3:uid="{4A1541E5-9807-46CB-B384-D05852778101}" name="Column11629" dataDxfId="4756"/>
    <tableColumn id="11654" xr3:uid="{51F01079-784A-427E-B7C4-ABA1928B2434}" name="Column11630" dataDxfId="4755"/>
    <tableColumn id="11655" xr3:uid="{0AFF8A8D-BA92-4566-BEEF-40E255F1FD2E}" name="Column11631" dataDxfId="4754"/>
    <tableColumn id="11656" xr3:uid="{91C2B42D-8947-40CC-925E-139D57E69A72}" name="Column11632" dataDxfId="4753"/>
    <tableColumn id="11657" xr3:uid="{E8E445EB-4422-47CC-BDB1-F0F5FEA6FD18}" name="Column11633" dataDxfId="4752"/>
    <tableColumn id="11658" xr3:uid="{B73F8CCD-EA9C-4F48-83FF-47935D112A7D}" name="Column11634" dataDxfId="4751"/>
    <tableColumn id="11659" xr3:uid="{C0A75EE9-6E89-49DD-A539-073E96EE92C9}" name="Column11635" dataDxfId="4750"/>
    <tableColumn id="11660" xr3:uid="{B8DA1800-FE4C-460E-96C3-DCA70FD6F718}" name="Column11636" dataDxfId="4749"/>
    <tableColumn id="11661" xr3:uid="{D7EAF058-3448-4029-861D-8894D9E517F9}" name="Column11637" dataDxfId="4748"/>
    <tableColumn id="11662" xr3:uid="{08D50E8E-1211-44FA-8634-6F2649E4ED6B}" name="Column11638" dataDxfId="4747"/>
    <tableColumn id="11663" xr3:uid="{2680C845-1559-46C7-9E1E-5CFCFB6133AF}" name="Column11639" dataDxfId="4746"/>
    <tableColumn id="11664" xr3:uid="{6D32B425-13F5-4439-AAB1-CC77C42DDEF9}" name="Column11640" dataDxfId="4745"/>
    <tableColumn id="11665" xr3:uid="{826177C5-A742-4478-A28D-B498B2AD7C2E}" name="Column11641" dataDxfId="4744"/>
    <tableColumn id="11666" xr3:uid="{E9E8067F-853E-4BDB-9631-B774F8B20807}" name="Column11642" dataDxfId="4743"/>
    <tableColumn id="11667" xr3:uid="{395291F7-5125-49F1-91E9-A85964D0BF56}" name="Column11643" dataDxfId="4742"/>
    <tableColumn id="11668" xr3:uid="{953077D0-D7AD-4902-A5DA-439E4D30AF65}" name="Column11644" dataDxfId="4741"/>
    <tableColumn id="11669" xr3:uid="{6ECCF1E4-3A4E-479D-9901-CB329B139683}" name="Column11645" dataDxfId="4740"/>
    <tableColumn id="11670" xr3:uid="{03634D19-4A49-4383-A60F-FDF8C26A91DE}" name="Column11646" dataDxfId="4739"/>
    <tableColumn id="11671" xr3:uid="{3B301D80-AEC4-4171-A629-E103D211A37A}" name="Column11647" dataDxfId="4738"/>
    <tableColumn id="11672" xr3:uid="{8C2D3ABF-B1C7-4263-A6F9-9E092C27E4EC}" name="Column11648" dataDxfId="4737"/>
    <tableColumn id="11673" xr3:uid="{2CCDDB3C-6A28-4134-9F8F-F32622FC796D}" name="Column11649" dataDxfId="4736"/>
    <tableColumn id="11674" xr3:uid="{F111BE8B-4607-421C-9E72-8FC478A1A7AD}" name="Column11650" dataDxfId="4735"/>
    <tableColumn id="11675" xr3:uid="{C151FC2D-5B0D-4F2C-8A14-77BA3D83B6F5}" name="Column11651" dataDxfId="4734"/>
    <tableColumn id="11676" xr3:uid="{3D94415E-7738-4A5D-BA75-32A6CF9D2A16}" name="Column11652" dataDxfId="4733"/>
    <tableColumn id="11677" xr3:uid="{59758322-BA96-4DF7-B8F0-B255955995EF}" name="Column11653" dataDxfId="4732"/>
    <tableColumn id="11678" xr3:uid="{594558BE-8016-4BBF-A0ED-B5E1C039058C}" name="Column11654" dataDxfId="4731"/>
    <tableColumn id="11679" xr3:uid="{4C17DEC4-5497-4502-B220-4EA9DC5D7D16}" name="Column11655" dataDxfId="4730"/>
    <tableColumn id="11680" xr3:uid="{A3F07347-9F7A-4DBD-9CBE-3DED95AD3884}" name="Column11656" dataDxfId="4729"/>
    <tableColumn id="11681" xr3:uid="{A705FDB4-199A-4128-9632-7286EA845650}" name="Column11657" dataDxfId="4728"/>
    <tableColumn id="11682" xr3:uid="{D9F65E7A-4772-4F90-9F40-026BD332F43B}" name="Column11658" dataDxfId="4727"/>
    <tableColumn id="11683" xr3:uid="{2D0C9136-A5EA-4931-8BAB-0AB1D1A95690}" name="Column11659" dataDxfId="4726"/>
    <tableColumn id="11684" xr3:uid="{97F1FC4B-AD2D-4C99-8ADD-26A8E9AE36C2}" name="Column11660" dataDxfId="4725"/>
    <tableColumn id="11685" xr3:uid="{B173BA44-F486-4D13-A362-A7C481DC2BB2}" name="Column11661" dataDxfId="4724"/>
    <tableColumn id="11686" xr3:uid="{328D95A5-D51D-42EA-8032-C3B6C367023F}" name="Column11662" dataDxfId="4723"/>
    <tableColumn id="11687" xr3:uid="{3C2BA945-B0BA-41F4-8824-E5530069F9E4}" name="Column11663" dataDxfId="4722"/>
    <tableColumn id="11688" xr3:uid="{965533BC-E2C8-4952-BEB9-64E2F9C81C20}" name="Column11664" dataDxfId="4721"/>
    <tableColumn id="11689" xr3:uid="{7C1C8ABE-B16B-4C9A-957E-7B70F8BF7394}" name="Column11665" dataDxfId="4720"/>
    <tableColumn id="11690" xr3:uid="{16C5FA0A-1BFB-4505-BD42-A9C96DB5545E}" name="Column11666" dataDxfId="4719"/>
    <tableColumn id="11691" xr3:uid="{85DAC35B-5D56-4F18-A957-549CE4CD538D}" name="Column11667" dataDxfId="4718"/>
    <tableColumn id="11692" xr3:uid="{00603B23-41E0-4D2F-9015-F1DAC71F0B86}" name="Column11668" dataDxfId="4717"/>
    <tableColumn id="11693" xr3:uid="{32CA64D2-8A0F-4044-956B-5E6E986B54E3}" name="Column11669" dataDxfId="4716"/>
    <tableColumn id="11694" xr3:uid="{FCDAD3C2-BF1B-4B58-AA88-19A26F6E6D03}" name="Column11670" dataDxfId="4715"/>
    <tableColumn id="11695" xr3:uid="{D49BE680-0690-43A7-8226-488982DE5C58}" name="Column11671" dataDxfId="4714"/>
    <tableColumn id="11696" xr3:uid="{1F0A5F62-57EE-468F-8669-E936DDD02D50}" name="Column11672" dataDxfId="4713"/>
    <tableColumn id="11697" xr3:uid="{4DCE41EB-F536-4CD5-90B3-63C1E092E5AA}" name="Column11673" dataDxfId="4712"/>
    <tableColumn id="11698" xr3:uid="{9061A755-3461-49BF-98BC-779B099BC2FB}" name="Column11674" dataDxfId="4711"/>
    <tableColumn id="11699" xr3:uid="{3B5F5C35-2C18-459C-8B52-C458AF833661}" name="Column11675" dataDxfId="4710"/>
    <tableColumn id="11700" xr3:uid="{EAB26AE5-A965-499B-9F6A-56BA378114AB}" name="Column11676" dataDxfId="4709"/>
    <tableColumn id="11701" xr3:uid="{3BDE0AF3-47B4-4B9A-B50A-C47A43E41B3F}" name="Column11677" dataDxfId="4708"/>
    <tableColumn id="11702" xr3:uid="{42A5AFA2-0078-4B03-B9C5-AC976EA95219}" name="Column11678" dataDxfId="4707"/>
    <tableColumn id="11703" xr3:uid="{CA1747D9-3856-4884-A88B-11F025E2C81C}" name="Column11679" dataDxfId="4706"/>
    <tableColumn id="11704" xr3:uid="{33F40E61-6E27-433A-9B72-1D142225D69E}" name="Column11680" dataDxfId="4705"/>
    <tableColumn id="11705" xr3:uid="{27885ED8-E5F3-4F63-A3A8-0FC50824F052}" name="Column11681" dataDxfId="4704"/>
    <tableColumn id="11706" xr3:uid="{729AAC67-3384-4B1C-BCB3-8CD1D85814C9}" name="Column11682" dataDxfId="4703"/>
    <tableColumn id="11707" xr3:uid="{DC0F6DC7-CB0A-4BBE-9E31-518F7A771624}" name="Column11683" dataDxfId="4702"/>
    <tableColumn id="11708" xr3:uid="{91F6827A-178D-430B-AEED-403A0CC9683C}" name="Column11684" dataDxfId="4701"/>
    <tableColumn id="11709" xr3:uid="{C3E14BB5-C3F5-426B-9FD6-569438ACB1F6}" name="Column11685" dataDxfId="4700"/>
    <tableColumn id="11710" xr3:uid="{458B9F6B-D7E0-481D-B6C5-C6ADAABDF6E0}" name="Column11686" dataDxfId="4699"/>
    <tableColumn id="11711" xr3:uid="{127F2634-9386-4164-97CB-0EF6613BD817}" name="Column11687" dataDxfId="4698"/>
    <tableColumn id="11712" xr3:uid="{CECFD8F6-82D4-4424-9937-B2C1CF735FD1}" name="Column11688" dataDxfId="4697"/>
    <tableColumn id="11713" xr3:uid="{15A3746A-84FE-4669-B885-EDAFA303ACBA}" name="Column11689" dataDxfId="4696"/>
    <tableColumn id="11714" xr3:uid="{46955DA5-3D6F-43F8-B457-8C3805554E7C}" name="Column11690" dataDxfId="4695"/>
    <tableColumn id="11715" xr3:uid="{D8D4AF38-582A-419A-A67A-C5FDD07382AB}" name="Column11691" dataDxfId="4694"/>
    <tableColumn id="11716" xr3:uid="{8CDC2737-BCF1-4CD1-9BF1-EB4A0DCE81C8}" name="Column11692" dataDxfId="4693"/>
    <tableColumn id="11717" xr3:uid="{85B98B1D-84A2-4D91-8EEE-2EF490AA24F3}" name="Column11693" dataDxfId="4692"/>
    <tableColumn id="11718" xr3:uid="{9FA4F125-A7EA-448D-BCC8-448FA82E9E4F}" name="Column11694" dataDxfId="4691"/>
    <tableColumn id="11719" xr3:uid="{C0E987D2-681E-4F0B-8628-D5994F9B3985}" name="Column11695" dataDxfId="4690"/>
    <tableColumn id="11720" xr3:uid="{DA4F8DFC-FAB6-4C4E-B9D5-9CC43BD0E80E}" name="Column11696" dataDxfId="4689"/>
    <tableColumn id="11721" xr3:uid="{00F7BA91-611F-4330-B382-6E7A390E4FCF}" name="Column11697" dataDxfId="4688"/>
    <tableColumn id="11722" xr3:uid="{5B38F953-89B8-481D-B81E-F836AE1CE0A8}" name="Column11698" dataDxfId="4687"/>
    <tableColumn id="11723" xr3:uid="{FFBFA1EF-EDD7-4374-AE8A-F0424993D1BA}" name="Column11699" dataDxfId="4686"/>
    <tableColumn id="11724" xr3:uid="{7A6DCB60-B344-4871-866A-50CBBEE05820}" name="Column11700" dataDxfId="4685"/>
    <tableColumn id="11725" xr3:uid="{89F54FD6-93E1-4FBD-BCB9-2FA812849AE3}" name="Column11701" dataDxfId="4684"/>
    <tableColumn id="11726" xr3:uid="{B0DF76F7-2A6B-441D-9A65-50723A0757D9}" name="Column11702" dataDxfId="4683"/>
    <tableColumn id="11727" xr3:uid="{667CB1FE-019E-4C98-89D1-E488DDFB7168}" name="Column11703" dataDxfId="4682"/>
    <tableColumn id="11728" xr3:uid="{37C21741-C29E-4D7B-B45C-D9D64B74000B}" name="Column11704" dataDxfId="4681"/>
    <tableColumn id="11729" xr3:uid="{5BAE3271-93E2-4018-ADBF-4B15CBE81DE2}" name="Column11705" dataDxfId="4680"/>
    <tableColumn id="11730" xr3:uid="{1A133A8B-3E54-4761-9268-BBED3ECC8E63}" name="Column11706" dataDxfId="4679"/>
    <tableColumn id="11731" xr3:uid="{0760D009-23DC-4683-8D4F-BBFB71E713C3}" name="Column11707" dataDxfId="4678"/>
    <tableColumn id="11732" xr3:uid="{0F4C29DD-9B4A-4710-A93A-C25D6C5F9389}" name="Column11708" dataDxfId="4677"/>
    <tableColumn id="11733" xr3:uid="{854C1134-023B-4662-8B3C-5164909D2082}" name="Column11709" dataDxfId="4676"/>
    <tableColumn id="11734" xr3:uid="{9F911B81-8F4A-4F61-B230-2324C5CF9084}" name="Column11710" dataDxfId="4675"/>
    <tableColumn id="11735" xr3:uid="{21D656D2-DDDC-48BE-AD25-136686735BFD}" name="Column11711" dataDxfId="4674"/>
    <tableColumn id="11736" xr3:uid="{3B399B79-F924-4EA4-B6B3-4DA10860456D}" name="Column11712" dataDxfId="4673"/>
    <tableColumn id="11737" xr3:uid="{8E26EA77-B22D-401C-A41B-EFCF239EA535}" name="Column11713" dataDxfId="4672"/>
    <tableColumn id="11738" xr3:uid="{9FA50AE7-4A4A-4200-8A08-BA1811B55E38}" name="Column11714" dataDxfId="4671"/>
    <tableColumn id="11739" xr3:uid="{F7EDD41C-6AC2-49A0-B8AB-C0A8217AA6A8}" name="Column11715" dataDxfId="4670"/>
    <tableColumn id="11740" xr3:uid="{C2692FCF-7C1B-43EF-BD6B-C47C5CA43421}" name="Column11716" dataDxfId="4669"/>
    <tableColumn id="11741" xr3:uid="{C50BDE27-F6AF-41B4-B961-96C80FD10A15}" name="Column11717" dataDxfId="4668"/>
    <tableColumn id="11742" xr3:uid="{B5337410-7C21-4E94-9251-A726B5E62CCE}" name="Column11718" dataDxfId="4667"/>
    <tableColumn id="11743" xr3:uid="{CA92A163-9D92-4E26-8081-EB67C14EE6D8}" name="Column11719" dataDxfId="4666"/>
    <tableColumn id="11744" xr3:uid="{810951AC-8B2C-4B80-A63D-AA44B2A77718}" name="Column11720" dataDxfId="4665"/>
    <tableColumn id="11745" xr3:uid="{2A65CFA6-2B58-4FD0-861C-2B9FD34057C0}" name="Column11721" dataDxfId="4664"/>
    <tableColumn id="11746" xr3:uid="{26DE34CB-A1F2-4469-A300-682616008224}" name="Column11722" dataDxfId="4663"/>
    <tableColumn id="11747" xr3:uid="{7F22501A-D73B-4A59-899D-93687CB4781E}" name="Column11723" dataDxfId="4662"/>
    <tableColumn id="11748" xr3:uid="{37ADE96C-5488-4D97-B296-7C57190EF89F}" name="Column11724" dataDxfId="4661"/>
    <tableColumn id="11749" xr3:uid="{8738A324-4CA0-4D0D-92C7-4BB13ED53E21}" name="Column11725" dataDxfId="4660"/>
    <tableColumn id="11750" xr3:uid="{CC5AF7A4-4FBA-40A1-9405-80DE648CDD2E}" name="Column11726" dataDxfId="4659"/>
    <tableColumn id="11751" xr3:uid="{766F2883-EB18-4D82-A4F3-B53A4FC9BC7B}" name="Column11727" dataDxfId="4658"/>
    <tableColumn id="11752" xr3:uid="{E4EE7FE2-23F0-4DFC-8F0C-8CDEFF4C2D54}" name="Column11728" dataDxfId="4657"/>
    <tableColumn id="11753" xr3:uid="{A268D986-F56F-48DD-A0B7-27BEE1FFE914}" name="Column11729" dataDxfId="4656"/>
    <tableColumn id="11754" xr3:uid="{E79172A8-A083-493D-ADA9-6092EA24022C}" name="Column11730" dataDxfId="4655"/>
    <tableColumn id="11755" xr3:uid="{7E2F121C-AA33-46E3-86E6-6A433B562702}" name="Column11731" dataDxfId="4654"/>
    <tableColumn id="11756" xr3:uid="{641843BA-3EF3-420B-8100-9B38D6A73235}" name="Column11732" dataDxfId="4653"/>
    <tableColumn id="11757" xr3:uid="{1A783D72-29D8-4AE7-B9A2-F71C112BA8B3}" name="Column11733" dataDxfId="4652"/>
    <tableColumn id="11758" xr3:uid="{5D0F39BB-2003-4E26-8A41-2A5E82ABB3F6}" name="Column11734" dataDxfId="4651"/>
    <tableColumn id="11759" xr3:uid="{70217931-4D9D-4A3E-8324-56D7D8B6924E}" name="Column11735" dataDxfId="4650"/>
    <tableColumn id="11760" xr3:uid="{BA6E5FC7-38B1-4E52-AFF4-CD59C6C369E9}" name="Column11736" dataDxfId="4649"/>
    <tableColumn id="11761" xr3:uid="{42432389-1AC5-4339-96C2-DB5E9735BEA0}" name="Column11737" dataDxfId="4648"/>
    <tableColumn id="11762" xr3:uid="{CF67A608-0A3F-468F-A542-942F938EF7A7}" name="Column11738" dataDxfId="4647"/>
    <tableColumn id="11763" xr3:uid="{EA43F480-B1F9-49B3-BB28-896298209394}" name="Column11739" dataDxfId="4646"/>
    <tableColumn id="11764" xr3:uid="{50D4FEB7-AE07-47BF-B480-F0F939C1E0F4}" name="Column11740" dataDxfId="4645"/>
    <tableColumn id="11765" xr3:uid="{A345E82E-964C-4DFB-8CCE-9F6D202456F7}" name="Column11741" dataDxfId="4644"/>
    <tableColumn id="11766" xr3:uid="{2F4BD2D4-0FF0-461C-ADE4-D547C5DC0467}" name="Column11742" dataDxfId="4643"/>
    <tableColumn id="11767" xr3:uid="{0B252817-43BB-403B-9EA7-354D67B205DE}" name="Column11743" dataDxfId="4642"/>
    <tableColumn id="11768" xr3:uid="{1E7EF0A8-8C32-45BA-BF8A-64CA80E55921}" name="Column11744" dataDxfId="4641"/>
    <tableColumn id="11769" xr3:uid="{124D4D5D-052E-4FCC-AC1B-065AE422755D}" name="Column11745" dataDxfId="4640"/>
    <tableColumn id="11770" xr3:uid="{4AE3520C-4E18-4610-A26A-E62133C65DC9}" name="Column11746" dataDxfId="4639"/>
    <tableColumn id="11771" xr3:uid="{A1FB6554-57A7-42B2-90D9-D5013962954D}" name="Column11747" dataDxfId="4638"/>
    <tableColumn id="11772" xr3:uid="{8E8BFC95-8959-43E3-A709-F826D3BCA71F}" name="Column11748" dataDxfId="4637"/>
    <tableColumn id="11773" xr3:uid="{522562AE-0ED6-40F6-9FF0-1A3F40CE8761}" name="Column11749" dataDxfId="4636"/>
    <tableColumn id="11774" xr3:uid="{EA61F7BE-DED7-49E5-A7DD-8C3E95755B9E}" name="Column11750" dataDxfId="4635"/>
    <tableColumn id="11775" xr3:uid="{34E2EAB2-D10F-4D51-B873-A410D60B06F4}" name="Column11751" dataDxfId="4634"/>
    <tableColumn id="11776" xr3:uid="{BA5A7A80-58DE-4A87-A764-841A30679504}" name="Column11752" dataDxfId="4633"/>
    <tableColumn id="11777" xr3:uid="{D89888F7-633C-46A6-A5F0-C2C30C708752}" name="Column11753" dataDxfId="4632"/>
    <tableColumn id="11778" xr3:uid="{D62C7FCE-E0D9-469E-8741-B00CA3F3A653}" name="Column11754" dataDxfId="4631"/>
    <tableColumn id="11779" xr3:uid="{96ED900A-F4FA-4675-AC90-28D532A8FE61}" name="Column11755" dataDxfId="4630"/>
    <tableColumn id="11780" xr3:uid="{996A12EC-B9D4-4036-902B-DB26722DA322}" name="Column11756" dataDxfId="4629"/>
    <tableColumn id="11781" xr3:uid="{26FB74E4-D3BD-473A-8C00-09110567D07B}" name="Column11757" dataDxfId="4628"/>
    <tableColumn id="11782" xr3:uid="{CBC49E56-3B0D-41CA-A038-D25EFED038D8}" name="Column11758" dataDxfId="4627"/>
    <tableColumn id="11783" xr3:uid="{5ED040FB-9F41-4D33-B5D3-9FD7CE2542A6}" name="Column11759" dataDxfId="4626"/>
    <tableColumn id="11784" xr3:uid="{3E9562AB-CB12-4EB7-93F2-BD443649F678}" name="Column11760" dataDxfId="4625"/>
    <tableColumn id="11785" xr3:uid="{A8A31DA2-8ED6-4B18-A55E-965BED53137B}" name="Column11761" dataDxfId="4624"/>
    <tableColumn id="11786" xr3:uid="{6B78843E-7FD4-4B66-BA43-6109E50A3493}" name="Column11762" dataDxfId="4623"/>
    <tableColumn id="11787" xr3:uid="{4AD283A2-F455-45AE-B521-85D096488DA3}" name="Column11763" dataDxfId="4622"/>
    <tableColumn id="11788" xr3:uid="{994EC5AE-9C8C-40DC-8729-473D370EA6C9}" name="Column11764" dataDxfId="4621"/>
    <tableColumn id="11789" xr3:uid="{515E48E5-40D7-4C67-9DB3-26F2A46B4E25}" name="Column11765" dataDxfId="4620"/>
    <tableColumn id="11790" xr3:uid="{71E818CB-A7BA-4989-BE02-6B7873AFA7E6}" name="Column11766" dataDxfId="4619"/>
    <tableColumn id="11791" xr3:uid="{42BFF1D1-3784-4C4C-9596-50950A6D58B1}" name="Column11767" dataDxfId="4618"/>
    <tableColumn id="11792" xr3:uid="{EE5D3A34-4EBE-4D9A-9C0B-8FE90AEA8841}" name="Column11768" dataDxfId="4617"/>
    <tableColumn id="11793" xr3:uid="{4ADEBB04-724F-49A1-8A04-80227947E53B}" name="Column11769" dataDxfId="4616"/>
    <tableColumn id="11794" xr3:uid="{CD316E94-B2DC-46AF-BF34-A8BA269CB271}" name="Column11770" dataDxfId="4615"/>
    <tableColumn id="11795" xr3:uid="{04D400E7-B696-4442-8191-CCBD3DDFFC24}" name="Column11771" dataDxfId="4614"/>
    <tableColumn id="11796" xr3:uid="{ECCFFEB9-6525-4136-973E-024106039A89}" name="Column11772" dataDxfId="4613"/>
    <tableColumn id="11797" xr3:uid="{A146E2AA-A198-473C-B481-C26E2FAAE788}" name="Column11773" dataDxfId="4612"/>
    <tableColumn id="11798" xr3:uid="{A1481B93-AE6A-45FB-BCB8-D83EFDB930C1}" name="Column11774" dataDxfId="4611"/>
    <tableColumn id="11799" xr3:uid="{9D4CF6D0-81FD-4C63-82A5-20C17864B17A}" name="Column11775" dataDxfId="4610"/>
    <tableColumn id="11800" xr3:uid="{9C9FADE2-F7A2-41F4-8571-FD33CE680EA6}" name="Column11776" dataDxfId="4609"/>
    <tableColumn id="11801" xr3:uid="{BA082787-2BF8-4B1A-AC8E-54B7F8034AD7}" name="Column11777" dataDxfId="4608"/>
    <tableColumn id="11802" xr3:uid="{BB0B2608-1A41-42B9-B9EF-0D479ADE27A6}" name="Column11778" dataDxfId="4607"/>
    <tableColumn id="11803" xr3:uid="{CB42B94A-408D-4CF2-8D32-50EAF70292C9}" name="Column11779" dataDxfId="4606"/>
    <tableColumn id="11804" xr3:uid="{319683A7-DD4B-4B52-80CB-A43F881E30E4}" name="Column11780" dataDxfId="4605"/>
    <tableColumn id="11805" xr3:uid="{CA8212FB-1207-4114-B0E3-CF2C14B7366C}" name="Column11781" dataDxfId="4604"/>
    <tableColumn id="11806" xr3:uid="{6A75D76A-3E96-4CED-883F-E3AC9DB71529}" name="Column11782" dataDxfId="4603"/>
    <tableColumn id="11807" xr3:uid="{25264CCB-C12F-4927-910C-82FA69F30152}" name="Column11783" dataDxfId="4602"/>
    <tableColumn id="11808" xr3:uid="{CD3FC7AF-7611-4D71-BBC6-CC886705BE57}" name="Column11784" dataDxfId="4601"/>
    <tableColumn id="11809" xr3:uid="{03B153B0-1821-46B0-9849-8E34FE0B2043}" name="Column11785" dataDxfId="4600"/>
    <tableColumn id="11810" xr3:uid="{61AA70D9-2D78-4725-B99E-A67D2ACAD3B4}" name="Column11786" dataDxfId="4599"/>
    <tableColumn id="11811" xr3:uid="{BB545681-1D44-417E-BA0F-FAE0681744A4}" name="Column11787" dataDxfId="4598"/>
    <tableColumn id="11812" xr3:uid="{9544AA6F-C4BD-4B5E-B989-4E17B0C34838}" name="Column11788" dataDxfId="4597"/>
    <tableColumn id="11813" xr3:uid="{FE711FE1-6E52-4979-AFC9-20C678A7984B}" name="Column11789" dataDxfId="4596"/>
    <tableColumn id="11814" xr3:uid="{081A8A3E-D885-4826-808A-678DBB593371}" name="Column11790" dataDxfId="4595"/>
    <tableColumn id="11815" xr3:uid="{FD2A7562-410E-4019-952F-69B0F1F97F30}" name="Column11791" dataDxfId="4594"/>
    <tableColumn id="11816" xr3:uid="{736350F3-2DA9-460C-A8F8-B7B3E86882B6}" name="Column11792" dataDxfId="4593"/>
    <tableColumn id="11817" xr3:uid="{4ADE8D1F-F176-40C2-8D47-52DAAEFC375B}" name="Column11793" dataDxfId="4592"/>
    <tableColumn id="11818" xr3:uid="{850E8E4F-1806-4EFA-BB8F-E1157091C1F2}" name="Column11794" dataDxfId="4591"/>
    <tableColumn id="11819" xr3:uid="{590B526A-2229-48D8-B5F9-43069A3911E4}" name="Column11795" dataDxfId="4590"/>
    <tableColumn id="11820" xr3:uid="{7D309749-0C7E-4D9E-8942-2D51D95AA2EC}" name="Column11796" dataDxfId="4589"/>
    <tableColumn id="11821" xr3:uid="{48D42F65-4CE6-47CF-AAEB-FFCED17C077B}" name="Column11797" dataDxfId="4588"/>
    <tableColumn id="11822" xr3:uid="{C32F4AE1-4B8D-4B79-B276-661584303B37}" name="Column11798" dataDxfId="4587"/>
    <tableColumn id="11823" xr3:uid="{C9D09042-D6FE-49E5-A413-9F597F1FA98E}" name="Column11799" dataDxfId="4586"/>
    <tableColumn id="11824" xr3:uid="{EF7BC5F9-A81D-4DAF-8AE2-31A1A05331E6}" name="Column11800" dataDxfId="4585"/>
    <tableColumn id="11825" xr3:uid="{E65AAB78-D613-42EC-BBAA-2D10A41E6D86}" name="Column11801" dataDxfId="4584"/>
    <tableColumn id="11826" xr3:uid="{54799817-7914-452C-B597-A06A05BD3C78}" name="Column11802" dataDxfId="4583"/>
    <tableColumn id="11827" xr3:uid="{4C38DFF0-D9DD-486C-B49E-B5DA1F457F0B}" name="Column11803" dataDxfId="4582"/>
    <tableColumn id="11828" xr3:uid="{3EEEA306-DC0E-4BEC-BFD5-C94EDC16E04B}" name="Column11804" dataDxfId="4581"/>
    <tableColumn id="11829" xr3:uid="{F8C3370B-E045-49C6-BD9E-FECA0A00D2D3}" name="Column11805" dataDxfId="4580"/>
    <tableColumn id="11830" xr3:uid="{CD015667-DFC1-4934-A30B-EEEAF7E46A9C}" name="Column11806" dataDxfId="4579"/>
    <tableColumn id="11831" xr3:uid="{C4E537C4-1E3A-415F-B06B-1E485C89F07C}" name="Column11807" dataDxfId="4578"/>
    <tableColumn id="11832" xr3:uid="{DADCD7E1-B3E7-45EB-8519-250F1DDA1807}" name="Column11808" dataDxfId="4577"/>
    <tableColumn id="11833" xr3:uid="{4CC8DDC7-60EF-44F9-9203-83181F85A501}" name="Column11809" dataDxfId="4576"/>
    <tableColumn id="11834" xr3:uid="{1A0FE63E-6855-4E7B-BB9E-854D00609A6C}" name="Column11810" dataDxfId="4575"/>
    <tableColumn id="11835" xr3:uid="{15974E0D-BFEC-4979-B10A-3ED53CC9BB27}" name="Column11811" dataDxfId="4574"/>
    <tableColumn id="11836" xr3:uid="{C0F613D1-8ECA-4FCD-93DA-CEFFEA06A64D}" name="Column11812" dataDxfId="4573"/>
    <tableColumn id="11837" xr3:uid="{3B467E15-454D-42FA-82D5-39BBC64B4374}" name="Column11813" dataDxfId="4572"/>
    <tableColumn id="11838" xr3:uid="{A84CFBDE-BD6A-4A18-BD3F-59890E294374}" name="Column11814" dataDxfId="4571"/>
    <tableColumn id="11839" xr3:uid="{250F32E2-5A2C-4B84-9412-68857A29FBE4}" name="Column11815" dataDxfId="4570"/>
    <tableColumn id="11840" xr3:uid="{CE7A966A-701D-4E73-BF85-403ED7C24448}" name="Column11816" dataDxfId="4569"/>
    <tableColumn id="11841" xr3:uid="{28E5F4F8-B701-47BE-8BEB-748055325109}" name="Column11817" dataDxfId="4568"/>
    <tableColumn id="11842" xr3:uid="{DC63DA8F-E47E-4A34-9248-CAF71DA94048}" name="Column11818" dataDxfId="4567"/>
    <tableColumn id="11843" xr3:uid="{616C0A49-3721-4E08-BFED-25422E50D077}" name="Column11819" dataDxfId="4566"/>
    <tableColumn id="11844" xr3:uid="{46B5EB2C-7260-4896-9897-5C2E8034D1B8}" name="Column11820" dataDxfId="4565"/>
    <tableColumn id="11845" xr3:uid="{74514097-E4EE-427E-AE09-569F88234A1E}" name="Column11821" dataDxfId="4564"/>
    <tableColumn id="11846" xr3:uid="{518102FA-7068-4653-8D8C-9B49E6F20F34}" name="Column11822" dataDxfId="4563"/>
    <tableColumn id="11847" xr3:uid="{A68C652F-3145-49DC-A1F4-2D31EE6CB55D}" name="Column11823" dataDxfId="4562"/>
    <tableColumn id="11848" xr3:uid="{9D41D6BD-4F19-43DD-B882-BDBE88FEDD7A}" name="Column11824" dataDxfId="4561"/>
    <tableColumn id="11849" xr3:uid="{55AB3A8D-14B9-4F07-A07D-0150FA5561CF}" name="Column11825" dataDxfId="4560"/>
    <tableColumn id="11850" xr3:uid="{78C71DCF-2BB5-447D-9A31-2E508C13FBFA}" name="Column11826" dataDxfId="4559"/>
    <tableColumn id="11851" xr3:uid="{9609BFED-5673-4C1A-B905-A68E7F6C6870}" name="Column11827" dataDxfId="4558"/>
    <tableColumn id="11852" xr3:uid="{60124827-E7A1-4220-8730-5CC7DC3D1E54}" name="Column11828" dataDxfId="4557"/>
    <tableColumn id="11853" xr3:uid="{8C92F517-1AE6-43D2-B4D9-387CC27EBD14}" name="Column11829" dataDxfId="4556"/>
    <tableColumn id="11854" xr3:uid="{C03EF1B1-B0A7-4E48-9BBA-768FA95254B7}" name="Column11830" dataDxfId="4555"/>
    <tableColumn id="11855" xr3:uid="{82D695D0-0C04-4B88-9238-C2082B430CC2}" name="Column11831" dataDxfId="4554"/>
    <tableColumn id="11856" xr3:uid="{EB782B88-CE59-478F-95EA-4D81642DCA4D}" name="Column11832" dataDxfId="4553"/>
    <tableColumn id="11857" xr3:uid="{0193FB24-758A-4877-8705-5C3CF2B0D5C9}" name="Column11833" dataDxfId="4552"/>
    <tableColumn id="11858" xr3:uid="{0025055A-7A7A-4950-8D0E-5FB6ED643ED5}" name="Column11834" dataDxfId="4551"/>
    <tableColumn id="11859" xr3:uid="{085E021B-88DD-4CA6-8C26-C78321CEE9C6}" name="Column11835" dataDxfId="4550"/>
    <tableColumn id="11860" xr3:uid="{53C86B4F-EC44-4C18-B4E4-16BF43A47446}" name="Column11836" dataDxfId="4549"/>
    <tableColumn id="11861" xr3:uid="{DB374B32-0C58-4BDB-BFA8-45F12B9C5039}" name="Column11837" dataDxfId="4548"/>
    <tableColumn id="11862" xr3:uid="{D7F95C5E-EA80-44C5-8EE2-77830DB0FCDC}" name="Column11838" dataDxfId="4547"/>
    <tableColumn id="11863" xr3:uid="{19614A5C-2B3D-4162-B39B-B72FC320C163}" name="Column11839" dataDxfId="4546"/>
    <tableColumn id="11864" xr3:uid="{462C3854-3A13-4BDE-8C2F-F4329D6B8D7C}" name="Column11840" dataDxfId="4545"/>
    <tableColumn id="11865" xr3:uid="{6841BA91-BD5D-4B94-B167-757DCBB9517B}" name="Column11841" dataDxfId="4544"/>
    <tableColumn id="11866" xr3:uid="{7821C836-837D-4601-8FFA-C4672C1A0884}" name="Column11842" dataDxfId="4543"/>
    <tableColumn id="11867" xr3:uid="{AE546BEF-8B7C-4E3A-9966-00F4A9EA31C4}" name="Column11843" dataDxfId="4542"/>
    <tableColumn id="11868" xr3:uid="{84308C38-1F9B-4D43-A82F-695E7911FE63}" name="Column11844" dataDxfId="4541"/>
    <tableColumn id="11869" xr3:uid="{D5B805F8-E3CA-47DB-98F4-8F6113574DE4}" name="Column11845" dataDxfId="4540"/>
    <tableColumn id="11870" xr3:uid="{4BF573F7-3958-4B0C-8F23-9BA021900B8D}" name="Column11846" dataDxfId="4539"/>
    <tableColumn id="11871" xr3:uid="{D47E796C-0AA0-4C10-858D-0775F1C64353}" name="Column11847" dataDxfId="4538"/>
    <tableColumn id="11872" xr3:uid="{37FC8513-6CD6-4870-A16C-691B37ADD31B}" name="Column11848" dataDxfId="4537"/>
    <tableColumn id="11873" xr3:uid="{3909668E-D102-49FF-A379-D8FBD5697605}" name="Column11849" dataDxfId="4536"/>
    <tableColumn id="11874" xr3:uid="{523FC574-A6F2-43C7-A761-61A7912474F5}" name="Column11850" dataDxfId="4535"/>
    <tableColumn id="11875" xr3:uid="{FF2F7B8F-5E80-4B3E-B01A-D67C468BC9A2}" name="Column11851" dataDxfId="4534"/>
    <tableColumn id="11876" xr3:uid="{FBFDD4A8-4D60-4468-A968-0E225111AEE9}" name="Column11852" dataDxfId="4533"/>
    <tableColumn id="11877" xr3:uid="{4AF35D2F-805A-4881-9912-0EFDFA5ADC90}" name="Column11853" dataDxfId="4532"/>
    <tableColumn id="11878" xr3:uid="{439B9F49-0745-42EF-B3C8-AD5747DC3568}" name="Column11854" dataDxfId="4531"/>
    <tableColumn id="11879" xr3:uid="{97ECAE4D-2117-4A65-948A-7CBE48AE910D}" name="Column11855" dataDxfId="4530"/>
    <tableColumn id="11880" xr3:uid="{46F8497C-5547-4A7F-9CB5-41D698066BE4}" name="Column11856" dataDxfId="4529"/>
    <tableColumn id="11881" xr3:uid="{F52E9BD1-322A-4749-BCED-E6A8D1064F3C}" name="Column11857" dataDxfId="4528"/>
    <tableColumn id="11882" xr3:uid="{B54B6CC1-D7B0-4B3C-A9F4-1A43E016C546}" name="Column11858" dataDxfId="4527"/>
    <tableColumn id="11883" xr3:uid="{AA539C11-9CBF-4AD8-AEE9-EFC96AB89A8D}" name="Column11859" dataDxfId="4526"/>
    <tableColumn id="11884" xr3:uid="{5756CF2E-C857-427F-9C9C-5529074DE353}" name="Column11860" dataDxfId="4525"/>
    <tableColumn id="11885" xr3:uid="{32338286-8D6D-4504-8081-8A3FC50E345D}" name="Column11861" dataDxfId="4524"/>
    <tableColumn id="11886" xr3:uid="{98A0CA1D-BC70-4FD1-BD17-A53E30934A5E}" name="Column11862" dataDxfId="4523"/>
    <tableColumn id="11887" xr3:uid="{FCA8F696-96DF-49EA-A173-CF087CAE7415}" name="Column11863" dataDxfId="4522"/>
    <tableColumn id="11888" xr3:uid="{831D1790-FAFC-4473-9F43-D32B6491EC7C}" name="Column11864" dataDxfId="4521"/>
    <tableColumn id="11889" xr3:uid="{3A520D8A-FCAF-43EA-A0F7-21A996850770}" name="Column11865" dataDxfId="4520"/>
    <tableColumn id="11890" xr3:uid="{C762C867-A697-4DAF-8673-FAA64F0B941E}" name="Column11866" dataDxfId="4519"/>
    <tableColumn id="11891" xr3:uid="{0745B4BC-505B-4F08-8494-99EDFFDACC65}" name="Column11867" dataDxfId="4518"/>
    <tableColumn id="11892" xr3:uid="{D042FF92-F069-4AD6-ACF8-BA8682075149}" name="Column11868" dataDxfId="4517"/>
    <tableColumn id="11893" xr3:uid="{7EEBCADA-9785-45D7-9DCF-7042017757A5}" name="Column11869" dataDxfId="4516"/>
    <tableColumn id="11894" xr3:uid="{5A0ED780-3064-4E92-9BF7-C0047F6A5E1B}" name="Column11870" dataDxfId="4515"/>
    <tableColumn id="11895" xr3:uid="{686C06C0-7066-4F2B-83BA-69BF1B7C8324}" name="Column11871" dataDxfId="4514"/>
    <tableColumn id="11896" xr3:uid="{62A5BB5A-A34F-4C6D-91EA-D03133CB8EAA}" name="Column11872" dataDxfId="4513"/>
    <tableColumn id="11897" xr3:uid="{080F821F-216A-40F7-994C-D753511D6BD8}" name="Column11873" dataDxfId="4512"/>
    <tableColumn id="11898" xr3:uid="{FE29CAE5-FC44-42F1-A538-A4C255339565}" name="Column11874" dataDxfId="4511"/>
    <tableColumn id="11899" xr3:uid="{16846EB3-1AF0-458C-9172-0D23592540B7}" name="Column11875" dataDxfId="4510"/>
    <tableColumn id="11900" xr3:uid="{952E31D1-66D8-4E50-ABC3-BD9931B9AD6C}" name="Column11876" dataDxfId="4509"/>
    <tableColumn id="11901" xr3:uid="{C3CE30B4-2537-4DC0-816D-44323984463F}" name="Column11877" dataDxfId="4508"/>
    <tableColumn id="11902" xr3:uid="{270731A6-6062-4A8A-87A8-F230F04BE083}" name="Column11878" dataDxfId="4507"/>
    <tableColumn id="11903" xr3:uid="{6650CC27-CFBF-4137-84AE-5BD8B1E99789}" name="Column11879" dataDxfId="4506"/>
    <tableColumn id="11904" xr3:uid="{12137E3F-BF9B-4A79-A453-35FA8B464F4F}" name="Column11880" dataDxfId="4505"/>
    <tableColumn id="11905" xr3:uid="{06EEBA54-29A7-4AC6-A37E-43611B397097}" name="Column11881" dataDxfId="4504"/>
    <tableColumn id="11906" xr3:uid="{DBB9C5D9-8A39-4B3F-9DD9-578033D58663}" name="Column11882" dataDxfId="4503"/>
    <tableColumn id="11907" xr3:uid="{A9AFB28E-BA14-47DD-977C-9AA8819A9129}" name="Column11883" dataDxfId="4502"/>
    <tableColumn id="11908" xr3:uid="{A82C4392-E557-4722-B00D-42F67E4F4DF0}" name="Column11884" dataDxfId="4501"/>
    <tableColumn id="11909" xr3:uid="{025FE12D-202C-489B-B472-51D6DEE20663}" name="Column11885" dataDxfId="4500"/>
    <tableColumn id="11910" xr3:uid="{9A220E45-AE13-4F65-A339-0AFA89C486BD}" name="Column11886" dataDxfId="4499"/>
    <tableColumn id="11911" xr3:uid="{7E3DC01C-CF3D-4035-B854-9F2AC2FBEB87}" name="Column11887" dataDxfId="4498"/>
    <tableColumn id="11912" xr3:uid="{6ED75A7C-19AD-40F9-A7AA-536E4968EF27}" name="Column11888" dataDxfId="4497"/>
    <tableColumn id="11913" xr3:uid="{954A542E-5582-49B6-916B-55FCE2CDBDC0}" name="Column11889" dataDxfId="4496"/>
    <tableColumn id="11914" xr3:uid="{B4200387-B013-413B-9138-20B1F542854B}" name="Column11890" dataDxfId="4495"/>
    <tableColumn id="11915" xr3:uid="{162BAFEE-E34A-43D4-9DC5-11CA1936E0DB}" name="Column11891" dataDxfId="4494"/>
    <tableColumn id="11916" xr3:uid="{3DF73541-BFC0-4B7C-A697-BFAC5B52D56B}" name="Column11892" dataDxfId="4493"/>
    <tableColumn id="11917" xr3:uid="{FC607500-4F22-41AA-8EF7-C27349BAAA0C}" name="Column11893" dataDxfId="4492"/>
    <tableColumn id="11918" xr3:uid="{5C5766CC-7918-4182-8B00-B76B5E8AC80B}" name="Column11894" dataDxfId="4491"/>
    <tableColumn id="11919" xr3:uid="{8AA6ACDF-806E-4CDE-9A73-9ACD880BF140}" name="Column11895" dataDxfId="4490"/>
    <tableColumn id="11920" xr3:uid="{C7296A4C-3785-4DC6-975A-3449BAAC6A95}" name="Column11896" dataDxfId="4489"/>
    <tableColumn id="11921" xr3:uid="{EDA96CA3-8454-4798-B46A-80CF2C74F103}" name="Column11897" dataDxfId="4488"/>
    <tableColumn id="11922" xr3:uid="{B64BDC6E-572D-405F-AE45-6650A24A1920}" name="Column11898" dataDxfId="4487"/>
    <tableColumn id="11923" xr3:uid="{50FF569A-4DD2-436A-B132-C0F00DD466B2}" name="Column11899" dataDxfId="4486"/>
    <tableColumn id="11924" xr3:uid="{3467E8B4-7804-42C7-B228-BFE9B1805BF6}" name="Column11900" dataDxfId="4485"/>
    <tableColumn id="11925" xr3:uid="{ACC85FD8-DA4F-4833-B97E-FD749851BA4F}" name="Column11901" dataDxfId="4484"/>
    <tableColumn id="11926" xr3:uid="{55715CF1-0E92-488D-A127-49954428E4F7}" name="Column11902" dataDxfId="4483"/>
    <tableColumn id="11927" xr3:uid="{D0E1912F-D945-4D08-A923-C2B4CFCC9BF8}" name="Column11903" dataDxfId="4482"/>
    <tableColumn id="11928" xr3:uid="{27DE93E0-C92F-47CD-B9D9-06B800027D57}" name="Column11904" dataDxfId="4481"/>
    <tableColumn id="11929" xr3:uid="{5190FC57-57D1-4D60-80C3-75D94D00F6EE}" name="Column11905" dataDxfId="4480"/>
    <tableColumn id="11930" xr3:uid="{DFF317B9-7611-42B0-A3B5-2E0CB0342A60}" name="Column11906" dataDxfId="4479"/>
    <tableColumn id="11931" xr3:uid="{55D101EC-4DBA-4690-99C0-36F4A02331B1}" name="Column11907" dataDxfId="4478"/>
    <tableColumn id="11932" xr3:uid="{7BBE61FF-67CE-4242-AE1A-44FA966B7054}" name="Column11908" dataDxfId="4477"/>
    <tableColumn id="11933" xr3:uid="{23B7B59F-3D4F-4A47-911E-1A4188A74512}" name="Column11909" dataDxfId="4476"/>
    <tableColumn id="11934" xr3:uid="{C51CDA3E-FE06-4676-B79A-0B7036DF3D0B}" name="Column11910" dataDxfId="4475"/>
    <tableColumn id="11935" xr3:uid="{5CABCEA7-F42F-4040-97B7-9E2D699C01A5}" name="Column11911" dataDxfId="4474"/>
    <tableColumn id="11936" xr3:uid="{06082145-0338-45F5-AE6E-EDBD1E981A7E}" name="Column11912" dataDxfId="4473"/>
    <tableColumn id="11937" xr3:uid="{B4ED7358-88CC-418A-BA94-7280844F99E0}" name="Column11913" dataDxfId="4472"/>
    <tableColumn id="11938" xr3:uid="{00E8B5DB-80BA-4D6E-80E5-F1FA923E2497}" name="Column11914" dataDxfId="4471"/>
    <tableColumn id="11939" xr3:uid="{AF967407-8432-47E1-BBE5-0D1DEF086E27}" name="Column11915" dataDxfId="4470"/>
    <tableColumn id="11940" xr3:uid="{6996982D-CBE8-48BE-AEA8-B4B94007F675}" name="Column11916" dataDxfId="4469"/>
    <tableColumn id="11941" xr3:uid="{F59DA196-9794-42D9-A2F2-4D10EE75AB7D}" name="Column11917" dataDxfId="4468"/>
    <tableColumn id="11942" xr3:uid="{38C5D6FB-CDE1-4FF3-BA87-54EE9CA0085C}" name="Column11918" dataDxfId="4467"/>
    <tableColumn id="11943" xr3:uid="{1FC7A423-4D45-4566-A4A2-1FC3AF702FCB}" name="Column11919" dataDxfId="4466"/>
    <tableColumn id="11944" xr3:uid="{A2D96044-E472-41DE-81EE-7690146AB3BB}" name="Column11920" dataDxfId="4465"/>
    <tableColumn id="11945" xr3:uid="{493FB030-546E-493F-BF2A-F8D2BAD7A05D}" name="Column11921" dataDxfId="4464"/>
    <tableColumn id="11946" xr3:uid="{2B84D608-052D-4780-98DD-196BD282DE06}" name="Column11922" dataDxfId="4463"/>
    <tableColumn id="11947" xr3:uid="{7C15C977-6AF8-4DD4-8EF5-571F760D1087}" name="Column11923" dataDxfId="4462"/>
    <tableColumn id="11948" xr3:uid="{BE72E6E4-F35A-4942-ADD8-947B10551518}" name="Column11924" dataDxfId="4461"/>
    <tableColumn id="11949" xr3:uid="{365D3C7C-8C25-4F52-B9F3-F24D0D5ED6F7}" name="Column11925" dataDxfId="4460"/>
    <tableColumn id="11950" xr3:uid="{92461D81-D13B-402F-ACC1-1CCF6532C938}" name="Column11926" dataDxfId="4459"/>
    <tableColumn id="11951" xr3:uid="{C406660D-CE72-49E7-96D7-7C4534F14AFD}" name="Column11927" dataDxfId="4458"/>
    <tableColumn id="11952" xr3:uid="{235DCE08-1601-4B77-AA63-5BCD182BA9FC}" name="Column11928" dataDxfId="4457"/>
    <tableColumn id="11953" xr3:uid="{67FE6449-E54B-4CBB-A0C6-636F9E4E32C4}" name="Column11929" dataDxfId="4456"/>
    <tableColumn id="11954" xr3:uid="{281B36D1-CBB6-4C74-B3C7-2E675F70909A}" name="Column11930" dataDxfId="4455"/>
    <tableColumn id="11955" xr3:uid="{5025068A-1E5E-4D24-9D84-3A00B3F039C6}" name="Column11931" dataDxfId="4454"/>
    <tableColumn id="11956" xr3:uid="{02D6AEA8-E61C-42F0-B928-18E591EB14C9}" name="Column11932" dataDxfId="4453"/>
    <tableColumn id="11957" xr3:uid="{E3109FB1-AE69-4EC5-B6D3-EF69AC01D0F1}" name="Column11933" dataDxfId="4452"/>
    <tableColumn id="11958" xr3:uid="{66E25816-70C7-4C55-AC4F-6289A944AFC3}" name="Column11934" dataDxfId="4451"/>
    <tableColumn id="11959" xr3:uid="{B2CE54F4-8CEE-4A8E-96F1-6C199A3E45CA}" name="Column11935" dataDxfId="4450"/>
    <tableColumn id="11960" xr3:uid="{6181C1D5-6883-4694-B975-E2AE00FE97D5}" name="Column11936" dataDxfId="4449"/>
    <tableColumn id="11961" xr3:uid="{08DCF71E-EA5D-4B0B-ACF1-7EE0C2ACBB3D}" name="Column11937" dataDxfId="4448"/>
    <tableColumn id="11962" xr3:uid="{3EEA1E4D-E2E1-4E95-9B9F-A7C564B53423}" name="Column11938" dataDxfId="4447"/>
    <tableColumn id="11963" xr3:uid="{D7D2AB38-77A7-4807-A5CD-B788D2A707A0}" name="Column11939" dataDxfId="4446"/>
    <tableColumn id="11964" xr3:uid="{D556E92D-7DD4-4294-A5B5-313B3C819559}" name="Column11940" dataDxfId="4445"/>
    <tableColumn id="11965" xr3:uid="{6AEED5E1-A648-41FE-8AA3-E6C72EE17C9A}" name="Column11941" dataDxfId="4444"/>
    <tableColumn id="11966" xr3:uid="{26B63A4B-83F2-4BF4-95FB-FEF2717AB62A}" name="Column11942" dataDxfId="4443"/>
    <tableColumn id="11967" xr3:uid="{9F812813-54E7-4DDF-BCF2-4E20CA615E0C}" name="Column11943" dataDxfId="4442"/>
    <tableColumn id="11968" xr3:uid="{EF644E67-6DFD-4B30-94EC-103301DF8A01}" name="Column11944" dataDxfId="4441"/>
    <tableColumn id="11969" xr3:uid="{829505EA-9E4B-411E-B813-8CF5A52A6C21}" name="Column11945" dataDxfId="4440"/>
    <tableColumn id="11970" xr3:uid="{DCD618BB-526E-49AE-9084-4F7BE3D2DCCC}" name="Column11946" dataDxfId="4439"/>
    <tableColumn id="11971" xr3:uid="{1450BC1C-F94E-4A73-AAFE-28F6C6B86C0A}" name="Column11947" dataDxfId="4438"/>
    <tableColumn id="11972" xr3:uid="{B038EA4A-8CF9-48F2-9D17-D5C444F6740B}" name="Column11948" dataDxfId="4437"/>
    <tableColumn id="11973" xr3:uid="{92DE63ED-6F5D-4C56-9DA2-768BD8CAE973}" name="Column11949" dataDxfId="4436"/>
    <tableColumn id="11974" xr3:uid="{BA7B7930-ABFB-4120-9DC6-A8BFE345CA7C}" name="Column11950" dataDxfId="4435"/>
    <tableColumn id="11975" xr3:uid="{25EF4EFF-7930-44FD-B623-E1B7DAEA9242}" name="Column11951" dataDxfId="4434"/>
    <tableColumn id="11976" xr3:uid="{512A0A97-5A86-42CB-8FF5-459D7A4822D3}" name="Column11952" dataDxfId="4433"/>
    <tableColumn id="11977" xr3:uid="{783B2C2B-B461-4530-A9DC-C42C5FB06CB5}" name="Column11953" dataDxfId="4432"/>
    <tableColumn id="11978" xr3:uid="{77ED0175-8F86-4532-9390-6AE0256C2492}" name="Column11954" dataDxfId="4431"/>
    <tableColumn id="11979" xr3:uid="{D7D4B24D-8458-40C7-A293-8CA9EAE2085E}" name="Column11955" dataDxfId="4430"/>
    <tableColumn id="11980" xr3:uid="{BE5AFB89-764D-4189-A0F2-54B804E14B0A}" name="Column11956" dataDxfId="4429"/>
    <tableColumn id="11981" xr3:uid="{37393DF3-4B1F-416E-917B-A4D18C6904B8}" name="Column11957" dataDxfId="4428"/>
    <tableColumn id="11982" xr3:uid="{B788407B-4E7E-46CA-891E-F56B0FE6753B}" name="Column11958" dataDxfId="4427"/>
    <tableColumn id="11983" xr3:uid="{EB14E89F-248D-4AC8-B583-21916AC5E3BD}" name="Column11959" dataDxfId="4426"/>
    <tableColumn id="11984" xr3:uid="{1D92AAD1-34ED-4E2A-B411-F4468C4AD473}" name="Column11960" dataDxfId="4425"/>
    <tableColumn id="11985" xr3:uid="{BC3FBCFF-62F7-4D7F-B047-2AF7C07E91A0}" name="Column11961" dataDxfId="4424"/>
    <tableColumn id="11986" xr3:uid="{A60AB861-0E8A-4F75-A885-0D47BA8B4A93}" name="Column11962" dataDxfId="4423"/>
    <tableColumn id="11987" xr3:uid="{12A15E30-E87E-47C6-A8AC-574A24A05729}" name="Column11963" dataDxfId="4422"/>
    <tableColumn id="11988" xr3:uid="{9514EC39-C8FB-4A06-80FE-5DB3E3463F3B}" name="Column11964" dataDxfId="4421"/>
    <tableColumn id="11989" xr3:uid="{38784FC6-A33E-49A2-ABC3-F03FFE8D7A7D}" name="Column11965" dataDxfId="4420"/>
    <tableColumn id="11990" xr3:uid="{CB8960A7-41D6-4541-99C1-677438079896}" name="Column11966" dataDxfId="4419"/>
    <tableColumn id="11991" xr3:uid="{22433CC3-C75F-4EC7-A2A7-49FDF13A8966}" name="Column11967" dataDxfId="4418"/>
    <tableColumn id="11992" xr3:uid="{EF9D3094-CA13-40EB-A0D2-A8BE658A4238}" name="Column11968" dataDxfId="4417"/>
    <tableColumn id="11993" xr3:uid="{BED3C687-13C9-4DF0-B180-DFEDE0CA378B}" name="Column11969" dataDxfId="4416"/>
    <tableColumn id="11994" xr3:uid="{B0929188-0315-468F-9864-15811CF1843E}" name="Column11970" dataDxfId="4415"/>
    <tableColumn id="11995" xr3:uid="{37AD2088-9A12-478D-9823-D575FC6F8E7D}" name="Column11971" dataDxfId="4414"/>
    <tableColumn id="11996" xr3:uid="{2D73D788-0301-4117-81A5-58FE85314787}" name="Column11972" dataDxfId="4413"/>
    <tableColumn id="11997" xr3:uid="{937EFD43-9F7B-4E73-A42B-E0C019879931}" name="Column11973" dataDxfId="4412"/>
    <tableColumn id="11998" xr3:uid="{47F8ECDF-B0CE-4105-B86C-8155A185C978}" name="Column11974" dataDxfId="4411"/>
    <tableColumn id="11999" xr3:uid="{50CD9947-B0E7-4941-A540-B080EC841610}" name="Column11975" dataDxfId="4410"/>
    <tableColumn id="12000" xr3:uid="{D520EC77-E50C-4555-A729-E170776C0D08}" name="Column11976" dataDxfId="4409"/>
    <tableColumn id="12001" xr3:uid="{6B000187-A668-4B3A-861A-A2F722150C30}" name="Column11977" dataDxfId="4408"/>
    <tableColumn id="12002" xr3:uid="{251BC0EE-3EAE-4607-91B6-40A8F082E005}" name="Column11978" dataDxfId="4407"/>
    <tableColumn id="12003" xr3:uid="{ABF069BC-70F1-48A2-9601-411990D12B78}" name="Column11979" dataDxfId="4406"/>
    <tableColumn id="12004" xr3:uid="{7A0F6B42-9B61-49F8-9D88-F3B693BAB181}" name="Column11980" dataDxfId="4405"/>
    <tableColumn id="12005" xr3:uid="{02369F6C-6624-4482-96F2-F9547C55F550}" name="Column11981" dataDxfId="4404"/>
    <tableColumn id="12006" xr3:uid="{0C5BD35B-4DE2-401E-AF2D-15206F66505E}" name="Column11982" dataDxfId="4403"/>
    <tableColumn id="12007" xr3:uid="{C578D07C-0F76-4243-ABA4-6368B7EDA89E}" name="Column11983" dataDxfId="4402"/>
    <tableColumn id="12008" xr3:uid="{4862CD62-6A79-4662-937C-059AB78CB46D}" name="Column11984" dataDxfId="4401"/>
    <tableColumn id="12009" xr3:uid="{831EFA39-5DC6-47D3-985D-8DC011CBED0D}" name="Column11985" dataDxfId="4400"/>
    <tableColumn id="12010" xr3:uid="{53A09E29-7825-4682-9684-268B926F977B}" name="Column11986" dataDxfId="4399"/>
    <tableColumn id="12011" xr3:uid="{F6E2FBC4-7746-4470-8225-2E8631B59EA6}" name="Column11987" dataDxfId="4398"/>
    <tableColumn id="12012" xr3:uid="{2DEEADAD-D33D-42BC-8E82-FEF79D425858}" name="Column11988" dataDxfId="4397"/>
    <tableColumn id="12013" xr3:uid="{8C9449DB-9844-42CE-810E-D5EACFDBB0B6}" name="Column11989" dataDxfId="4396"/>
    <tableColumn id="12014" xr3:uid="{20CB834C-0985-41BB-AD59-6D8BAFC0B8A1}" name="Column11990" dataDxfId="4395"/>
    <tableColumn id="12015" xr3:uid="{DB553FE4-B83A-4846-AF29-5E77991EEDE5}" name="Column11991" dataDxfId="4394"/>
    <tableColumn id="12016" xr3:uid="{AF3F0A36-DD75-4B15-8F46-9971ECCD4BB0}" name="Column11992" dataDxfId="4393"/>
    <tableColumn id="12017" xr3:uid="{2FA618F5-8C93-448D-8ABF-AF60BDBD44CA}" name="Column11993" dataDxfId="4392"/>
    <tableColumn id="12018" xr3:uid="{4F22B6CA-E1DC-4677-8769-76FAB127B308}" name="Column11994" dataDxfId="4391"/>
    <tableColumn id="12019" xr3:uid="{84E7DCB6-DE39-46B6-BADE-0B7E4DAB9808}" name="Column11995" dataDxfId="4390"/>
    <tableColumn id="12020" xr3:uid="{464D29B2-14C5-4A03-B45E-7FCBF9880151}" name="Column11996" dataDxfId="4389"/>
    <tableColumn id="12021" xr3:uid="{D70C7EF8-E145-462E-929D-AF198EE55135}" name="Column11997" dataDxfId="4388"/>
    <tableColumn id="12022" xr3:uid="{53FB40C5-136E-42B1-A659-23507C99418B}" name="Column11998" dataDxfId="4387"/>
    <tableColumn id="12023" xr3:uid="{D42DDA72-FC05-4943-8458-60913AB53B62}" name="Column11999" dataDxfId="4386"/>
    <tableColumn id="12024" xr3:uid="{E21EFECB-79A5-4633-821C-1E0E3B100C3F}" name="Column12000" dataDxfId="4385"/>
    <tableColumn id="12025" xr3:uid="{4C43EF01-4063-424E-8950-7E45603AE747}" name="Column12001" dataDxfId="4384"/>
    <tableColumn id="12026" xr3:uid="{B1F762B4-3AF1-4541-97A6-ADF3A1EA4B5C}" name="Column12002" dataDxfId="4383"/>
    <tableColumn id="12027" xr3:uid="{EF6DAAF0-E2ED-49ED-B318-CBE58800409B}" name="Column12003" dataDxfId="4382"/>
    <tableColumn id="12028" xr3:uid="{345F2C77-86D8-42CD-B885-AE72B9336DA0}" name="Column12004" dataDxfId="4381"/>
    <tableColumn id="12029" xr3:uid="{4B5E9D16-25E4-47F8-9DDF-41D5569672E3}" name="Column12005" dataDxfId="4380"/>
    <tableColumn id="12030" xr3:uid="{DEF39642-2273-4E7E-9C7D-1B3AD9D1D329}" name="Column12006" dataDxfId="4379"/>
    <tableColumn id="12031" xr3:uid="{6BA1CEC0-65DA-45C8-AE79-D00D1AE296CA}" name="Column12007" dataDxfId="4378"/>
    <tableColumn id="12032" xr3:uid="{3118CA25-5CEC-4C9B-8093-D7245E09D2D6}" name="Column12008" dataDxfId="4377"/>
    <tableColumn id="12033" xr3:uid="{1F15FAD2-92E0-4747-A343-A1903C2B0FBE}" name="Column12009" dataDxfId="4376"/>
    <tableColumn id="12034" xr3:uid="{6B9BD127-4ABD-4F60-876D-E2EA06534D64}" name="Column12010" dataDxfId="4375"/>
    <tableColumn id="12035" xr3:uid="{9FC95127-1D21-4C2E-B102-B46C60C1469B}" name="Column12011" dataDxfId="4374"/>
    <tableColumn id="12036" xr3:uid="{892F7F6E-72C8-442C-AE4C-D64C79ABF269}" name="Column12012" dataDxfId="4373"/>
    <tableColumn id="12037" xr3:uid="{A20739CC-5A58-4272-B260-D017B6D32065}" name="Column12013" dataDxfId="4372"/>
    <tableColumn id="12038" xr3:uid="{F5C0A19A-5EAF-4450-8442-8749AD68D2FF}" name="Column12014" dataDxfId="4371"/>
    <tableColumn id="12039" xr3:uid="{34A5C8AF-71E2-40E1-B41E-58FEC57DF013}" name="Column12015" dataDxfId="4370"/>
    <tableColumn id="12040" xr3:uid="{DD322DF6-D711-49F9-B32C-D6B4B9081898}" name="Column12016" dataDxfId="4369"/>
    <tableColumn id="12041" xr3:uid="{F3FAE29A-C557-4BD7-B466-92AC2012F6F1}" name="Column12017" dataDxfId="4368"/>
    <tableColumn id="12042" xr3:uid="{8E5D1F52-C84C-4CEB-BCED-48B338E0C70E}" name="Column12018" dataDxfId="4367"/>
    <tableColumn id="12043" xr3:uid="{8B99DA96-26E1-4150-8410-527451CE4679}" name="Column12019" dataDxfId="4366"/>
    <tableColumn id="12044" xr3:uid="{765922F1-B21B-4933-93B6-517B72C114A4}" name="Column12020" dataDxfId="4365"/>
    <tableColumn id="12045" xr3:uid="{F51A1E9B-34EC-4E90-97C5-9C7585E07F0B}" name="Column12021" dataDxfId="4364"/>
    <tableColumn id="12046" xr3:uid="{3BB632DC-0874-4C21-8744-860973805A51}" name="Column12022" dataDxfId="4363"/>
    <tableColumn id="12047" xr3:uid="{8E721F2E-7E25-4958-9E39-74A3761AF3EC}" name="Column12023" dataDxfId="4362"/>
    <tableColumn id="12048" xr3:uid="{A4487F92-3CDC-4DA7-84F5-59102B164971}" name="Column12024" dataDxfId="4361"/>
    <tableColumn id="12049" xr3:uid="{21ADD3F7-CAE9-479F-A634-AECCABE871D9}" name="Column12025" dataDxfId="4360"/>
    <tableColumn id="12050" xr3:uid="{AA87CA20-7E11-4E33-B55E-F70F8BFB9291}" name="Column12026" dataDxfId="4359"/>
    <tableColumn id="12051" xr3:uid="{A43499F3-9220-4BBE-B9BC-E20ADC8031BC}" name="Column12027" dataDxfId="4358"/>
    <tableColumn id="12052" xr3:uid="{00C19BE5-D980-4891-B628-C5CA60106A82}" name="Column12028" dataDxfId="4357"/>
    <tableColumn id="12053" xr3:uid="{65AD8AA5-73CB-46AF-A28E-C76A6A8BFA07}" name="Column12029" dataDxfId="4356"/>
    <tableColumn id="12054" xr3:uid="{E1BD7B80-3E0A-47A8-873B-5A5D766E2E65}" name="Column12030" dataDxfId="4355"/>
    <tableColumn id="12055" xr3:uid="{92C207C0-E60B-4364-AF96-7A3315C2E24C}" name="Column12031" dataDxfId="4354"/>
    <tableColumn id="12056" xr3:uid="{E09B73A0-8AEB-4F73-9D52-D9E30F37AAD6}" name="Column12032" dataDxfId="4353"/>
    <tableColumn id="12057" xr3:uid="{BE7807B4-97F1-4B57-BDD8-A1CCA78C4957}" name="Column12033" dataDxfId="4352"/>
    <tableColumn id="12058" xr3:uid="{41F4A936-67C7-4838-B9C3-6B4C4B993F50}" name="Column12034" dataDxfId="4351"/>
    <tableColumn id="12059" xr3:uid="{19FD5698-E345-4CF8-B682-87160D006DB5}" name="Column12035" dataDxfId="4350"/>
    <tableColumn id="12060" xr3:uid="{E6DB3E8A-69F5-4D12-8990-6ED113FC8D0F}" name="Column12036" dataDxfId="4349"/>
    <tableColumn id="12061" xr3:uid="{0EB5D826-A5D9-4B67-AA6B-DAD93A94F94E}" name="Column12037" dataDxfId="4348"/>
    <tableColumn id="12062" xr3:uid="{389BB3FC-9D60-439C-BE62-334DF979F7CB}" name="Column12038" dataDxfId="4347"/>
    <tableColumn id="12063" xr3:uid="{C29CDD37-C019-4E5A-A374-3C1BC237E730}" name="Column12039" dataDxfId="4346"/>
    <tableColumn id="12064" xr3:uid="{5082A482-7C2E-4AC5-B1DD-81CD6C7A3B01}" name="Column12040" dataDxfId="4345"/>
    <tableColumn id="12065" xr3:uid="{5F15060D-12DC-49FB-8980-9CB98122DDE3}" name="Column12041" dataDxfId="4344"/>
    <tableColumn id="12066" xr3:uid="{18C86C9E-D6A7-4F85-9797-702FB767E38C}" name="Column12042" dataDxfId="4343"/>
    <tableColumn id="12067" xr3:uid="{D382C910-196B-4607-BF3B-A97AAF343BCD}" name="Column12043" dataDxfId="4342"/>
    <tableColumn id="12068" xr3:uid="{FA764734-CC82-4D4C-B566-A3C2CADF4D39}" name="Column12044" dataDxfId="4341"/>
    <tableColumn id="12069" xr3:uid="{370EACD2-0A0E-4124-93A5-6ADD13E5F92E}" name="Column12045" dataDxfId="4340"/>
    <tableColumn id="12070" xr3:uid="{5B0E27EC-31DF-42D3-9CE0-43AD1B017476}" name="Column12046" dataDxfId="4339"/>
    <tableColumn id="12071" xr3:uid="{D362CD13-ECC7-4B61-AD75-639AC9572120}" name="Column12047" dataDxfId="4338"/>
    <tableColumn id="12072" xr3:uid="{69D038B3-4DB9-4CA2-8351-5732566085C2}" name="Column12048" dataDxfId="4337"/>
    <tableColumn id="12073" xr3:uid="{683D946B-EF02-4321-910C-DDB3F5024E6E}" name="Column12049" dataDxfId="4336"/>
    <tableColumn id="12074" xr3:uid="{67178759-7E83-49FC-9231-2D780C44DA8F}" name="Column12050" dataDxfId="4335"/>
    <tableColumn id="12075" xr3:uid="{ECCCA38D-8C26-4284-97EE-B1DA2417E085}" name="Column12051" dataDxfId="4334"/>
    <tableColumn id="12076" xr3:uid="{D734B026-C297-4139-9E9F-A4F6EFE8729B}" name="Column12052" dataDxfId="4333"/>
    <tableColumn id="12077" xr3:uid="{0C1D39C4-FF3A-4908-95CA-486D4C9701A3}" name="Column12053" dataDxfId="4332"/>
    <tableColumn id="12078" xr3:uid="{AB93EBD0-709B-4BA6-AC38-BDB5B40A12EC}" name="Column12054" dataDxfId="4331"/>
    <tableColumn id="12079" xr3:uid="{4B61EE2A-545E-40FC-840D-272202031EA1}" name="Column12055" dataDxfId="4330"/>
    <tableColumn id="12080" xr3:uid="{279068AA-3E1C-41D4-AAEF-8639D1FAA3D6}" name="Column12056" dataDxfId="4329"/>
    <tableColumn id="12081" xr3:uid="{096E4ED2-7764-47B5-813F-B52B473F4570}" name="Column12057" dataDxfId="4328"/>
    <tableColumn id="12082" xr3:uid="{C306AAF4-B716-4CB7-9B7C-24735734825D}" name="Column12058" dataDxfId="4327"/>
    <tableColumn id="12083" xr3:uid="{C2DA621F-F778-4A27-AC4C-838A482DE732}" name="Column12059" dataDxfId="4326"/>
    <tableColumn id="12084" xr3:uid="{051A469C-5246-4F19-858B-40A8233AF6E1}" name="Column12060" dataDxfId="4325"/>
    <tableColumn id="12085" xr3:uid="{66D21909-CCBB-468D-8B2D-B82CB9E033F1}" name="Column12061" dataDxfId="4324"/>
    <tableColumn id="12086" xr3:uid="{D6835281-9E23-4591-A279-83B1DFC8EC88}" name="Column12062" dataDxfId="4323"/>
    <tableColumn id="12087" xr3:uid="{51185C73-396C-4EA6-ABC6-66F16E0C79C0}" name="Column12063" dataDxfId="4322"/>
    <tableColumn id="12088" xr3:uid="{90857B45-D230-422F-9977-5BF8C3F8B0E3}" name="Column12064" dataDxfId="4321"/>
    <tableColumn id="12089" xr3:uid="{358E33D7-ED27-4AC9-A8EA-1335AF4D3B91}" name="Column12065" dataDxfId="4320"/>
    <tableColumn id="12090" xr3:uid="{5A2E27C7-5548-458F-9146-B097BB8797FA}" name="Column12066" dataDxfId="4319"/>
    <tableColumn id="12091" xr3:uid="{2BC93AB8-8F36-4116-9E3A-46B675E9122F}" name="Column12067" dataDxfId="4318"/>
    <tableColumn id="12092" xr3:uid="{76F7E105-0F48-4D5B-BD52-09B52FC020B8}" name="Column12068" dataDxfId="4317"/>
    <tableColumn id="12093" xr3:uid="{BFBE3A2D-86EB-4046-8C4C-DF9F82D91C82}" name="Column12069" dataDxfId="4316"/>
    <tableColumn id="12094" xr3:uid="{280F70DC-358D-49A5-B4EE-2689269F7D41}" name="Column12070" dataDxfId="4315"/>
    <tableColumn id="12095" xr3:uid="{1CE16D4C-852E-426A-826A-1547DE29D40D}" name="Column12071" dataDxfId="4314"/>
    <tableColumn id="12096" xr3:uid="{4D7C2158-9421-4039-B1D5-FF8B16A4E884}" name="Column12072" dataDxfId="4313"/>
    <tableColumn id="12097" xr3:uid="{4362AA21-C0E0-44E7-82CB-60B96F5435DC}" name="Column12073" dataDxfId="4312"/>
    <tableColumn id="12098" xr3:uid="{D9A44A3E-87BB-41D6-87FE-ED4F671965AD}" name="Column12074" dataDxfId="4311"/>
    <tableColumn id="12099" xr3:uid="{C4D359BD-B14D-454A-B9C9-D0B60425FA3A}" name="Column12075" dataDxfId="4310"/>
    <tableColumn id="12100" xr3:uid="{4485B023-FA4A-4B6C-B038-ACE027D55359}" name="Column12076" dataDxfId="4309"/>
    <tableColumn id="12101" xr3:uid="{2A064A5B-38EC-4672-A686-B13A263BCD48}" name="Column12077" dataDxfId="4308"/>
    <tableColumn id="12102" xr3:uid="{462D71E6-5E7D-4ABB-A3C5-4F31884661C0}" name="Column12078" dataDxfId="4307"/>
    <tableColumn id="12103" xr3:uid="{E5746DE0-F2B4-4B94-A337-EE3EE846AB14}" name="Column12079" dataDxfId="4306"/>
    <tableColumn id="12104" xr3:uid="{A205804E-6EB1-405C-8430-6D4472E9F280}" name="Column12080" dataDxfId="4305"/>
    <tableColumn id="12105" xr3:uid="{C67903DC-7FA9-4046-9D38-05A366521498}" name="Column12081" dataDxfId="4304"/>
    <tableColumn id="12106" xr3:uid="{CF285CDB-97EA-410B-AA60-98259D2AA7F9}" name="Column12082" dataDxfId="4303"/>
    <tableColumn id="12107" xr3:uid="{D6B0F51D-9202-4513-9A6D-79EF10C72CEE}" name="Column12083" dataDxfId="4302"/>
    <tableColumn id="12108" xr3:uid="{66823EC9-EC60-4C9D-A80D-3B6076E22D4F}" name="Column12084" dataDxfId="4301"/>
    <tableColumn id="12109" xr3:uid="{795E308A-A144-4DE1-A591-D2039D41EE9B}" name="Column12085" dataDxfId="4300"/>
    <tableColumn id="12110" xr3:uid="{105B91B0-EF45-40A5-8C1B-257478AC1CFC}" name="Column12086" dataDxfId="4299"/>
    <tableColumn id="12111" xr3:uid="{0C96FF3E-45E0-4520-B478-368AB1B7399E}" name="Column12087" dataDxfId="4298"/>
    <tableColumn id="12112" xr3:uid="{0CE2086A-D83F-4E28-812B-DAA93B8EBF06}" name="Column12088" dataDxfId="4297"/>
    <tableColumn id="12113" xr3:uid="{856460FF-D84F-4477-8619-EA1DA21DA39B}" name="Column12089" dataDxfId="4296"/>
    <tableColumn id="12114" xr3:uid="{76FEC4D6-7DCC-4F0B-A00B-BAA7F7254651}" name="Column12090" dataDxfId="4295"/>
    <tableColumn id="12115" xr3:uid="{8D0C791B-1498-4BAD-9219-923B64DEEBDF}" name="Column12091" dataDxfId="4294"/>
    <tableColumn id="12116" xr3:uid="{C9172B2E-BEAE-44B8-A3EE-545B54F12B84}" name="Column12092" dataDxfId="4293"/>
    <tableColumn id="12117" xr3:uid="{CFF59E5C-005C-497C-924C-512466FF394F}" name="Column12093" dataDxfId="4292"/>
    <tableColumn id="12118" xr3:uid="{42062401-8926-42BB-A125-1F03975D801A}" name="Column12094" dataDxfId="4291"/>
    <tableColumn id="12119" xr3:uid="{C5A72A11-8F2F-4C58-BE9F-57F7F14A6FE6}" name="Column12095" dataDxfId="4290"/>
    <tableColumn id="12120" xr3:uid="{41A92D8E-85B8-4D2C-AD01-37C32DCA0060}" name="Column12096" dataDxfId="4289"/>
    <tableColumn id="12121" xr3:uid="{FE7540CE-7917-475E-AEA4-1F57A9F50F59}" name="Column12097" dataDxfId="4288"/>
    <tableColumn id="12122" xr3:uid="{B3D2446A-473C-408C-BB93-7C626673819C}" name="Column12098" dataDxfId="4287"/>
    <tableColumn id="12123" xr3:uid="{81118D9E-D49F-4B8E-9A10-6C086526A66A}" name="Column12099" dataDxfId="4286"/>
    <tableColumn id="12124" xr3:uid="{6BB25474-8BEB-4262-85E8-33D4A2CBD8F4}" name="Column12100" dataDxfId="4285"/>
    <tableColumn id="12125" xr3:uid="{4B6589CD-DA75-4CA2-97B7-1F704EF7DB84}" name="Column12101" dataDxfId="4284"/>
    <tableColumn id="12126" xr3:uid="{8CB70B95-9C93-459B-9AB3-16C496102282}" name="Column12102" dataDxfId="4283"/>
    <tableColumn id="12127" xr3:uid="{602F07BD-9112-4DBA-B152-F4FCE0D6ED9A}" name="Column12103" dataDxfId="4282"/>
    <tableColumn id="12128" xr3:uid="{02B5C9D7-3D27-47C0-91AA-A2A7D491D2BF}" name="Column12104" dataDxfId="4281"/>
    <tableColumn id="12129" xr3:uid="{EB516DEB-98BD-4FDC-BFF3-0B9A1D9A2EFB}" name="Column12105" dataDxfId="4280"/>
    <tableColumn id="12130" xr3:uid="{439B33AC-C352-4C8F-8A27-B4BB25259AFF}" name="Column12106" dataDxfId="4279"/>
    <tableColumn id="12131" xr3:uid="{FA7401C3-BC00-4FB9-A3BF-A1B9C5539DEB}" name="Column12107" dataDxfId="4278"/>
    <tableColumn id="12132" xr3:uid="{9E71F06A-B473-4D3F-97EB-9227E960F18A}" name="Column12108" dataDxfId="4277"/>
    <tableColumn id="12133" xr3:uid="{6BB4EC5D-697B-466B-8F4E-6F37F9726BBC}" name="Column12109" dataDxfId="4276"/>
    <tableColumn id="12134" xr3:uid="{01DC5D8E-BC74-4288-AE99-19E962133209}" name="Column12110" dataDxfId="4275"/>
    <tableColumn id="12135" xr3:uid="{443C54BE-66C5-4A20-9C79-51B53D29EE11}" name="Column12111" dataDxfId="4274"/>
    <tableColumn id="12136" xr3:uid="{A522F37F-8561-4D8B-8081-5B171C761E88}" name="Column12112" dataDxfId="4273"/>
    <tableColumn id="12137" xr3:uid="{93A36C6D-7FF4-48DB-8C9D-41370ADD3206}" name="Column12113" dataDxfId="4272"/>
    <tableColumn id="12138" xr3:uid="{D4C23635-D2C0-4D53-B1E8-89E179EBB142}" name="Column12114" dataDxfId="4271"/>
    <tableColumn id="12139" xr3:uid="{F4754E8B-9A60-4C8A-A257-AC285C26C792}" name="Column12115" dataDxfId="4270"/>
    <tableColumn id="12140" xr3:uid="{1DC26D33-38F0-41D4-AD1C-234F1EF088ED}" name="Column12116" dataDxfId="4269"/>
    <tableColumn id="12141" xr3:uid="{3897F682-728B-4B08-8AE1-58A38065162C}" name="Column12117" dataDxfId="4268"/>
    <tableColumn id="12142" xr3:uid="{56FD262C-0879-4436-B3E9-612515F63A6A}" name="Column12118" dataDxfId="4267"/>
    <tableColumn id="12143" xr3:uid="{3CEA91AB-668B-4AA3-8379-DD843139EC4C}" name="Column12119" dataDxfId="4266"/>
    <tableColumn id="12144" xr3:uid="{06A09C8D-BEF2-441B-9BAE-6BCD75B36783}" name="Column12120" dataDxfId="4265"/>
    <tableColumn id="12145" xr3:uid="{FCE0F37A-11B3-4B90-8E69-95ABB8B0BB33}" name="Column12121" dataDxfId="4264"/>
    <tableColumn id="12146" xr3:uid="{EC0E034A-D571-4E2E-84AF-C2E596F68CE8}" name="Column12122" dataDxfId="4263"/>
    <tableColumn id="12147" xr3:uid="{D67F475A-13AD-4680-A5AD-3D76FE89F8FA}" name="Column12123" dataDxfId="4262"/>
    <tableColumn id="12148" xr3:uid="{2F91B24A-89D5-4793-87E4-A0C403610DFF}" name="Column12124" dataDxfId="4261"/>
    <tableColumn id="12149" xr3:uid="{4975CE5E-09D1-4125-AEAB-BDF3779A4660}" name="Column12125" dataDxfId="4260"/>
    <tableColumn id="12150" xr3:uid="{7F8495B3-A70B-458D-810B-40CE7C425C3A}" name="Column12126" dataDxfId="4259"/>
    <tableColumn id="12151" xr3:uid="{960A6095-DD79-4535-8906-EB1402C3B6F5}" name="Column12127" dataDxfId="4258"/>
    <tableColumn id="12152" xr3:uid="{9D35A2BF-E377-4A05-9241-A1B7CC592464}" name="Column12128" dataDxfId="4257"/>
    <tableColumn id="12153" xr3:uid="{D2CABE40-40CB-43A9-8BF6-7359577B8CDF}" name="Column12129" dataDxfId="4256"/>
    <tableColumn id="12154" xr3:uid="{8D48803C-AB0C-4745-AEFA-ACD64E2BD02A}" name="Column12130" dataDxfId="4255"/>
    <tableColumn id="12155" xr3:uid="{143E949F-83F1-4251-949B-0F4A064495C6}" name="Column12131" dataDxfId="4254"/>
    <tableColumn id="12156" xr3:uid="{D5A22EB2-BDDE-470B-8730-19EDDF32F413}" name="Column12132" dataDxfId="4253"/>
    <tableColumn id="12157" xr3:uid="{F25089DB-A9EE-44EC-AD13-58FDD9DC6BA5}" name="Column12133" dataDxfId="4252"/>
    <tableColumn id="12158" xr3:uid="{4DED4E71-5283-4691-B519-71AAD8E4A055}" name="Column12134" dataDxfId="4251"/>
    <tableColumn id="12159" xr3:uid="{E041A5B1-27C8-4F64-869A-598540549B81}" name="Column12135" dataDxfId="4250"/>
    <tableColumn id="12160" xr3:uid="{09BEA4BB-0BC8-4624-83EE-62F47D23205F}" name="Column12136" dataDxfId="4249"/>
    <tableColumn id="12161" xr3:uid="{999510F7-23DA-4884-B49E-63C08FB4C6F3}" name="Column12137" dataDxfId="4248"/>
    <tableColumn id="12162" xr3:uid="{04756038-4E86-4413-92FA-4F00474E21FC}" name="Column12138" dataDxfId="4247"/>
    <tableColumn id="12163" xr3:uid="{23E52471-52B9-4E71-8029-BE8572F96506}" name="Column12139" dataDxfId="4246"/>
    <tableColumn id="12164" xr3:uid="{7F151A2C-4EDA-4FD2-8F76-B8968DD86280}" name="Column12140" dataDxfId="4245"/>
    <tableColumn id="12165" xr3:uid="{A9935F35-EDD2-4281-9271-B1F7475BE050}" name="Column12141" dataDxfId="4244"/>
    <tableColumn id="12166" xr3:uid="{07459087-B16E-4D2D-8417-A80EAC1DCA87}" name="Column12142" dataDxfId="4243"/>
    <tableColumn id="12167" xr3:uid="{2C600A43-BC5C-427A-9505-49F6113B9C28}" name="Column12143" dataDxfId="4242"/>
    <tableColumn id="12168" xr3:uid="{F59F7B20-3D9F-45DA-B0F4-6A42995E6289}" name="Column12144" dataDxfId="4241"/>
    <tableColumn id="12169" xr3:uid="{88CFCF20-D260-4A4F-806D-D60482C6376A}" name="Column12145" dataDxfId="4240"/>
    <tableColumn id="12170" xr3:uid="{4BE740C3-38FF-489C-BB84-6383B4C2EE59}" name="Column12146" dataDxfId="4239"/>
    <tableColumn id="12171" xr3:uid="{4DC8FEA8-6437-4501-BA74-873ADC7B5DBD}" name="Column12147" dataDxfId="4238"/>
    <tableColumn id="12172" xr3:uid="{84BE3389-2E23-4A72-8DDA-F22B5AC42BD1}" name="Column12148" dataDxfId="4237"/>
    <tableColumn id="12173" xr3:uid="{4BCC4AB9-1EE6-4DE3-BC2B-7E9792CAE85C}" name="Column12149" dataDxfId="4236"/>
    <tableColumn id="12174" xr3:uid="{8A2C5E1B-38BD-4DFB-8EBA-146195C22717}" name="Column12150" dataDxfId="4235"/>
    <tableColumn id="12175" xr3:uid="{F75C4618-611D-4A1A-9049-39370D82A515}" name="Column12151" dataDxfId="4234"/>
    <tableColumn id="12176" xr3:uid="{483D2FB2-DFAB-4F1F-A7CC-04F3B3872681}" name="Column12152" dataDxfId="4233"/>
    <tableColumn id="12177" xr3:uid="{760F1F31-A48F-4F85-9296-2D6E723FEF76}" name="Column12153" dataDxfId="4232"/>
    <tableColumn id="12178" xr3:uid="{C61F3E02-A493-4036-A72B-EF30FED5E039}" name="Column12154" dataDxfId="4231"/>
    <tableColumn id="12179" xr3:uid="{7ADCEBFA-9517-4E6B-94E6-4964D8CFAFC7}" name="Column12155" dataDxfId="4230"/>
    <tableColumn id="12180" xr3:uid="{15E39B15-417B-418C-937B-519237DF2FFB}" name="Column12156" dataDxfId="4229"/>
    <tableColumn id="12181" xr3:uid="{44AFD787-6D46-4C8A-A260-5C8A2B2B42BA}" name="Column12157" dataDxfId="4228"/>
    <tableColumn id="12182" xr3:uid="{E460C4DC-44E6-496C-A20C-536F7B8A86ED}" name="Column12158" dataDxfId="4227"/>
    <tableColumn id="12183" xr3:uid="{3C62CE85-B1B1-4AC4-942B-8832F77798D8}" name="Column12159" dataDxfId="4226"/>
    <tableColumn id="12184" xr3:uid="{39709812-7D94-4E17-A828-BF5D53162F1E}" name="Column12160" dataDxfId="4225"/>
    <tableColumn id="12185" xr3:uid="{A47FE750-D61B-4994-8359-BDFE6FAC7177}" name="Column12161" dataDxfId="4224"/>
    <tableColumn id="12186" xr3:uid="{234AE195-C4EA-4B20-978B-D0FC38463188}" name="Column12162" dataDxfId="4223"/>
    <tableColumn id="12187" xr3:uid="{2D5A0E85-F693-45A1-AD5D-7E3488833209}" name="Column12163" dataDxfId="4222"/>
    <tableColumn id="12188" xr3:uid="{B3E702D5-5DB7-4A60-B0AA-12EBD22FFC34}" name="Column12164" dataDxfId="4221"/>
    <tableColumn id="12189" xr3:uid="{D7CAE4CD-969C-419C-A752-0FF9E92995AD}" name="Column12165" dataDxfId="4220"/>
    <tableColumn id="12190" xr3:uid="{B373FD8F-89CE-486E-8839-539ADD5042A4}" name="Column12166" dataDxfId="4219"/>
    <tableColumn id="12191" xr3:uid="{5F80A1AB-A494-46F5-935C-BE046E9C0AB9}" name="Column12167" dataDxfId="4218"/>
    <tableColumn id="12192" xr3:uid="{2965AC29-B2CC-46C2-BD87-3EEC88575ADE}" name="Column12168" dataDxfId="4217"/>
    <tableColumn id="12193" xr3:uid="{893A910F-EF0C-4248-81F2-AF0AFFCF095A}" name="Column12169" dataDxfId="4216"/>
    <tableColumn id="12194" xr3:uid="{A3A292FD-E863-4C49-925A-9778FA161146}" name="Column12170" dataDxfId="4215"/>
    <tableColumn id="12195" xr3:uid="{9C53C4FE-CE4D-491B-82E1-C8EDB46BA263}" name="Column12171" dataDxfId="4214"/>
    <tableColumn id="12196" xr3:uid="{CEB34EAA-7486-4605-AF85-85B7CEBEED7C}" name="Column12172" dataDxfId="4213"/>
    <tableColumn id="12197" xr3:uid="{AEAF0CEC-4648-4B16-974A-41E73F1C891A}" name="Column12173" dataDxfId="4212"/>
    <tableColumn id="12198" xr3:uid="{51140AC2-0153-4DC7-B33E-F6F59480BF39}" name="Column12174" dataDxfId="4211"/>
    <tableColumn id="12199" xr3:uid="{26DD0B8D-6AE4-468D-B9EB-2000896F90CE}" name="Column12175" dataDxfId="4210"/>
    <tableColumn id="12200" xr3:uid="{9007833E-C50B-44F1-A1CE-2D9ECC6F9BC8}" name="Column12176" dataDxfId="4209"/>
    <tableColumn id="12201" xr3:uid="{0EB0D6B9-D5F2-46D2-9E32-101A5DDFCC92}" name="Column12177" dataDxfId="4208"/>
    <tableColumn id="12202" xr3:uid="{7CBA5908-A986-4FAE-9F27-D084F2FCDA8A}" name="Column12178" dataDxfId="4207"/>
    <tableColumn id="12203" xr3:uid="{F5F777D3-A359-40AA-BEF2-F1359879CA2D}" name="Column12179" dataDxfId="4206"/>
    <tableColumn id="12204" xr3:uid="{BD52117F-8525-4B8E-BCE6-7F91766DEE7E}" name="Column12180" dataDxfId="4205"/>
    <tableColumn id="12205" xr3:uid="{E500995B-A5B7-47BC-A98F-773FE58B2CC8}" name="Column12181" dataDxfId="4204"/>
    <tableColumn id="12206" xr3:uid="{DFA2B4DB-D043-48E7-986B-87B9BE282E84}" name="Column12182" dataDxfId="4203"/>
    <tableColumn id="12207" xr3:uid="{2E2F6A88-EFF1-43B3-A763-253012611D01}" name="Column12183" dataDxfId="4202"/>
    <tableColumn id="12208" xr3:uid="{0D7B2B24-E2D3-4F5C-AB6F-A4D522FA2DB6}" name="Column12184" dataDxfId="4201"/>
    <tableColumn id="12209" xr3:uid="{E24E29D9-08DD-4ACB-8593-3F5EBBA36D5F}" name="Column12185" dataDxfId="4200"/>
    <tableColumn id="12210" xr3:uid="{0BEF0E8C-D900-4814-9235-BE45AD09BD16}" name="Column12186" dataDxfId="4199"/>
    <tableColumn id="12211" xr3:uid="{02A2AA5C-2971-4307-9C55-FC415CDB325B}" name="Column12187" dataDxfId="4198"/>
    <tableColumn id="12212" xr3:uid="{A21230EB-8D2A-4D11-A3FA-EA09E055D446}" name="Column12188" dataDxfId="4197"/>
    <tableColumn id="12213" xr3:uid="{652CEE53-E45B-4CF6-9D7D-CAA8BC502C18}" name="Column12189" dataDxfId="4196"/>
    <tableColumn id="12214" xr3:uid="{8873E1F9-EABE-4221-A0D4-2B0466DFFA5D}" name="Column12190" dataDxfId="4195"/>
    <tableColumn id="12215" xr3:uid="{DDF3A1FC-74D2-40BC-8B9E-F9FA464B4EC6}" name="Column12191" dataDxfId="4194"/>
    <tableColumn id="12216" xr3:uid="{A3941C05-0E1F-4FCE-84E7-ED1DC6104929}" name="Column12192" dataDxfId="4193"/>
    <tableColumn id="12217" xr3:uid="{E244D9DB-C07E-485F-97DE-C2771D174036}" name="Column12193" dataDxfId="4192"/>
    <tableColumn id="12218" xr3:uid="{1E1A109D-1998-4558-89F7-388E931233F6}" name="Column12194" dataDxfId="4191"/>
    <tableColumn id="12219" xr3:uid="{A30EF288-AA4A-4D71-BC66-330E99AEBBB9}" name="Column12195" dataDxfId="4190"/>
    <tableColumn id="12220" xr3:uid="{8075D3E0-DB29-4713-8B8C-A4B838BC14F1}" name="Column12196" dataDxfId="4189"/>
    <tableColumn id="12221" xr3:uid="{7CFC29FB-4CCA-4395-99B4-27FFA1DC8DEF}" name="Column12197" dataDxfId="4188"/>
    <tableColumn id="12222" xr3:uid="{9C92D1F6-30CD-44A9-BFEF-88CD815D282D}" name="Column12198" dataDxfId="4187"/>
    <tableColumn id="12223" xr3:uid="{0BC33C75-25D0-4FBC-9681-F32D1FA47A5C}" name="Column12199" dataDxfId="4186"/>
    <tableColumn id="12224" xr3:uid="{83EBA8CA-84B3-458E-AB19-ECB8F617E652}" name="Column12200" dataDxfId="4185"/>
    <tableColumn id="12225" xr3:uid="{85453E77-932B-4046-8701-840ACD96C5E0}" name="Column12201" dataDxfId="4184"/>
    <tableColumn id="12226" xr3:uid="{1C9F41F3-BB56-4921-8775-33912053BA0F}" name="Column12202" dataDxfId="4183"/>
    <tableColumn id="12227" xr3:uid="{B7F33760-84E7-4F31-AB92-7C984AE3EECA}" name="Column12203" dataDxfId="4182"/>
    <tableColumn id="12228" xr3:uid="{418E8EF9-45B6-40CB-A6B8-2226A2FBC826}" name="Column12204" dataDxfId="4181"/>
    <tableColumn id="12229" xr3:uid="{432D5B43-9DBD-4C6A-A4CA-F27D5F3A341D}" name="Column12205" dataDxfId="4180"/>
    <tableColumn id="12230" xr3:uid="{B41D9185-C748-46F9-9941-92E3E97EB84A}" name="Column12206" dataDxfId="4179"/>
    <tableColumn id="12231" xr3:uid="{80AD1822-D0B4-4636-9031-9DA1C0202500}" name="Column12207" dataDxfId="4178"/>
    <tableColumn id="12232" xr3:uid="{669BBD91-BF02-43A9-A1D0-D45E705548F8}" name="Column12208" dataDxfId="4177"/>
    <tableColumn id="12233" xr3:uid="{786358C7-2258-4971-B46E-FD25A00BD88E}" name="Column12209" dataDxfId="4176"/>
    <tableColumn id="12234" xr3:uid="{D5C72497-DB72-41FC-A505-EE4B30F65022}" name="Column12210" dataDxfId="4175"/>
    <tableColumn id="12235" xr3:uid="{71276755-D8F9-43BB-9B5C-DD4B9231FA7A}" name="Column12211" dataDxfId="4174"/>
    <tableColumn id="12236" xr3:uid="{1E1E8AEA-D63D-4D9C-BC62-3F9035EC1945}" name="Column12212" dataDxfId="4173"/>
    <tableColumn id="12237" xr3:uid="{59E2A96F-F0FF-4421-A43E-37A0B29BC6F6}" name="Column12213" dataDxfId="4172"/>
    <tableColumn id="12238" xr3:uid="{E680B33C-F68D-4995-AFC4-F4C41136F3CD}" name="Column12214" dataDxfId="4171"/>
    <tableColumn id="12239" xr3:uid="{EEE2162B-C444-49A6-B92A-83873DB5F13E}" name="Column12215" dataDxfId="4170"/>
    <tableColumn id="12240" xr3:uid="{0DC84BEE-5889-4591-B0D0-0294F3EE5492}" name="Column12216" dataDxfId="4169"/>
    <tableColumn id="12241" xr3:uid="{3EB58561-76F2-482A-9E2B-61BFC72B9C8F}" name="Column12217" dataDxfId="4168"/>
    <tableColumn id="12242" xr3:uid="{23A48094-7C69-4866-89F4-485BB2D2AA94}" name="Column12218" dataDxfId="4167"/>
    <tableColumn id="12243" xr3:uid="{0D1986DB-DECB-4C9C-9D7E-C258ADDBFA08}" name="Column12219" dataDxfId="4166"/>
    <tableColumn id="12244" xr3:uid="{A6D76920-42B4-4FFA-9A95-604A4348B011}" name="Column12220" dataDxfId="4165"/>
    <tableColumn id="12245" xr3:uid="{EE9C17E1-E11F-4CB3-AB39-526E2BAD7239}" name="Column12221" dataDxfId="4164"/>
    <tableColumn id="12246" xr3:uid="{061C15DC-062C-443C-8173-BB9603377434}" name="Column12222" dataDxfId="4163"/>
    <tableColumn id="12247" xr3:uid="{C9B676B9-5C1B-4408-BFCC-C3428472DBD4}" name="Column12223" dataDxfId="4162"/>
    <tableColumn id="12248" xr3:uid="{0539699D-8B02-4835-B13B-0CEAB54AC1CD}" name="Column12224" dataDxfId="4161"/>
    <tableColumn id="12249" xr3:uid="{3FD7F3C1-5912-4A33-A816-63184D3C0821}" name="Column12225" dataDxfId="4160"/>
    <tableColumn id="12250" xr3:uid="{4E70B82E-4824-4A7C-9BE5-9E94B2174925}" name="Column12226" dataDxfId="4159"/>
    <tableColumn id="12251" xr3:uid="{ED2A8E3A-E9E1-4FA8-B465-314A7DCB1A61}" name="Column12227" dataDxfId="4158"/>
    <tableColumn id="12252" xr3:uid="{38CD7945-93EE-4FDE-84F2-F5F2A841E704}" name="Column12228" dataDxfId="4157"/>
    <tableColumn id="12253" xr3:uid="{4B357FBE-B8F8-4E9C-8615-9C8D45F2AB7F}" name="Column12229" dataDxfId="4156"/>
    <tableColumn id="12254" xr3:uid="{D47D45DB-2949-4EDB-B1DA-86336F1385F1}" name="Column12230" dataDxfId="4155"/>
    <tableColumn id="12255" xr3:uid="{01AA2D4E-2157-49BE-A448-6F22286A456D}" name="Column12231" dataDxfId="4154"/>
    <tableColumn id="12256" xr3:uid="{E4B03991-A0F9-42D2-A56B-58E898445214}" name="Column12232" dataDxfId="4153"/>
    <tableColumn id="12257" xr3:uid="{2D6DC689-8E6E-49CA-8DB0-83906D153A52}" name="Column12233" dataDxfId="4152"/>
    <tableColumn id="12258" xr3:uid="{D7A9DCB8-9386-4862-9C64-512A740E74A7}" name="Column12234" dataDxfId="4151"/>
    <tableColumn id="12259" xr3:uid="{D2E1C163-E5B3-46DF-A058-1260DA9817EA}" name="Column12235" dataDxfId="4150"/>
    <tableColumn id="12260" xr3:uid="{C577D0F7-03B5-47EA-B5A7-263F15959587}" name="Column12236" dataDxfId="4149"/>
    <tableColumn id="12261" xr3:uid="{5DB21386-3CDA-4D12-B939-CC4050E82608}" name="Column12237" dataDxfId="4148"/>
    <tableColumn id="12262" xr3:uid="{4091AD89-3E6C-49C5-9E52-87D8513AC2C8}" name="Column12238" dataDxfId="4147"/>
    <tableColumn id="12263" xr3:uid="{C1390F0D-91CC-4AE9-934D-F5440E9EDFE6}" name="Column12239" dataDxfId="4146"/>
    <tableColumn id="12264" xr3:uid="{8B2E8640-334C-4139-A6CE-D607DF3EFB34}" name="Column12240" dataDxfId="4145"/>
    <tableColumn id="12265" xr3:uid="{DE011B02-EE80-4B5A-B5A9-B89154783F16}" name="Column12241" dataDxfId="4144"/>
    <tableColumn id="12266" xr3:uid="{9D220750-BF05-4DDD-BFEC-E3AF52B3F758}" name="Column12242" dataDxfId="4143"/>
    <tableColumn id="12267" xr3:uid="{1C78ADBD-655E-45BD-BD27-243A645095E7}" name="Column12243" dataDxfId="4142"/>
    <tableColumn id="12268" xr3:uid="{DCE50C11-8C60-434F-8CBB-7130663EE5FD}" name="Column12244" dataDxfId="4141"/>
    <tableColumn id="12269" xr3:uid="{D7EB1CEF-07BB-4FDA-A8C8-F2F77203C358}" name="Column12245" dataDxfId="4140"/>
    <tableColumn id="12270" xr3:uid="{E276C885-AF0F-4740-A069-E79433A8E99C}" name="Column12246" dataDxfId="4139"/>
    <tableColumn id="12271" xr3:uid="{088686FD-6536-4C8A-A474-3CE965E92D21}" name="Column12247" dataDxfId="4138"/>
    <tableColumn id="12272" xr3:uid="{6B47FABD-7C94-4163-9B05-267CA25DB59E}" name="Column12248" dataDxfId="4137"/>
    <tableColumn id="12273" xr3:uid="{2FC6DC77-C0C6-4D9E-93E4-64F63E9493C5}" name="Column12249" dataDxfId="4136"/>
    <tableColumn id="12274" xr3:uid="{5492D034-90AD-40FE-9BBF-A15D1B6E21FB}" name="Column12250" dataDxfId="4135"/>
    <tableColumn id="12275" xr3:uid="{2E8D2B45-CB79-414D-8214-1ED27585E1C5}" name="Column12251" dataDxfId="4134"/>
    <tableColumn id="12276" xr3:uid="{4380A917-35F0-4B8A-8E4E-167D39661B20}" name="Column12252" dataDxfId="4133"/>
    <tableColumn id="12277" xr3:uid="{B9595128-C60E-4BE0-9205-8C137BE068B7}" name="Column12253" dataDxfId="4132"/>
    <tableColumn id="12278" xr3:uid="{4EFB1409-E93B-451C-B2DB-1873E0CC295C}" name="Column12254" dataDxfId="4131"/>
    <tableColumn id="12279" xr3:uid="{CFCAD568-746B-4A2E-876A-06637367CCE3}" name="Column12255" dataDxfId="4130"/>
    <tableColumn id="12280" xr3:uid="{A67FABC3-F63E-45FB-B0E1-52E7CE36DAD2}" name="Column12256" dataDxfId="4129"/>
    <tableColumn id="12281" xr3:uid="{5C6226B7-FB9D-4079-81D4-7CBE2AF48A15}" name="Column12257" dataDxfId="4128"/>
    <tableColumn id="12282" xr3:uid="{4AB72820-3461-460F-A2D1-A62AEF02C14C}" name="Column12258" dataDxfId="4127"/>
    <tableColumn id="12283" xr3:uid="{A5F5F864-6EDF-4974-B9C0-7700E4163F14}" name="Column12259" dataDxfId="4126"/>
    <tableColumn id="12284" xr3:uid="{D534A108-56B2-46FD-82E7-E522A26AAC76}" name="Column12260" dataDxfId="4125"/>
    <tableColumn id="12285" xr3:uid="{EA562610-9298-4A0A-A72E-6E41F31FAB32}" name="Column12261" dataDxfId="4124"/>
    <tableColumn id="12286" xr3:uid="{162BEF4D-A2D2-4B58-AA30-1EF42D7FAEE1}" name="Column12262" dataDxfId="4123"/>
    <tableColumn id="12287" xr3:uid="{6F8341F8-B0A5-4E95-8C77-6FF76AA22C43}" name="Column12263" dataDxfId="4122"/>
    <tableColumn id="12288" xr3:uid="{2618931D-7960-4CEC-A3F8-1579B390806F}" name="Column12264" dataDxfId="4121"/>
    <tableColumn id="12289" xr3:uid="{EE1F3B13-0A1B-47B3-823C-C887475619B6}" name="Column12265" dataDxfId="4120"/>
    <tableColumn id="12290" xr3:uid="{FE89E727-239B-427C-8BEE-5A4829CA1FFD}" name="Column12266" dataDxfId="4119"/>
    <tableColumn id="12291" xr3:uid="{1F5AB892-CB31-4C38-98F0-142367672C42}" name="Column12267" dataDxfId="4118"/>
    <tableColumn id="12292" xr3:uid="{8ADC0132-32D5-4875-A2D7-D4BD7BDE9EA8}" name="Column12268" dataDxfId="4117"/>
    <tableColumn id="12293" xr3:uid="{9A5C68B8-E532-43A5-8BB6-B304DD8ADE98}" name="Column12269" dataDxfId="4116"/>
    <tableColumn id="12294" xr3:uid="{205E6319-40F6-4EA2-AE3F-AD80831FBD05}" name="Column12270" dataDxfId="4115"/>
    <tableColumn id="12295" xr3:uid="{86AFD9A4-4381-4FE4-B288-F3A13E9A79F8}" name="Column12271" dataDxfId="4114"/>
    <tableColumn id="12296" xr3:uid="{79681AB1-DF5C-46AA-ABC2-86C8D35C794B}" name="Column12272" dataDxfId="4113"/>
    <tableColumn id="12297" xr3:uid="{A9B1D8A7-5E0F-458C-B590-125B44019F3D}" name="Column12273" dataDxfId="4112"/>
    <tableColumn id="12298" xr3:uid="{39301156-238A-4E1D-9191-73CDC374D342}" name="Column12274" dataDxfId="4111"/>
    <tableColumn id="12299" xr3:uid="{604CB091-6E3A-414C-BEC9-1738751EEEC9}" name="Column12275" dataDxfId="4110"/>
    <tableColumn id="12300" xr3:uid="{296EC093-C33E-4D58-92F9-68F1C4B18B3E}" name="Column12276" dataDxfId="4109"/>
    <tableColumn id="12301" xr3:uid="{D2380E0B-F2A8-4326-950E-26963BEEBDD1}" name="Column12277" dataDxfId="4108"/>
    <tableColumn id="12302" xr3:uid="{67478903-E2E8-48C6-AB4D-A0D6888C5C9E}" name="Column12278" dataDxfId="4107"/>
    <tableColumn id="12303" xr3:uid="{D64F2583-F909-44EB-8477-1B5DB5AB2C69}" name="Column12279" dataDxfId="4106"/>
    <tableColumn id="12304" xr3:uid="{B56D36B3-5F0E-4C77-B10C-09A7CEB174C4}" name="Column12280" dataDxfId="4105"/>
    <tableColumn id="12305" xr3:uid="{28F96941-6809-406F-B041-897459F9F614}" name="Column12281" dataDxfId="4104"/>
    <tableColumn id="12306" xr3:uid="{FBC4B457-3F3F-4F88-9181-371F23A63397}" name="Column12282" dataDxfId="4103"/>
    <tableColumn id="12307" xr3:uid="{2B5BA7C2-B564-4B9E-82A1-AD6A8B9EACED}" name="Column12283" dataDxfId="4102"/>
    <tableColumn id="12308" xr3:uid="{BC0DB2B8-68C5-4593-8CAA-A7F4A57AF85B}" name="Column12284" dataDxfId="4101"/>
    <tableColumn id="12309" xr3:uid="{41EA0C15-0317-49DC-A462-4EABA11CBC4B}" name="Column12285" dataDxfId="4100"/>
    <tableColumn id="12310" xr3:uid="{C3712E3C-5EF6-4834-81D0-CE960C2EB399}" name="Column12286" dataDxfId="4099"/>
    <tableColumn id="12311" xr3:uid="{C3C2CC9A-7816-47E9-8C10-EEA03866F6A3}" name="Column12287" dataDxfId="4098"/>
    <tableColumn id="12312" xr3:uid="{E2179760-0B9F-4B79-9E9A-58E7DDA378EB}" name="Column12288" dataDxfId="4097"/>
    <tableColumn id="12313" xr3:uid="{BB9AAFF9-2F56-4282-A8CB-211132AC8418}" name="Column12289" dataDxfId="4096"/>
    <tableColumn id="12314" xr3:uid="{8DB3E746-6ACB-4827-B094-514A81AF637B}" name="Column12290" dataDxfId="4095"/>
    <tableColumn id="12315" xr3:uid="{65C7E873-16C4-4B4A-AAB3-1D558A363834}" name="Column12291" dataDxfId="4094"/>
    <tableColumn id="12316" xr3:uid="{1FB58B9B-BA42-4E74-AA23-231A657D1FD9}" name="Column12292" dataDxfId="4093"/>
    <tableColumn id="12317" xr3:uid="{10E8AD44-D564-45FC-8582-F29C1D1AE9AF}" name="Column12293" dataDxfId="4092"/>
    <tableColumn id="12318" xr3:uid="{81F2A818-E9AC-4C46-B080-F016F29AA105}" name="Column12294" dataDxfId="4091"/>
    <tableColumn id="12319" xr3:uid="{6C6E8D10-BCCE-416E-BD00-9692B5B62616}" name="Column12295" dataDxfId="4090"/>
    <tableColumn id="12320" xr3:uid="{B32F8B1E-A620-4EBC-AF8B-2230CA0332B8}" name="Column12296" dataDxfId="4089"/>
    <tableColumn id="12321" xr3:uid="{1128875B-8AEF-4CFE-8DC5-798134464B73}" name="Column12297" dataDxfId="4088"/>
    <tableColumn id="12322" xr3:uid="{FBA1099A-5BB3-4A6C-AED9-B8BBE41945D1}" name="Column12298" dataDxfId="4087"/>
    <tableColumn id="12323" xr3:uid="{3015C3CC-2D63-4C38-BAC8-1BE217F6959F}" name="Column12299" dataDxfId="4086"/>
    <tableColumn id="12324" xr3:uid="{EFEE609C-CB47-48E7-8D7E-BD963EABE96F}" name="Column12300" dataDxfId="4085"/>
    <tableColumn id="12325" xr3:uid="{1D93FBE4-A7B6-4AE7-9439-AD83B3D218C4}" name="Column12301" dataDxfId="4084"/>
    <tableColumn id="12326" xr3:uid="{B4CA80F2-1813-4940-906A-6F0B869EAF83}" name="Column12302" dataDxfId="4083"/>
    <tableColumn id="12327" xr3:uid="{B6CFB877-688B-4134-B914-224282C04DC0}" name="Column12303" dataDxfId="4082"/>
    <tableColumn id="12328" xr3:uid="{3BABFEDD-00D9-4939-B09E-F23CD23CD379}" name="Column12304" dataDxfId="4081"/>
    <tableColumn id="12329" xr3:uid="{C4BFFA30-E5A5-4D73-A990-AF9CD0DBE6EF}" name="Column12305" dataDxfId="4080"/>
    <tableColumn id="12330" xr3:uid="{E652ECD3-AF5F-454E-9CEB-C27D773DAC80}" name="Column12306" dataDxfId="4079"/>
    <tableColumn id="12331" xr3:uid="{758CE481-2818-4E21-A482-D9BF9D558318}" name="Column12307" dataDxfId="4078"/>
    <tableColumn id="12332" xr3:uid="{0022ADD7-5291-4EE6-960A-71FC00C7E66F}" name="Column12308" dataDxfId="4077"/>
    <tableColumn id="12333" xr3:uid="{170CAC53-99BE-417F-8DB7-4B4D4E282CAF}" name="Column12309" dataDxfId="4076"/>
    <tableColumn id="12334" xr3:uid="{59A43476-25C3-4CD1-A0F2-E0ECF604BCAA}" name="Column12310" dataDxfId="4075"/>
    <tableColumn id="12335" xr3:uid="{286068FE-859A-4717-8EDF-08CD71059F42}" name="Column12311" dataDxfId="4074"/>
    <tableColumn id="12336" xr3:uid="{8963CBE0-66FC-456B-B044-4560BBB5BAAB}" name="Column12312" dataDxfId="4073"/>
    <tableColumn id="12337" xr3:uid="{07B1CD84-3BB7-473E-8708-0AC4A895E320}" name="Column12313" dataDxfId="4072"/>
    <tableColumn id="12338" xr3:uid="{4F07434A-001F-4755-9A7A-5E18E93988BF}" name="Column12314" dataDxfId="4071"/>
    <tableColumn id="12339" xr3:uid="{382515FA-AFAE-4996-8DD3-946030E81A73}" name="Column12315" dataDxfId="4070"/>
    <tableColumn id="12340" xr3:uid="{C30B19B8-6FD7-41B7-A67D-75B219B0DAAE}" name="Column12316" dataDxfId="4069"/>
    <tableColumn id="12341" xr3:uid="{5CEB3CB3-00F1-4410-9FCD-FBB4CE71DAC9}" name="Column12317" dataDxfId="4068"/>
    <tableColumn id="12342" xr3:uid="{24570342-D4FA-4F25-ADB6-44A8ADAF2152}" name="Column12318" dataDxfId="4067"/>
    <tableColumn id="12343" xr3:uid="{BAC4D743-57EE-4D0E-8ABB-F820AC1E07F5}" name="Column12319" dataDxfId="4066"/>
    <tableColumn id="12344" xr3:uid="{2F0CE043-E553-46A7-8455-23A2F311ECED}" name="Column12320" dataDxfId="4065"/>
    <tableColumn id="12345" xr3:uid="{5F79F75B-E688-43D2-8A6A-19FCB9B2AFD0}" name="Column12321" dataDxfId="4064"/>
    <tableColumn id="12346" xr3:uid="{6E726BB6-DEAC-47AC-9F9D-98D4EF1E71ED}" name="Column12322" dataDxfId="4063"/>
    <tableColumn id="12347" xr3:uid="{78176BBB-EEEF-4E54-8373-5D364AC11500}" name="Column12323" dataDxfId="4062"/>
    <tableColumn id="12348" xr3:uid="{AE495497-7196-4120-80A5-718B47889DAD}" name="Column12324" dataDxfId="4061"/>
    <tableColumn id="12349" xr3:uid="{796B27E3-C7DD-4118-9475-A6456D6DE672}" name="Column12325" dataDxfId="4060"/>
    <tableColumn id="12350" xr3:uid="{3C553357-4DD8-423C-A743-8E514D9DD7A4}" name="Column12326" dataDxfId="4059"/>
    <tableColumn id="12351" xr3:uid="{7EEB96D9-088C-412B-9321-FDC397E89877}" name="Column12327" dataDxfId="4058"/>
    <tableColumn id="12352" xr3:uid="{DBDA26BF-3C54-4C71-8172-106F8C9DF131}" name="Column12328" dataDxfId="4057"/>
    <tableColumn id="12353" xr3:uid="{B18F17BB-FDFD-4335-A928-5B92B430F98F}" name="Column12329" dataDxfId="4056"/>
    <tableColumn id="12354" xr3:uid="{8C045B65-8066-4B61-8A58-7B66D330FF1A}" name="Column12330" dataDxfId="4055"/>
    <tableColumn id="12355" xr3:uid="{90534D81-D3E7-4D1D-A0A6-49FB5FCE7CAF}" name="Column12331" dataDxfId="4054"/>
    <tableColumn id="12356" xr3:uid="{41B44B59-AD0F-48F1-A85A-40B97CEA0FA3}" name="Column12332" dataDxfId="4053"/>
    <tableColumn id="12357" xr3:uid="{AEE0E33F-54E2-46AA-92BA-964C1683F364}" name="Column12333" dataDxfId="4052"/>
    <tableColumn id="12358" xr3:uid="{B9A5935C-8024-45F1-9270-8D489C9375FC}" name="Column12334" dataDxfId="4051"/>
    <tableColumn id="12359" xr3:uid="{4CCB1C97-D915-48DA-A1D3-8CE32958CB05}" name="Column12335" dataDxfId="4050"/>
    <tableColumn id="12360" xr3:uid="{86F8CC5E-E6C2-47AE-93E7-3981FD6F29D7}" name="Column12336" dataDxfId="4049"/>
    <tableColumn id="12361" xr3:uid="{24B300B6-16E0-46A8-A270-D6B6A13DD20D}" name="Column12337" dataDxfId="4048"/>
    <tableColumn id="12362" xr3:uid="{157914F9-AA6C-473B-B564-4421F5B4B986}" name="Column12338" dataDxfId="4047"/>
    <tableColumn id="12363" xr3:uid="{F8DBBC25-B613-41B4-A56D-766FE964D010}" name="Column12339" dataDxfId="4046"/>
    <tableColumn id="12364" xr3:uid="{502B7138-84B8-4EBF-9875-8C94203684EF}" name="Column12340" dataDxfId="4045"/>
    <tableColumn id="12365" xr3:uid="{376134E8-2126-4FE2-8A43-EE47ECB3C9FD}" name="Column12341" dataDxfId="4044"/>
    <tableColumn id="12366" xr3:uid="{5C24E7C0-33F2-4FE9-B20F-36C315CC8A24}" name="Column12342" dataDxfId="4043"/>
    <tableColumn id="12367" xr3:uid="{C9DF20B5-65A0-45E1-82A8-8F6FB64DB884}" name="Column12343" dataDxfId="4042"/>
    <tableColumn id="12368" xr3:uid="{7E73F61B-2EB9-4EB9-9A17-12FD56AB9257}" name="Column12344" dataDxfId="4041"/>
    <tableColumn id="12369" xr3:uid="{3744609B-D0B9-43F5-A10A-D90D43F3FE79}" name="Column12345" dataDxfId="4040"/>
    <tableColumn id="12370" xr3:uid="{2E18E644-29FF-4FB0-9555-A87A4441B338}" name="Column12346" dataDxfId="4039"/>
    <tableColumn id="12371" xr3:uid="{2E46FFD3-057B-45CF-B9F3-FCA5AC5F23B4}" name="Column12347" dataDxfId="4038"/>
    <tableColumn id="12372" xr3:uid="{37855380-460A-4D5C-B1C5-7DC439A74B7D}" name="Column12348" dataDxfId="4037"/>
    <tableColumn id="12373" xr3:uid="{A3AA7340-B9A9-49F3-B99A-7E5540588537}" name="Column12349" dataDxfId="4036"/>
    <tableColumn id="12374" xr3:uid="{16952BF8-9CD6-46FD-910C-847A02E3C1C4}" name="Column12350" dataDxfId="4035"/>
    <tableColumn id="12375" xr3:uid="{B45A3696-3647-49B7-9A49-594919AF9BF2}" name="Column12351" dataDxfId="4034"/>
    <tableColumn id="12376" xr3:uid="{25E04B5C-8E49-4429-987E-E6D22D97DB5E}" name="Column12352" dataDxfId="4033"/>
    <tableColumn id="12377" xr3:uid="{62642906-C9D9-46B9-8EC3-5E45E2C72D61}" name="Column12353" dataDxfId="4032"/>
    <tableColumn id="12378" xr3:uid="{0C3C1642-8B42-4AC5-8E5A-09111BB8F702}" name="Column12354" dataDxfId="4031"/>
    <tableColumn id="12379" xr3:uid="{1E146F3B-21DE-4803-937E-A01867EB6062}" name="Column12355" dataDxfId="4030"/>
    <tableColumn id="12380" xr3:uid="{609433FD-FA2F-4253-A707-DCEDD78FFE41}" name="Column12356" dataDxfId="4029"/>
    <tableColumn id="12381" xr3:uid="{66D812DE-48F6-4926-B155-DA71BF691CC5}" name="Column12357" dataDxfId="4028"/>
    <tableColumn id="12382" xr3:uid="{93519FF3-CDDB-4880-9B18-3B5DFEE9595D}" name="Column12358" dataDxfId="4027"/>
    <tableColumn id="12383" xr3:uid="{F8F1ABB8-C6E9-4BF4-81F2-C2D5CD45267C}" name="Column12359" dataDxfId="4026"/>
    <tableColumn id="12384" xr3:uid="{04D1A1B9-ABAE-4F23-8B7F-7544F167A43E}" name="Column12360" dataDxfId="4025"/>
    <tableColumn id="12385" xr3:uid="{941531E3-1FE1-4F26-AA95-B80E78B3FADD}" name="Column12361" dataDxfId="4024"/>
    <tableColumn id="12386" xr3:uid="{F5D9B9C7-0726-4CE4-8DB9-DA3F47A1E201}" name="Column12362" dataDxfId="4023"/>
    <tableColumn id="12387" xr3:uid="{0B95CCBE-C286-41BD-9D22-BBE3A20A89C6}" name="Column12363" dataDxfId="4022"/>
    <tableColumn id="12388" xr3:uid="{CD52B7E4-A89C-4871-BFE5-AD57DA82A588}" name="Column12364" dataDxfId="4021"/>
    <tableColumn id="12389" xr3:uid="{DE340997-8FF6-474A-93A7-28B6A44E38EE}" name="Column12365" dataDxfId="4020"/>
    <tableColumn id="12390" xr3:uid="{88596DFE-8CCB-4E2C-AB10-B13958DB19A3}" name="Column12366" dataDxfId="4019"/>
    <tableColumn id="12391" xr3:uid="{5029E0F4-DA00-499A-8121-0566AC5F79F6}" name="Column12367" dataDxfId="4018"/>
    <tableColumn id="12392" xr3:uid="{D933E670-436F-4D24-B231-F969C3C3FA8F}" name="Column12368" dataDxfId="4017"/>
    <tableColumn id="12393" xr3:uid="{0874887C-903A-43FD-858C-6E5DDA9417BC}" name="Column12369" dataDxfId="4016"/>
    <tableColumn id="12394" xr3:uid="{A86CC6FB-FBEA-4B86-B2C0-1BB3E9700B14}" name="Column12370" dataDxfId="4015"/>
    <tableColumn id="12395" xr3:uid="{D6C52741-B098-4558-98F5-CF1058544990}" name="Column12371" dataDxfId="4014"/>
    <tableColumn id="12396" xr3:uid="{C9BA814E-3B12-4E7D-AAAF-851D4C7C16DD}" name="Column12372" dataDxfId="4013"/>
    <tableColumn id="12397" xr3:uid="{F6856341-F99A-4E6A-A362-BEAEB39F2516}" name="Column12373" dataDxfId="4012"/>
    <tableColumn id="12398" xr3:uid="{16E2B564-2370-4110-97C5-B613CC040B07}" name="Column12374" dataDxfId="4011"/>
    <tableColumn id="12399" xr3:uid="{B70CFAC1-20FB-4A29-81A7-8189AE136405}" name="Column12375" dataDxfId="4010"/>
    <tableColumn id="12400" xr3:uid="{07072763-0314-4724-8D22-EBCF0CA296BF}" name="Column12376" dataDxfId="4009"/>
    <tableColumn id="12401" xr3:uid="{9EDF627E-248E-4179-8764-B4672D2F06F0}" name="Column12377" dataDxfId="4008"/>
    <tableColumn id="12402" xr3:uid="{E98A541B-B2AE-4D14-8DD7-3EB33B598AF2}" name="Column12378" dataDxfId="4007"/>
    <tableColumn id="12403" xr3:uid="{DCC6B401-CE56-4AEF-85CA-0EDC3F8B1247}" name="Column12379" dataDxfId="4006"/>
    <tableColumn id="12404" xr3:uid="{4E1EA603-44B8-4690-9900-1BD64A7EE6F5}" name="Column12380" dataDxfId="4005"/>
    <tableColumn id="12405" xr3:uid="{EB7C4C3C-FE50-4051-8BFD-E2B5884C0191}" name="Column12381" dataDxfId="4004"/>
    <tableColumn id="12406" xr3:uid="{EC8544BA-7AF5-4950-8C4E-CF8DF9E4311C}" name="Column12382" dataDxfId="4003"/>
    <tableColumn id="12407" xr3:uid="{3554BE10-2F7A-4D32-A8C9-A7C540A52F73}" name="Column12383" dataDxfId="4002"/>
    <tableColumn id="12408" xr3:uid="{66C1D754-9811-45D6-AA7B-C9423C05095B}" name="Column12384" dataDxfId="4001"/>
    <tableColumn id="12409" xr3:uid="{C634AF4C-45B5-4AAE-9B51-40498F143A7B}" name="Column12385" dataDxfId="4000"/>
    <tableColumn id="12410" xr3:uid="{23DC1A7B-1FDE-46C6-8BB6-AD410EE7BB41}" name="Column12386" dataDxfId="3999"/>
    <tableColumn id="12411" xr3:uid="{732B11F1-BE1E-4931-863C-124131D274D1}" name="Column12387" dataDxfId="3998"/>
    <tableColumn id="12412" xr3:uid="{DC36CD0D-D163-4DAA-8F76-C94F28DA5A6A}" name="Column12388" dataDxfId="3997"/>
    <tableColumn id="12413" xr3:uid="{7E577B2A-966D-46E7-B701-DB46A2302AE3}" name="Column12389" dataDxfId="3996"/>
    <tableColumn id="12414" xr3:uid="{B1A1677F-44B7-482B-A902-942F9C00C206}" name="Column12390" dataDxfId="3995"/>
    <tableColumn id="12415" xr3:uid="{12A6531D-291B-47FD-9733-43541D4723B8}" name="Column12391" dataDxfId="3994"/>
    <tableColumn id="12416" xr3:uid="{ECDF2B66-8A76-40EC-BC3A-EC2E508C33DA}" name="Column12392" dataDxfId="3993"/>
    <tableColumn id="12417" xr3:uid="{3651D814-2257-487B-9CB0-4C02E28F8EE7}" name="Column12393" dataDxfId="3992"/>
    <tableColumn id="12418" xr3:uid="{FBDB9CC3-AF5A-446E-AC6E-9FB96E0BE6C7}" name="Column12394" dataDxfId="3991"/>
    <tableColumn id="12419" xr3:uid="{487941B4-E76A-4F39-8374-98842206C29C}" name="Column12395" dataDxfId="3990"/>
    <tableColumn id="12420" xr3:uid="{FF2A67CE-4442-4C10-B100-1FA5CE4C3B88}" name="Column12396" dataDxfId="3989"/>
    <tableColumn id="12421" xr3:uid="{157C3A4F-72FD-4703-B82F-8004FE5F60BC}" name="Column12397" dataDxfId="3988"/>
    <tableColumn id="12422" xr3:uid="{D79EB727-9BE2-462D-A97E-F8767F0BD876}" name="Column12398" dataDxfId="3987"/>
    <tableColumn id="12423" xr3:uid="{918EA2DB-AC81-4B79-A35B-E11FE0BFC0CA}" name="Column12399" dataDxfId="3986"/>
    <tableColumn id="12424" xr3:uid="{0E0E868D-C94A-48CF-A7E5-928FA2939965}" name="Column12400" dataDxfId="3985"/>
    <tableColumn id="12425" xr3:uid="{7565FE17-E990-4341-A636-5C5844ADC3A8}" name="Column12401" dataDxfId="3984"/>
    <tableColumn id="12426" xr3:uid="{0FAEBB7E-3DFA-48AB-B4D3-0F45FCFDB982}" name="Column12402" dataDxfId="3983"/>
    <tableColumn id="12427" xr3:uid="{4E0F162A-2E09-43AA-A15B-94AAD74DB2CF}" name="Column12403" dataDxfId="3982"/>
    <tableColumn id="12428" xr3:uid="{AC3C448C-FCB4-4704-92FF-27B8209DE421}" name="Column12404" dataDxfId="3981"/>
    <tableColumn id="12429" xr3:uid="{43B89E5C-6E49-41B9-80DC-A310859A436B}" name="Column12405" dataDxfId="3980"/>
    <tableColumn id="12430" xr3:uid="{16D53B1D-80C0-4CF0-8AB8-7F629BD80E7E}" name="Column12406" dataDxfId="3979"/>
    <tableColumn id="12431" xr3:uid="{E247C13A-5EE1-4445-9AEB-A52D20E6FA7D}" name="Column12407" dataDxfId="3978"/>
    <tableColumn id="12432" xr3:uid="{8A468282-0B2A-4761-BCD0-CEFFC1BDD628}" name="Column12408" dataDxfId="3977"/>
    <tableColumn id="12433" xr3:uid="{84D2BC60-D7F7-48D8-8ABE-5A3D996A10D7}" name="Column12409" dataDxfId="3976"/>
    <tableColumn id="12434" xr3:uid="{7D86255C-0FED-441F-B8D8-48CE06E35683}" name="Column12410" dataDxfId="3975"/>
    <tableColumn id="12435" xr3:uid="{DC1F62C3-F0EE-447B-B0D5-C38633EE47E8}" name="Column12411" dataDxfId="3974"/>
    <tableColumn id="12436" xr3:uid="{985C5AD9-5D88-46F4-95A1-7511BC750D96}" name="Column12412" dataDxfId="3973"/>
    <tableColumn id="12437" xr3:uid="{975835B1-80B3-4CB3-90AD-38C927986C0B}" name="Column12413" dataDxfId="3972"/>
    <tableColumn id="12438" xr3:uid="{571B38F7-8B8C-4B9B-9E1F-C3F987E51150}" name="Column12414" dataDxfId="3971"/>
    <tableColumn id="12439" xr3:uid="{897CD4A8-2533-4478-88E8-D553CAAEDC6A}" name="Column12415" dataDxfId="3970"/>
    <tableColumn id="12440" xr3:uid="{F2F894E9-E028-46CE-8EA1-37F30CCD7190}" name="Column12416" dataDxfId="3969"/>
    <tableColumn id="12441" xr3:uid="{E0C5C234-E28D-4D8D-B72C-8381C002B2EB}" name="Column12417" dataDxfId="3968"/>
    <tableColumn id="12442" xr3:uid="{6D06B2D3-BA20-4EA8-8BF5-B4DA089C4F06}" name="Column12418" dataDxfId="3967"/>
    <tableColumn id="12443" xr3:uid="{0A492B0D-1CC7-4F5A-88A3-5E3010835AF4}" name="Column12419" dataDxfId="3966"/>
    <tableColumn id="12444" xr3:uid="{2EECDC8F-EF4C-4F3B-BADD-8466BC6EB7ED}" name="Column12420" dataDxfId="3965"/>
    <tableColumn id="12445" xr3:uid="{BAAD7703-3642-4200-9653-F143609012B9}" name="Column12421" dataDxfId="3964"/>
    <tableColumn id="12446" xr3:uid="{DF87797C-3B1B-4806-A5CE-04FB664BADC6}" name="Column12422" dataDxfId="3963"/>
    <tableColumn id="12447" xr3:uid="{E0FE483D-AC9E-417A-8EE1-D17DFB07B762}" name="Column12423" dataDxfId="3962"/>
    <tableColumn id="12448" xr3:uid="{E73C1B67-C1C1-40D6-9995-39522CF27531}" name="Column12424" dataDxfId="3961"/>
    <tableColumn id="12449" xr3:uid="{CB85713F-D41B-462A-AF3D-17AEF63666F1}" name="Column12425" dataDxfId="3960"/>
    <tableColumn id="12450" xr3:uid="{2FBD6BE7-4572-4625-871D-B7C9B554466D}" name="Column12426" dataDxfId="3959"/>
    <tableColumn id="12451" xr3:uid="{0E094D9C-61EB-4620-A3C0-5C25B95BC8FB}" name="Column12427" dataDxfId="3958"/>
    <tableColumn id="12452" xr3:uid="{93B988A1-B26F-4B77-BF8E-E3AD40A0CF39}" name="Column12428" dataDxfId="3957"/>
    <tableColumn id="12453" xr3:uid="{32B30AD8-D3B6-48C6-8C6A-BA4661C6DA9B}" name="Column12429" dataDxfId="3956"/>
    <tableColumn id="12454" xr3:uid="{81DF322E-A99C-46DC-9F77-029C8978DFA7}" name="Column12430" dataDxfId="3955"/>
    <tableColumn id="12455" xr3:uid="{711CB44A-3330-4AEA-A598-C6ABE3B9637E}" name="Column12431" dataDxfId="3954"/>
    <tableColumn id="12456" xr3:uid="{D14FB824-DB72-4B57-A295-C69F45632C0C}" name="Column12432" dataDxfId="3953"/>
    <tableColumn id="12457" xr3:uid="{9BA3C6EE-79E2-4367-B8A4-29CDAD89DA4D}" name="Column12433" dataDxfId="3952"/>
    <tableColumn id="12458" xr3:uid="{6147EB52-8117-480A-8915-22932F4895A8}" name="Column12434" dataDxfId="3951"/>
    <tableColumn id="12459" xr3:uid="{241BF70D-7E4E-4E54-B1DB-5E4C88D77504}" name="Column12435" dataDxfId="3950"/>
    <tableColumn id="12460" xr3:uid="{C7A13020-E584-4CB0-86E9-DD9790D0A294}" name="Column12436" dataDxfId="3949"/>
    <tableColumn id="12461" xr3:uid="{444BC791-91C0-4E97-B438-B84DAC5970CD}" name="Column12437" dataDxfId="3948"/>
    <tableColumn id="12462" xr3:uid="{76BE1029-6DC8-4FB5-853F-FE5C145B693C}" name="Column12438" dataDxfId="3947"/>
    <tableColumn id="12463" xr3:uid="{4BEB7794-D8B9-482B-BF8A-DE8BAA82675F}" name="Column12439" dataDxfId="3946"/>
    <tableColumn id="12464" xr3:uid="{BE6D90C9-9385-4A9B-BC62-E3898C2E79FC}" name="Column12440" dataDxfId="3945"/>
    <tableColumn id="12465" xr3:uid="{C146D23F-447D-4CD7-9658-7AD6819CCBB9}" name="Column12441" dataDxfId="3944"/>
    <tableColumn id="12466" xr3:uid="{5827C83B-FA07-4359-8C1A-E316B73E3A10}" name="Column12442" dataDxfId="3943"/>
    <tableColumn id="12467" xr3:uid="{E510F7F6-D3AC-4DD8-8AF7-637CC419798B}" name="Column12443" dataDxfId="3942"/>
    <tableColumn id="12468" xr3:uid="{F527B8F0-D517-4D28-892E-2832237BAE36}" name="Column12444" dataDxfId="3941"/>
    <tableColumn id="12469" xr3:uid="{6BDCD312-D01F-4D70-86AE-81195D75D902}" name="Column12445" dataDxfId="3940"/>
    <tableColumn id="12470" xr3:uid="{1C2E9C59-83AE-4004-A268-710AE0E4F8F4}" name="Column12446" dataDxfId="3939"/>
    <tableColumn id="12471" xr3:uid="{8C7EABF0-3FF1-47A4-8CAC-8FFC6EA58C66}" name="Column12447" dataDxfId="3938"/>
    <tableColumn id="12472" xr3:uid="{D455C060-7510-4084-B486-E2CD623B3F09}" name="Column12448" dataDxfId="3937"/>
    <tableColumn id="12473" xr3:uid="{122F9D10-5D7B-4E39-993C-58231ACF7DFF}" name="Column12449" dataDxfId="3936"/>
    <tableColumn id="12474" xr3:uid="{13792F80-6454-48AA-AA81-92E49B1BE96F}" name="Column12450" dataDxfId="3935"/>
    <tableColumn id="12475" xr3:uid="{0F72861F-5217-467C-BA6D-6EA151D2E00B}" name="Column12451" dataDxfId="3934"/>
    <tableColumn id="12476" xr3:uid="{DD0B55DD-E501-43A6-8FB9-050014CF66CF}" name="Column12452" dataDxfId="3933"/>
    <tableColumn id="12477" xr3:uid="{6046C745-2CAF-486B-9154-8BE020E86B46}" name="Column12453" dataDxfId="3932"/>
    <tableColumn id="12478" xr3:uid="{D28738F1-5D24-4E19-ABC5-DC721743FE8B}" name="Column12454" dataDxfId="3931"/>
    <tableColumn id="12479" xr3:uid="{0244FB3B-8221-40F3-BDCF-B84A7E82BB79}" name="Column12455" dataDxfId="3930"/>
    <tableColumn id="12480" xr3:uid="{69F0BF51-99FB-4C7F-8309-7D401F264292}" name="Column12456" dataDxfId="3929"/>
    <tableColumn id="12481" xr3:uid="{9E54D7F7-C7CA-4368-BF8F-78D622199B65}" name="Column12457" dataDxfId="3928"/>
    <tableColumn id="12482" xr3:uid="{0DE53E15-24A6-4B24-904D-C31DA39ECECE}" name="Column12458" dataDxfId="3927"/>
    <tableColumn id="12483" xr3:uid="{081F9389-0488-404E-97D7-B9404C177290}" name="Column12459" dataDxfId="3926"/>
    <tableColumn id="12484" xr3:uid="{E12912AF-5616-4FB0-A726-6AC1B09E39A3}" name="Column12460" dataDxfId="3925"/>
    <tableColumn id="12485" xr3:uid="{64DA71C5-6FDA-4F0E-B9D5-2C7115FB5233}" name="Column12461" dataDxfId="3924"/>
    <tableColumn id="12486" xr3:uid="{8D8629C3-7D8D-42F6-AF34-4C5C300D86E8}" name="Column12462" dataDxfId="3923"/>
    <tableColumn id="12487" xr3:uid="{67E69F1B-F079-46B5-93DD-A18109443CFF}" name="Column12463" dataDxfId="3922"/>
    <tableColumn id="12488" xr3:uid="{9AFFCEC7-5364-4620-A8A2-8DD917D5A1C1}" name="Column12464" dataDxfId="3921"/>
    <tableColumn id="12489" xr3:uid="{D1A315DA-5D46-4627-A2A7-31E5AC59644A}" name="Column12465" dataDxfId="3920"/>
    <tableColumn id="12490" xr3:uid="{75B1A2B2-286B-4899-9D03-7465AC50BAD1}" name="Column12466" dataDxfId="3919"/>
    <tableColumn id="12491" xr3:uid="{49BC07A5-A9A3-4751-A4CD-2ABE3D7EDDDA}" name="Column12467" dataDxfId="3918"/>
    <tableColumn id="12492" xr3:uid="{38827CCD-D3A3-4D59-BA3F-1E32498B7666}" name="Column12468" dataDxfId="3917"/>
    <tableColumn id="12493" xr3:uid="{053A433A-78B7-42D6-986D-A059AC59FC4B}" name="Column12469" dataDxfId="3916"/>
    <tableColumn id="12494" xr3:uid="{8BD300E4-A466-4893-B083-02010747E152}" name="Column12470" dataDxfId="3915"/>
    <tableColumn id="12495" xr3:uid="{E34442FB-53AB-4404-B0E2-7A44956D4E0F}" name="Column12471" dataDxfId="3914"/>
    <tableColumn id="12496" xr3:uid="{12A2D6F6-B310-4E13-A7B9-1468ACB42B75}" name="Column12472" dataDxfId="3913"/>
    <tableColumn id="12497" xr3:uid="{AF55169E-6F6A-4618-AA87-74D4ADC03E89}" name="Column12473" dataDxfId="3912"/>
    <tableColumn id="12498" xr3:uid="{492F50D1-8C90-402F-BD7A-346B41BA642E}" name="Column12474" dataDxfId="3911"/>
    <tableColumn id="12499" xr3:uid="{534E902F-07DE-49DD-B2F5-489A0B8416BA}" name="Column12475" dataDxfId="3910"/>
    <tableColumn id="12500" xr3:uid="{7D604FC1-81E5-4CC1-8EDF-7262DF7F8B3D}" name="Column12476" dataDxfId="3909"/>
    <tableColumn id="12501" xr3:uid="{2C2E39D1-424B-4A07-8613-F4D55730ABB9}" name="Column12477" dataDxfId="3908"/>
    <tableColumn id="12502" xr3:uid="{AFD52B43-8B1C-4CA3-A18D-C7ECFEB956F8}" name="Column12478" dataDxfId="3907"/>
    <tableColumn id="12503" xr3:uid="{58965416-FE96-438B-995B-B7D8FBA5CC7D}" name="Column12479" dataDxfId="3906"/>
    <tableColumn id="12504" xr3:uid="{FEEA985C-9422-44E8-90CC-2FEF48C4870A}" name="Column12480" dataDxfId="3905"/>
    <tableColumn id="12505" xr3:uid="{39D85E88-9C8D-4FFB-A6E7-77A7F89D3D06}" name="Column12481" dataDxfId="3904"/>
    <tableColumn id="12506" xr3:uid="{3534EBCD-FC56-4EDF-B83A-B8EE1740DFBB}" name="Column12482" dataDxfId="3903"/>
    <tableColumn id="12507" xr3:uid="{2DFF25CF-14D0-447D-BFD6-0677EE4BF443}" name="Column12483" dataDxfId="3902"/>
    <tableColumn id="12508" xr3:uid="{4A1B1F65-28BF-48EA-B2B6-84DE98ACEE43}" name="Column12484" dataDxfId="3901"/>
    <tableColumn id="12509" xr3:uid="{517B695B-6A43-49FE-A593-9B51404AEF55}" name="Column12485" dataDxfId="3900"/>
    <tableColumn id="12510" xr3:uid="{DC075C18-EC69-4C6B-9361-6302789470C4}" name="Column12486" dataDxfId="3899"/>
    <tableColumn id="12511" xr3:uid="{2A13B717-CE83-4805-9015-55084CB27A7C}" name="Column12487" dataDxfId="3898"/>
    <tableColumn id="12512" xr3:uid="{48DE7B4A-5CB2-4045-89C4-D11620E540B4}" name="Column12488" dataDxfId="3897"/>
    <tableColumn id="12513" xr3:uid="{B99B4E1A-F371-40D0-A9D1-F6AE2C464A94}" name="Column12489" dataDxfId="3896"/>
    <tableColumn id="12514" xr3:uid="{D95811C9-2D71-4EC9-B416-C9268A443680}" name="Column12490" dataDxfId="3895"/>
    <tableColumn id="12515" xr3:uid="{F10FDBC4-08BF-486B-BE0E-CDA9C6296EE9}" name="Column12491" dataDxfId="3894"/>
    <tableColumn id="12516" xr3:uid="{F3E7C7F9-10B5-445E-B771-4CFF0E7CD019}" name="Column12492" dataDxfId="3893"/>
    <tableColumn id="12517" xr3:uid="{AFA6FF20-F9D0-45B0-AB1A-04D3FCB5032D}" name="Column12493" dataDxfId="3892"/>
    <tableColumn id="12518" xr3:uid="{98348CD5-DA16-487B-A85E-DACBEE40DCAD}" name="Column12494" dataDxfId="3891"/>
    <tableColumn id="12519" xr3:uid="{D2FD87AB-8FAF-4AFC-AFC7-1A8CC0AFC86A}" name="Column12495" dataDxfId="3890"/>
    <tableColumn id="12520" xr3:uid="{7091FE67-3C07-4383-AF3F-BCC07B2249FD}" name="Column12496" dataDxfId="3889"/>
    <tableColumn id="12521" xr3:uid="{F37AC13D-E581-4DA8-B8B5-51A2F7DB0C50}" name="Column12497" dataDxfId="3888"/>
    <tableColumn id="12522" xr3:uid="{8C943946-D10C-4132-AED3-80E996279D66}" name="Column12498" dataDxfId="3887"/>
    <tableColumn id="12523" xr3:uid="{C45F627D-9B2B-402A-8EFD-EAC9198FAB03}" name="Column12499" dataDxfId="3886"/>
    <tableColumn id="12524" xr3:uid="{2ECF4E26-8368-4D50-B88A-1E6E7D1D0474}" name="Column12500" dataDxfId="3885"/>
    <tableColumn id="12525" xr3:uid="{2E01F3B4-5F1F-4ECF-B4DF-B7212C96F5FA}" name="Column12501" dataDxfId="3884"/>
    <tableColumn id="12526" xr3:uid="{90CD746F-F4F8-4908-A349-ACEE3E315F69}" name="Column12502" dataDxfId="3883"/>
    <tableColumn id="12527" xr3:uid="{3AA0F2C5-78F1-45B8-9836-61A1CFE89125}" name="Column12503" dataDxfId="3882"/>
    <tableColumn id="12528" xr3:uid="{AD1692A3-6F19-491F-AA61-760C1E5EBF70}" name="Column12504" dataDxfId="3881"/>
    <tableColumn id="12529" xr3:uid="{47AEBDD1-AF02-4F04-ADB7-38CA1C1D958B}" name="Column12505" dataDxfId="3880"/>
    <tableColumn id="12530" xr3:uid="{283B961E-E748-40F0-AFEA-621336DC11FC}" name="Column12506" dataDxfId="3879"/>
    <tableColumn id="12531" xr3:uid="{34238266-126F-4678-9A0D-0988FC9A83FD}" name="Column12507" dataDxfId="3878"/>
    <tableColumn id="12532" xr3:uid="{A3869F17-5CEA-4318-81E1-6BAA8BF57F3B}" name="Column12508" dataDxfId="3877"/>
    <tableColumn id="12533" xr3:uid="{499B7396-83DE-4302-9220-FFC0427F0658}" name="Column12509" dataDxfId="3876"/>
    <tableColumn id="12534" xr3:uid="{F437475E-F990-49C2-A3D7-CC10BDEE6A57}" name="Column12510" dataDxfId="3875"/>
    <tableColumn id="12535" xr3:uid="{F819B3E4-7DB8-482D-B637-762C40B788ED}" name="Column12511" dataDxfId="3874"/>
    <tableColumn id="12536" xr3:uid="{3F0A672C-949F-4297-A1DD-C87D044AB05E}" name="Column12512" dataDxfId="3873"/>
    <tableColumn id="12537" xr3:uid="{B18CC704-B4B5-4EEB-BEF4-61C9A666803B}" name="Column12513" dataDxfId="3872"/>
    <tableColumn id="12538" xr3:uid="{67B82E87-46FE-4443-A186-3CD98AAE6554}" name="Column12514" dataDxfId="3871"/>
    <tableColumn id="12539" xr3:uid="{5E311BED-1B84-4C8D-826F-65DF869064EE}" name="Column12515" dataDxfId="3870"/>
    <tableColumn id="12540" xr3:uid="{ED3C3A26-E3EF-4560-A3FF-69535D1B55E1}" name="Column12516" dataDxfId="3869"/>
    <tableColumn id="12541" xr3:uid="{7797862D-D5D8-4C25-B514-1969C6689F81}" name="Column12517" dataDxfId="3868"/>
    <tableColumn id="12542" xr3:uid="{EC422AC7-98BC-4CEF-9A0D-E183E9FD4B77}" name="Column12518" dataDxfId="3867"/>
    <tableColumn id="12543" xr3:uid="{435C85AE-A0CA-44FC-8663-A822A36C675E}" name="Column12519" dataDxfId="3866"/>
    <tableColumn id="12544" xr3:uid="{F81E0DE7-A24F-4D8C-82F3-9D602637FE48}" name="Column12520" dataDxfId="3865"/>
    <tableColumn id="12545" xr3:uid="{F1F05E4B-1987-42DD-994A-1C1B884855BD}" name="Column12521" dataDxfId="3864"/>
    <tableColumn id="12546" xr3:uid="{DECAB5EC-CB47-46A5-BAFE-D821AE3CC4EA}" name="Column12522" dataDxfId="3863"/>
    <tableColumn id="12547" xr3:uid="{FF33F091-5A3C-4583-9DDF-1466BD00BE72}" name="Column12523" dataDxfId="3862"/>
    <tableColumn id="12548" xr3:uid="{FB89D7A8-45EB-4869-8C35-2971EA5E96D8}" name="Column12524" dataDxfId="3861"/>
    <tableColumn id="12549" xr3:uid="{17E9B09D-9D2E-41AC-A88B-0691D54EBF8E}" name="Column12525" dataDxfId="3860"/>
    <tableColumn id="12550" xr3:uid="{1DAAEFAF-BFE0-4F80-A5AF-1F68A7656DB9}" name="Column12526" dataDxfId="3859"/>
    <tableColumn id="12551" xr3:uid="{E7B7DE85-0D52-427A-BA18-66C1BF75D079}" name="Column12527" dataDxfId="3858"/>
    <tableColumn id="12552" xr3:uid="{8306A643-3C76-4C5A-8D63-B8B6FDDE3537}" name="Column12528" dataDxfId="3857"/>
    <tableColumn id="12553" xr3:uid="{AB878CE2-0BAB-41CA-922A-B100A2A47D30}" name="Column12529" dataDxfId="3856"/>
    <tableColumn id="12554" xr3:uid="{66A6DB36-7485-4EA9-B945-5FDF76132375}" name="Column12530" dataDxfId="3855"/>
    <tableColumn id="12555" xr3:uid="{12FFACD6-98D7-4264-8CD6-4CBB1D63CA51}" name="Column12531" dataDxfId="3854"/>
    <tableColumn id="12556" xr3:uid="{E2E11A8B-0632-4B6A-B0A5-8BE0DF3DDECB}" name="Column12532" dataDxfId="3853"/>
    <tableColumn id="12557" xr3:uid="{C072DCD0-05CF-4FD4-929E-88EF80437E59}" name="Column12533" dataDxfId="3852"/>
    <tableColumn id="12558" xr3:uid="{3039D202-5FA1-411B-8029-0E1C8E2E5A48}" name="Column12534" dataDxfId="3851"/>
    <tableColumn id="12559" xr3:uid="{C9FBF7AA-F21E-4E05-A66A-1E8506956DAD}" name="Column12535" dataDxfId="3850"/>
    <tableColumn id="12560" xr3:uid="{7C11B449-C76E-4839-8E4A-5667BA165618}" name="Column12536" dataDxfId="3849"/>
    <tableColumn id="12561" xr3:uid="{57E390EF-7EDF-4731-922F-D5A6A74528B8}" name="Column12537" dataDxfId="3848"/>
    <tableColumn id="12562" xr3:uid="{04D73678-4D04-4710-B43E-CE89C7DE6579}" name="Column12538" dataDxfId="3847"/>
    <tableColumn id="12563" xr3:uid="{9542105D-E2DD-4BC6-B0DD-83780FE38608}" name="Column12539" dataDxfId="3846"/>
    <tableColumn id="12564" xr3:uid="{28F68EEC-9B20-4C56-B6AA-EC46EC53BF33}" name="Column12540" dataDxfId="3845"/>
    <tableColumn id="12565" xr3:uid="{37E6D333-F8D7-4E1D-BC94-2D96F3410BC2}" name="Column12541" dataDxfId="3844"/>
    <tableColumn id="12566" xr3:uid="{9CDC55F6-87ED-4A43-88EC-8583A4C6EB26}" name="Column12542" dataDxfId="3843"/>
    <tableColumn id="12567" xr3:uid="{81AAD748-88AE-4008-9AAD-0B77B59AD372}" name="Column12543" dataDxfId="3842"/>
    <tableColumn id="12568" xr3:uid="{FD7FD589-F0C7-44E5-9A97-F782A45EE042}" name="Column12544" dataDxfId="3841"/>
    <tableColumn id="12569" xr3:uid="{465F3489-CAEB-4111-8EB6-3938E082D789}" name="Column12545" dataDxfId="3840"/>
    <tableColumn id="12570" xr3:uid="{665F8C4A-285C-471C-8E70-B5D17A6A796B}" name="Column12546" dataDxfId="3839"/>
    <tableColumn id="12571" xr3:uid="{D5953CBB-E567-461E-9541-21994FC9D144}" name="Column12547" dataDxfId="3838"/>
    <tableColumn id="12572" xr3:uid="{77B229AF-8079-471A-8922-FD3BDFE9E995}" name="Column12548" dataDxfId="3837"/>
    <tableColumn id="12573" xr3:uid="{B5C84C17-E1F5-4D85-BF56-6FE7347878B7}" name="Column12549" dataDxfId="3836"/>
    <tableColumn id="12574" xr3:uid="{3CBC3B40-A29A-4AD2-B54A-DC771C4447CA}" name="Column12550" dataDxfId="3835"/>
    <tableColumn id="12575" xr3:uid="{1EDEA21A-721B-4234-8F30-F352672DA417}" name="Column12551" dataDxfId="3834"/>
    <tableColumn id="12576" xr3:uid="{317CF723-65C3-4BD1-9454-D7BAE9C04194}" name="Column12552" dataDxfId="3833"/>
    <tableColumn id="12577" xr3:uid="{55FE11CD-F490-4724-A5E9-9EBFBA7127D7}" name="Column12553" dataDxfId="3832"/>
    <tableColumn id="12578" xr3:uid="{5A213D00-1120-4FCA-84B0-7D9064F97C63}" name="Column12554" dataDxfId="3831"/>
    <tableColumn id="12579" xr3:uid="{0EAAE0D5-C87E-4774-B0AC-95234402FDF4}" name="Column12555" dataDxfId="3830"/>
    <tableColumn id="12580" xr3:uid="{186A3A4A-2690-47A6-A17C-CD6DDDB5F41B}" name="Column12556" dataDxfId="3829"/>
    <tableColumn id="12581" xr3:uid="{058070EB-55CE-4AF7-B553-0B43A7A13DAC}" name="Column12557" dataDxfId="3828"/>
    <tableColumn id="12582" xr3:uid="{912F1839-71E4-45DE-8491-E510D7E6E523}" name="Column12558" dataDxfId="3827"/>
    <tableColumn id="12583" xr3:uid="{D5170240-2F23-4948-A7F8-CE56ABB76368}" name="Column12559" dataDxfId="3826"/>
    <tableColumn id="12584" xr3:uid="{5F6EA4BE-C80C-4FB0-B35E-6FEF7F6B16D3}" name="Column12560" dataDxfId="3825"/>
    <tableColumn id="12585" xr3:uid="{6F10FDDA-8F76-42B8-AFC8-99689CF804CB}" name="Column12561" dataDxfId="3824"/>
    <tableColumn id="12586" xr3:uid="{647B7906-F92C-49FF-BD81-B3BBF1465558}" name="Column12562" dataDxfId="3823"/>
    <tableColumn id="12587" xr3:uid="{501730F0-A8A4-4B9C-9517-4D4413C0B464}" name="Column12563" dataDxfId="3822"/>
    <tableColumn id="12588" xr3:uid="{90BAB48E-D40A-4991-82CA-8323BDE89CDD}" name="Column12564" dataDxfId="3821"/>
    <tableColumn id="12589" xr3:uid="{64ECD1D1-28B9-4A8A-A5CC-5D6EA9D5D68F}" name="Column12565" dataDxfId="3820"/>
    <tableColumn id="12590" xr3:uid="{1A7FAB40-2AD1-49D3-AD68-A50A5A0EA61F}" name="Column12566" dataDxfId="3819"/>
    <tableColumn id="12591" xr3:uid="{63FB411E-37D2-4CA7-9898-C129D879DF1A}" name="Column12567" dataDxfId="3818"/>
    <tableColumn id="12592" xr3:uid="{69FEFF67-C9C0-4526-8D3B-23B4CB9706D4}" name="Column12568" dataDxfId="3817"/>
    <tableColumn id="12593" xr3:uid="{B4315F3E-4B11-451D-8343-5474152F7ED4}" name="Column12569" dataDxfId="3816"/>
    <tableColumn id="12594" xr3:uid="{1ABB7388-34CF-4625-B767-4DBCAA251CE9}" name="Column12570" dataDxfId="3815"/>
    <tableColumn id="12595" xr3:uid="{CDB52817-48F6-4C87-9148-9AC5D78D85C6}" name="Column12571" dataDxfId="3814"/>
    <tableColumn id="12596" xr3:uid="{D7FAE630-9634-4DC9-9A3A-78C9A4520D04}" name="Column12572" dataDxfId="3813"/>
    <tableColumn id="12597" xr3:uid="{0B5354F5-06B2-4674-BF2D-BBE1C6290316}" name="Column12573" dataDxfId="3812"/>
    <tableColumn id="12598" xr3:uid="{5FE7DC97-9642-4B7D-B832-0475AC96CA7F}" name="Column12574" dataDxfId="3811"/>
    <tableColumn id="12599" xr3:uid="{149FFD40-8001-479B-BBF1-D929FE027EFB}" name="Column12575" dataDxfId="3810"/>
    <tableColumn id="12600" xr3:uid="{46E3AD30-CF56-4D32-8874-28A42382A097}" name="Column12576" dataDxfId="3809"/>
    <tableColumn id="12601" xr3:uid="{0B1AB461-2DF1-4D50-B0FB-6600C30EC499}" name="Column12577" dataDxfId="3808"/>
    <tableColumn id="12602" xr3:uid="{3C7E6E13-2E54-4961-A7B8-F9EE26A24690}" name="Column12578" dataDxfId="3807"/>
    <tableColumn id="12603" xr3:uid="{54E689AD-9D88-4983-8AF0-972CB8C3DF76}" name="Column12579" dataDxfId="3806"/>
    <tableColumn id="12604" xr3:uid="{B988B2C7-27C4-40CA-B1CF-5BA032C3A107}" name="Column12580" dataDxfId="3805"/>
    <tableColumn id="12605" xr3:uid="{1EB89FF7-D6A9-46BB-B53E-2B113278C123}" name="Column12581" dataDxfId="3804"/>
    <tableColumn id="12606" xr3:uid="{B4702EC3-3EBB-4CE4-896B-B7C90A81E287}" name="Column12582" dataDxfId="3803"/>
    <tableColumn id="12607" xr3:uid="{3964BAC1-4C88-4831-88A0-F71E61DA63A0}" name="Column12583" dataDxfId="3802"/>
    <tableColumn id="12608" xr3:uid="{C30924CC-22BC-45EF-94AB-C3B20ED655D8}" name="Column12584" dataDxfId="3801"/>
    <tableColumn id="12609" xr3:uid="{431D2C5F-3CDA-43FC-B897-04CBEF958511}" name="Column12585" dataDxfId="3800"/>
    <tableColumn id="12610" xr3:uid="{F261276C-F3C3-4A64-BD1B-FFAD3CCABD85}" name="Column12586" dataDxfId="3799"/>
    <tableColumn id="12611" xr3:uid="{96FB7EB3-3909-4C12-80E6-8B02826BFC46}" name="Column12587" dataDxfId="3798"/>
    <tableColumn id="12612" xr3:uid="{61A34A57-AAB0-46F0-80E7-146EF2388273}" name="Column12588" dataDxfId="3797"/>
    <tableColumn id="12613" xr3:uid="{14CE324C-855E-4F27-9FB7-479D908524F2}" name="Column12589" dataDxfId="3796"/>
    <tableColumn id="12614" xr3:uid="{32104AF5-3E1F-46ED-8837-B2CB1D147BC0}" name="Column12590" dataDxfId="3795"/>
    <tableColumn id="12615" xr3:uid="{677CED2A-CFD5-441C-8123-9A833AC9DE2A}" name="Column12591" dataDxfId="3794"/>
    <tableColumn id="12616" xr3:uid="{A13C9269-1032-4670-A221-C73D8FDFFC07}" name="Column12592" dataDxfId="3793"/>
    <tableColumn id="12617" xr3:uid="{1CE840FA-C44A-4A81-87DA-0542A8E5D6C7}" name="Column12593" dataDxfId="3792"/>
    <tableColumn id="12618" xr3:uid="{602689C7-6EFF-4731-BF63-6C2D4F7B482D}" name="Column12594" dataDxfId="3791"/>
    <tableColumn id="12619" xr3:uid="{52A4DDA5-8291-4D47-9130-B8EA3838FB75}" name="Column12595" dataDxfId="3790"/>
    <tableColumn id="12620" xr3:uid="{48E8CE95-C25D-4B63-85AD-4637AEC412D1}" name="Column12596" dataDxfId="3789"/>
    <tableColumn id="12621" xr3:uid="{32D36454-5326-4B64-875F-EC32E64D01C2}" name="Column12597" dataDxfId="3788"/>
    <tableColumn id="12622" xr3:uid="{25C2DE08-BE2B-45E8-A9B7-84B51229452F}" name="Column12598" dataDxfId="3787"/>
    <tableColumn id="12623" xr3:uid="{D41EA5DD-824A-434D-9CB4-41488EE5D68F}" name="Column12599" dataDxfId="3786"/>
    <tableColumn id="12624" xr3:uid="{1B7927F0-6050-4182-ACBD-D2C55B36D835}" name="Column12600" dataDxfId="3785"/>
    <tableColumn id="12625" xr3:uid="{9B71A496-0060-4CE8-8BC9-5B120DC129A8}" name="Column12601" dataDxfId="3784"/>
    <tableColumn id="12626" xr3:uid="{8B091D7A-3CC3-46B7-A51A-69239A9B5DD5}" name="Column12602" dataDxfId="3783"/>
    <tableColumn id="12627" xr3:uid="{DD1E4DC3-0AE8-4113-BB1D-E9D219B9BA1F}" name="Column12603" dataDxfId="3782"/>
    <tableColumn id="12628" xr3:uid="{A06A77EE-536F-40B9-B1FB-49129A04BE30}" name="Column12604" dataDxfId="3781"/>
    <tableColumn id="12629" xr3:uid="{2C345118-6176-4C5C-9EB6-34158095617F}" name="Column12605" dataDxfId="3780"/>
    <tableColumn id="12630" xr3:uid="{9D212C65-2F47-4C43-8234-4CCDB3A35999}" name="Column12606" dataDxfId="3779"/>
    <tableColumn id="12631" xr3:uid="{23C9FFA5-F728-4A10-89E4-4A52747705B6}" name="Column12607" dataDxfId="3778"/>
    <tableColumn id="12632" xr3:uid="{0BFEB200-2001-4723-B350-607500BAF9CF}" name="Column12608" dataDxfId="3777"/>
    <tableColumn id="12633" xr3:uid="{0FA7A5C2-3D71-4744-BAE8-2AE72278A1AF}" name="Column12609" dataDxfId="3776"/>
    <tableColumn id="12634" xr3:uid="{80756801-CC1A-4428-B2D4-BCDF32EAAD85}" name="Column12610" dataDxfId="3775"/>
    <tableColumn id="12635" xr3:uid="{7473F50F-D49C-4C8B-BA33-F8EAFB565452}" name="Column12611" dataDxfId="3774"/>
    <tableColumn id="12636" xr3:uid="{AA29AF18-B254-44D0-B9FA-854E32EC0A7D}" name="Column12612" dataDxfId="3773"/>
    <tableColumn id="12637" xr3:uid="{444DC48D-C0CA-4381-BB68-05013375E01E}" name="Column12613" dataDxfId="3772"/>
    <tableColumn id="12638" xr3:uid="{082645B2-9BB0-41D9-BED4-F5F862EBA1CE}" name="Column12614" dataDxfId="3771"/>
    <tableColumn id="12639" xr3:uid="{97668D68-AF8D-4AB0-9D6A-7B976B4BFB9B}" name="Column12615" dataDxfId="3770"/>
    <tableColumn id="12640" xr3:uid="{3966F71E-2D22-47E5-BE60-C2F0C5666F7C}" name="Column12616" dataDxfId="3769"/>
    <tableColumn id="12641" xr3:uid="{A69A43DB-84BC-4B83-9F2B-540A9C96D729}" name="Column12617" dataDxfId="3768"/>
    <tableColumn id="12642" xr3:uid="{F87C262E-E0D8-4612-8420-0F85FF9F288E}" name="Column12618" dataDxfId="3767"/>
    <tableColumn id="12643" xr3:uid="{FDE30102-849B-4750-AA2D-AA3CCA3E9BA6}" name="Column12619" dataDxfId="3766"/>
    <tableColumn id="12644" xr3:uid="{8F83BDEF-75DC-43CF-A283-D168FCE2FE3E}" name="Column12620" dataDxfId="3765"/>
    <tableColumn id="12645" xr3:uid="{37BFDCF1-65CC-4250-A336-495389AD71C9}" name="Column12621" dataDxfId="3764"/>
    <tableColumn id="12646" xr3:uid="{FA133910-7843-4745-97FE-938FA499803D}" name="Column12622" dataDxfId="3763"/>
    <tableColumn id="12647" xr3:uid="{62BEE1B0-FE8D-4832-BF9D-3CBD453B7F8D}" name="Column12623" dataDxfId="3762"/>
    <tableColumn id="12648" xr3:uid="{E4EF21BD-C1F1-4BD4-ACEB-3C2E8C852CD5}" name="Column12624" dataDxfId="3761"/>
    <tableColumn id="12649" xr3:uid="{1BD3AAFC-B6BD-42EF-B635-E0D756CD36FE}" name="Column12625" dataDxfId="3760"/>
    <tableColumn id="12650" xr3:uid="{808B6970-EFDF-425F-A977-CECA6DA17146}" name="Column12626" dataDxfId="3759"/>
    <tableColumn id="12651" xr3:uid="{8F0A2A35-90D9-4170-ADE0-A3BA2495F11D}" name="Column12627" dataDxfId="3758"/>
    <tableColumn id="12652" xr3:uid="{9ED600AC-D817-42AA-B222-71FBEA6FB061}" name="Column12628" dataDxfId="3757"/>
    <tableColumn id="12653" xr3:uid="{D5CC7EB3-6BCA-47A8-904C-0AAC5CFA0443}" name="Column12629" dataDxfId="3756"/>
    <tableColumn id="12654" xr3:uid="{6BB00C42-8138-45B5-AACE-300D047DE8EE}" name="Column12630" dataDxfId="3755"/>
    <tableColumn id="12655" xr3:uid="{2DD069C9-C68D-4AC6-8987-6D164C8B72A5}" name="Column12631" dataDxfId="3754"/>
    <tableColumn id="12656" xr3:uid="{47C2A558-6283-4D57-9481-0D7FE8F0D2E9}" name="Column12632" dataDxfId="3753"/>
    <tableColumn id="12657" xr3:uid="{6F3B07EA-0E8B-4AE1-A26B-F7C425C99E9D}" name="Column12633" dataDxfId="3752"/>
    <tableColumn id="12658" xr3:uid="{E16EB97C-E268-4F02-872A-546FE9DF5E74}" name="Column12634" dataDxfId="3751"/>
    <tableColumn id="12659" xr3:uid="{A80DECCD-0384-457E-9F43-481317681A3C}" name="Column12635" dataDxfId="3750"/>
    <tableColumn id="12660" xr3:uid="{4AEF4461-74C1-4E0F-90CA-6738FE93D710}" name="Column12636" dataDxfId="3749"/>
    <tableColumn id="12661" xr3:uid="{751B80BA-7A8D-465D-9737-9525F197A5F9}" name="Column12637" dataDxfId="3748"/>
    <tableColumn id="12662" xr3:uid="{AE0E4878-3A52-4954-ABD4-4D6A60A464B0}" name="Column12638" dataDxfId="3747"/>
    <tableColumn id="12663" xr3:uid="{825AD75F-74D0-402D-9BA3-1DA7C01F3DA3}" name="Column12639" dataDxfId="3746"/>
    <tableColumn id="12664" xr3:uid="{1FEE1FE8-08F0-4101-BB10-00CCABF319F0}" name="Column12640" dataDxfId="3745"/>
    <tableColumn id="12665" xr3:uid="{4FA634CC-C5D5-48AC-B3BB-E0479F644EA0}" name="Column12641" dataDxfId="3744"/>
    <tableColumn id="12666" xr3:uid="{88E6FDBD-F3DD-4066-85FF-F83E75E8FABC}" name="Column12642" dataDxfId="3743"/>
    <tableColumn id="12667" xr3:uid="{B7CFC44F-02FC-4C2C-BD06-09836E9F64EB}" name="Column12643" dataDxfId="3742"/>
    <tableColumn id="12668" xr3:uid="{EF823AC8-8D83-4508-8E29-35EF41E0A110}" name="Column12644" dataDxfId="3741"/>
    <tableColumn id="12669" xr3:uid="{FFA7A6C8-4A7D-4F4C-83ED-E1AEEDB76CCE}" name="Column12645" dataDxfId="3740"/>
    <tableColumn id="12670" xr3:uid="{78C4A619-1547-4EF9-BEEF-DFF72C8799EE}" name="Column12646" dataDxfId="3739"/>
    <tableColumn id="12671" xr3:uid="{F0A3B68A-6B10-4115-B6BE-F887F4F6DC9A}" name="Column12647" dataDxfId="3738"/>
    <tableColumn id="12672" xr3:uid="{3F80EBC2-DDC9-4C63-B422-772C64677864}" name="Column12648" dataDxfId="3737"/>
    <tableColumn id="12673" xr3:uid="{AA01098A-1803-4556-8BBC-EE92EF063190}" name="Column12649" dataDxfId="3736"/>
    <tableColumn id="12674" xr3:uid="{6BD7EF14-2228-42AF-BCAA-B20563851824}" name="Column12650" dataDxfId="3735"/>
    <tableColumn id="12675" xr3:uid="{DD476407-2115-4BA0-A478-45631CF3F722}" name="Column12651" dataDxfId="3734"/>
    <tableColumn id="12676" xr3:uid="{C6A1FB0B-6160-4865-B7F3-BEC01B4DF7DA}" name="Column12652" dataDxfId="3733"/>
    <tableColumn id="12677" xr3:uid="{F67104B1-B0D0-4FBE-B468-60E3B5753B02}" name="Column12653" dataDxfId="3732"/>
    <tableColumn id="12678" xr3:uid="{E346B96F-DBBD-4845-BD32-BE4C6C60159A}" name="Column12654" dataDxfId="3731"/>
    <tableColumn id="12679" xr3:uid="{6B3E40ED-8143-47B1-BBD8-3CE34FE3F522}" name="Column12655" dataDxfId="3730"/>
    <tableColumn id="12680" xr3:uid="{4AE82C62-4F4A-4C64-B5EF-5FF10C54B609}" name="Column12656" dataDxfId="3729"/>
    <tableColumn id="12681" xr3:uid="{10A799E0-F749-4F98-BDD4-148CBBF9E317}" name="Column12657" dataDxfId="3728"/>
    <tableColumn id="12682" xr3:uid="{C9921FF9-6CDB-492C-A610-0C7672E85056}" name="Column12658" dataDxfId="3727"/>
    <tableColumn id="12683" xr3:uid="{9EE19411-8352-42D4-8CF2-FAAF6D59741F}" name="Column12659" dataDxfId="3726"/>
    <tableColumn id="12684" xr3:uid="{20AB034D-A6FF-4052-9732-C2B15AF86B8F}" name="Column12660" dataDxfId="3725"/>
    <tableColumn id="12685" xr3:uid="{471912B0-FF6C-40D6-9636-5DCA272D928E}" name="Column12661" dataDxfId="3724"/>
    <tableColumn id="12686" xr3:uid="{F19C3746-4850-4DB8-9776-4FEB437A11E4}" name="Column12662" dataDxfId="3723"/>
    <tableColumn id="12687" xr3:uid="{4B6D5F9E-14E3-4221-A0D2-91A1E48B7C58}" name="Column12663" dataDxfId="3722"/>
    <tableColumn id="12688" xr3:uid="{F8CF880E-A5AD-47BE-89EC-7DD6CE8D5543}" name="Column12664" dataDxfId="3721"/>
    <tableColumn id="12689" xr3:uid="{28AF2148-F03E-4E41-A394-9311E5E8754C}" name="Column12665" dataDxfId="3720"/>
    <tableColumn id="12690" xr3:uid="{74A9F7BF-C53E-4937-BFC2-B43997F3E685}" name="Column12666" dataDxfId="3719"/>
    <tableColumn id="12691" xr3:uid="{A269E96A-CAEC-4221-9C9D-C1C8FBFEC992}" name="Column12667" dataDxfId="3718"/>
    <tableColumn id="12692" xr3:uid="{A97DFB0B-C1F2-4FE2-A535-9176F2ABB001}" name="Column12668" dataDxfId="3717"/>
    <tableColumn id="12693" xr3:uid="{A4B08AFA-647B-4C8D-A859-F744A6442D7F}" name="Column12669" dataDxfId="3716"/>
    <tableColumn id="12694" xr3:uid="{FF576CBE-0602-4ADF-9719-02E4ADAE941F}" name="Column12670" dataDxfId="3715"/>
    <tableColumn id="12695" xr3:uid="{62190E6C-090A-450A-B7F8-128E1EE111BE}" name="Column12671" dataDxfId="3714"/>
    <tableColumn id="12696" xr3:uid="{A8EB714C-F80F-440D-899F-FCD432C2E066}" name="Column12672" dataDxfId="3713"/>
    <tableColumn id="12697" xr3:uid="{10B1126A-2179-4187-9F8A-CB650F774CF2}" name="Column12673" dataDxfId="3712"/>
    <tableColumn id="12698" xr3:uid="{E7AF3BDA-92A6-49D0-BB48-4D65507D132B}" name="Column12674" dataDxfId="3711"/>
    <tableColumn id="12699" xr3:uid="{6407409B-C3E2-47C7-B673-F6D625D88D00}" name="Column12675" dataDxfId="3710"/>
    <tableColumn id="12700" xr3:uid="{21976348-A553-4226-8317-6418BE37BCA8}" name="Column12676" dataDxfId="3709"/>
    <tableColumn id="12701" xr3:uid="{6AE57C8C-B06F-48D4-BA14-A22944A60F1C}" name="Column12677" dataDxfId="3708"/>
    <tableColumn id="12702" xr3:uid="{21221FB1-BF27-4421-8F92-CF038C7258CB}" name="Column12678" dataDxfId="3707"/>
    <tableColumn id="12703" xr3:uid="{B67FB3B3-3E17-42EC-944D-0EB669A22D85}" name="Column12679" dataDxfId="3706"/>
    <tableColumn id="12704" xr3:uid="{FA4B3D12-3A64-4CA2-98E7-B921FA608776}" name="Column12680" dataDxfId="3705"/>
    <tableColumn id="12705" xr3:uid="{19714AE7-58D8-41AD-B47A-D36F4A3E7BDC}" name="Column12681" dataDxfId="3704"/>
    <tableColumn id="12706" xr3:uid="{A98C9543-819D-4B05-AB85-357BF834F0B1}" name="Column12682" dataDxfId="3703"/>
    <tableColumn id="12707" xr3:uid="{769CE9D9-E1A1-47CD-831D-9D06AB1DECC2}" name="Column12683" dataDxfId="3702"/>
    <tableColumn id="12708" xr3:uid="{EA4C05F5-6F41-4027-94D2-B8CFB21D0D29}" name="Column12684" dataDxfId="3701"/>
    <tableColumn id="12709" xr3:uid="{03AABF93-A1E7-4F9D-9498-4FFCAFE35095}" name="Column12685" dataDxfId="3700"/>
    <tableColumn id="12710" xr3:uid="{B0DC571F-BA42-43A3-A715-1241CE305432}" name="Column12686" dataDxfId="3699"/>
    <tableColumn id="12711" xr3:uid="{0B06CC5B-3A16-495A-A77C-1FD6C54B30FD}" name="Column12687" dataDxfId="3698"/>
    <tableColumn id="12712" xr3:uid="{F768F3C8-CF5D-4758-8506-2883A8CB455E}" name="Column12688" dataDxfId="3697"/>
    <tableColumn id="12713" xr3:uid="{C9509EAB-4586-4418-BBE8-BFC8FC28598A}" name="Column12689" dataDxfId="3696"/>
    <tableColumn id="12714" xr3:uid="{7F8447A2-F939-4E33-B622-1BF3DF30F392}" name="Column12690" dataDxfId="3695"/>
    <tableColumn id="12715" xr3:uid="{34C67374-4DAA-4BE7-BA83-163816FB6D0A}" name="Column12691" dataDxfId="3694"/>
    <tableColumn id="12716" xr3:uid="{B69B2AF4-2BD4-4E0E-898C-7F5569BAE127}" name="Column12692" dataDxfId="3693"/>
    <tableColumn id="12717" xr3:uid="{F8568F09-FA0E-45AA-B15C-751DE2E2AC15}" name="Column12693" dataDxfId="3692"/>
    <tableColumn id="12718" xr3:uid="{EFD4BF31-ACD1-4F9D-9229-A04274218B7C}" name="Column12694" dataDxfId="3691"/>
    <tableColumn id="12719" xr3:uid="{6FA0177C-EC96-404A-BFC4-9AE689BE822E}" name="Column12695" dataDxfId="3690"/>
    <tableColumn id="12720" xr3:uid="{9883436D-60C3-46AE-9433-1716B5D33968}" name="Column12696" dataDxfId="3689"/>
    <tableColumn id="12721" xr3:uid="{EF1A836F-7C1C-407D-AD16-948694CC9628}" name="Column12697" dataDxfId="3688"/>
    <tableColumn id="12722" xr3:uid="{8BD4D416-9C18-48AD-AA8B-260F21AC5668}" name="Column12698" dataDxfId="3687"/>
    <tableColumn id="12723" xr3:uid="{ECE286E2-B432-4804-A838-F08EB275BBDD}" name="Column12699" dataDxfId="3686"/>
    <tableColumn id="12724" xr3:uid="{651A97A6-6E05-4231-BADD-396CBF94BF41}" name="Column12700" dataDxfId="3685"/>
    <tableColumn id="12725" xr3:uid="{F556FBCF-EFD2-425E-81AD-4ED175FCFF6E}" name="Column12701" dataDxfId="3684"/>
    <tableColumn id="12726" xr3:uid="{BB63C31D-643E-422D-82F9-ABEB3025C125}" name="Column12702" dataDxfId="3683"/>
    <tableColumn id="12727" xr3:uid="{F1BD5F69-E528-4A0D-9AC9-059041936BCE}" name="Column12703" dataDxfId="3682"/>
    <tableColumn id="12728" xr3:uid="{3F0CC3DE-E08C-4A3E-93E9-976B560A54CB}" name="Column12704" dataDxfId="3681"/>
    <tableColumn id="12729" xr3:uid="{9B2A8BD8-0EBE-4B53-AF2D-24F32C99E345}" name="Column12705" dataDxfId="3680"/>
    <tableColumn id="12730" xr3:uid="{497F5DD6-7FC7-49EB-86A1-C43E5E17D739}" name="Column12706" dataDxfId="3679"/>
    <tableColumn id="12731" xr3:uid="{62AC02A7-CFE0-4FA5-987B-F2AB2212A839}" name="Column12707" dataDxfId="3678"/>
    <tableColumn id="12732" xr3:uid="{34008154-5316-4E8F-9055-C54DD2E8AA93}" name="Column12708" dataDxfId="3677"/>
    <tableColumn id="12733" xr3:uid="{AA50B0CF-14C7-4386-AC83-B4B6601275BD}" name="Column12709" dataDxfId="3676"/>
    <tableColumn id="12734" xr3:uid="{EBF8484A-E970-4E23-891C-2AD617828B6A}" name="Column12710" dataDxfId="3675"/>
    <tableColumn id="12735" xr3:uid="{7B8BE353-DF5B-424E-B844-A89029997D72}" name="Column12711" dataDxfId="3674"/>
    <tableColumn id="12736" xr3:uid="{EBA44127-F1FB-47E4-B81F-B863E34242ED}" name="Column12712" dataDxfId="3673"/>
    <tableColumn id="12737" xr3:uid="{9425CF35-0888-4D43-AA0C-EB43AC61C7E5}" name="Column12713" dataDxfId="3672"/>
    <tableColumn id="12738" xr3:uid="{D131F97F-311D-46CC-9566-89FA205749EC}" name="Column12714" dataDxfId="3671"/>
    <tableColumn id="12739" xr3:uid="{94A74C67-ED89-4D13-BFD7-E8DFBC95E924}" name="Column12715" dataDxfId="3670"/>
    <tableColumn id="12740" xr3:uid="{6CD8D329-1A29-45E6-9CAC-59FDD90E50BD}" name="Column12716" dataDxfId="3669"/>
    <tableColumn id="12741" xr3:uid="{651A7379-7A35-461C-A113-A6414974C25B}" name="Column12717" dataDxfId="3668"/>
    <tableColumn id="12742" xr3:uid="{64BCAD23-DAB4-4682-8E04-E4A4324164D3}" name="Column12718" dataDxfId="3667"/>
    <tableColumn id="12743" xr3:uid="{8EB725B2-5DE8-4A7C-A943-A6FEBA232490}" name="Column12719" dataDxfId="3666"/>
    <tableColumn id="12744" xr3:uid="{89C4EBD5-91D3-4EBF-B2F5-2D1C841BF0CC}" name="Column12720" dataDxfId="3665"/>
    <tableColumn id="12745" xr3:uid="{505D2D0A-8199-4F79-A739-BA5982A98B39}" name="Column12721" dataDxfId="3664"/>
    <tableColumn id="12746" xr3:uid="{9692FC54-8AA8-49ED-8211-046C07DB4884}" name="Column12722" dataDxfId="3663"/>
    <tableColumn id="12747" xr3:uid="{780CD79A-2C6E-44CF-95C4-8BCA6CE85CBA}" name="Column12723" dataDxfId="3662"/>
    <tableColumn id="12748" xr3:uid="{CD46FBB5-615F-42F0-A487-BFC308A8AF7E}" name="Column12724" dataDxfId="3661"/>
    <tableColumn id="12749" xr3:uid="{D81E058A-9A74-416D-A37A-FD521E3D2868}" name="Column12725" dataDxfId="3660"/>
    <tableColumn id="12750" xr3:uid="{9F5B37A0-38F7-4F2E-9F12-6C6391D6EE27}" name="Column12726" dataDxfId="3659"/>
    <tableColumn id="12751" xr3:uid="{1B315EB5-3465-45A9-A034-7BDA70BB40EB}" name="Column12727" dataDxfId="3658"/>
    <tableColumn id="12752" xr3:uid="{F4290FC4-4647-4997-AEEF-174B40E93A70}" name="Column12728" dataDxfId="3657"/>
    <tableColumn id="12753" xr3:uid="{4577826C-C239-473B-AD69-9A2DAFAA4BB3}" name="Column12729" dataDxfId="3656"/>
    <tableColumn id="12754" xr3:uid="{3FB4B205-ACCE-47E5-AD06-E89D2FE4F6DD}" name="Column12730" dataDxfId="3655"/>
    <tableColumn id="12755" xr3:uid="{304B3409-1353-40B6-A6F0-973A6CE40DFC}" name="Column12731" dataDxfId="3654"/>
    <tableColumn id="12756" xr3:uid="{4B7BA74C-CDA2-4D8C-A336-D5E361A8686D}" name="Column12732" dataDxfId="3653"/>
    <tableColumn id="12757" xr3:uid="{4D5B06F8-5108-4354-A03F-2BE4772B48A5}" name="Column12733" dataDxfId="3652"/>
    <tableColumn id="12758" xr3:uid="{E1B48EB9-85C8-46A4-B5B8-A8590FD964C9}" name="Column12734" dataDxfId="3651"/>
    <tableColumn id="12759" xr3:uid="{D2B76F23-2B2F-40AC-8D2A-21E1F311588B}" name="Column12735" dataDxfId="3650"/>
    <tableColumn id="12760" xr3:uid="{999C7BA9-C9AD-4C08-BDA9-937859FEFD26}" name="Column12736" dataDxfId="3649"/>
    <tableColumn id="12761" xr3:uid="{53093BE8-5F68-41A3-9C22-582D6840E4EB}" name="Column12737" dataDxfId="3648"/>
    <tableColumn id="12762" xr3:uid="{BC1EF6A7-7595-4E0D-B9DF-C9A92EC3BF2D}" name="Column12738" dataDxfId="3647"/>
    <tableColumn id="12763" xr3:uid="{B1CC12C2-185A-42BC-BC48-DD17CF683C4D}" name="Column12739" dataDxfId="3646"/>
    <tableColumn id="12764" xr3:uid="{105D0B70-402A-451C-AE79-D1A0A64D6514}" name="Column12740" dataDxfId="3645"/>
    <tableColumn id="12765" xr3:uid="{541797B4-4442-4E38-AA83-5BA16D0C3A43}" name="Column12741" dataDxfId="3644"/>
    <tableColumn id="12766" xr3:uid="{59D74ABC-5100-4DA3-981F-89BEC58F650B}" name="Column12742" dataDxfId="3643"/>
    <tableColumn id="12767" xr3:uid="{9205028B-4E57-4BC5-AE68-9272D5639509}" name="Column12743" dataDxfId="3642"/>
    <tableColumn id="12768" xr3:uid="{D4052D5B-D46F-4629-9176-E7461F5C6666}" name="Column12744" dataDxfId="3641"/>
    <tableColumn id="12769" xr3:uid="{2F23A1B1-3C16-4129-B433-9A08B9323051}" name="Column12745" dataDxfId="3640"/>
    <tableColumn id="12770" xr3:uid="{0BD6A8FB-3474-4700-A8CF-FC84276CE849}" name="Column12746" dataDxfId="3639"/>
    <tableColumn id="12771" xr3:uid="{BD86EEC8-7ABD-46FB-9817-4677FFA238DB}" name="Column12747" dataDxfId="3638"/>
    <tableColumn id="12772" xr3:uid="{0560A248-0BEC-4587-B545-C977A5D7EC58}" name="Column12748" dataDxfId="3637"/>
    <tableColumn id="12773" xr3:uid="{4E0B7C26-FC8F-4433-A0C9-DF1BEFDDBF81}" name="Column12749" dataDxfId="3636"/>
    <tableColumn id="12774" xr3:uid="{1FE9E6CD-0025-4B1D-84BA-7E237B1B920B}" name="Column12750" dataDxfId="3635"/>
    <tableColumn id="12775" xr3:uid="{2CD20530-83C5-4725-BEFD-E2C03994CE7C}" name="Column12751" dataDxfId="3634"/>
    <tableColumn id="12776" xr3:uid="{A510C100-2C0E-42A8-AB3D-920CA322B282}" name="Column12752" dataDxfId="3633"/>
    <tableColumn id="12777" xr3:uid="{E4D7DFC5-2B49-420A-B86C-69AED7C37B8A}" name="Column12753" dataDxfId="3632"/>
    <tableColumn id="12778" xr3:uid="{0BEB9539-8A5D-4A16-8EA4-3C338A87ED15}" name="Column12754" dataDxfId="3631"/>
    <tableColumn id="12779" xr3:uid="{1E7137A9-155B-42E6-9654-F766AAB6293D}" name="Column12755" dataDxfId="3630"/>
    <tableColumn id="12780" xr3:uid="{EFF0B72D-00AA-4A76-820D-635470B2D95D}" name="Column12756" dataDxfId="3629"/>
    <tableColumn id="12781" xr3:uid="{5B29E562-C9D4-4985-AC4D-EB0BF002F025}" name="Column12757" dataDxfId="3628"/>
    <tableColumn id="12782" xr3:uid="{B56C933E-D034-4A11-A2BA-AE14B454DFC0}" name="Column12758" dataDxfId="3627"/>
    <tableColumn id="12783" xr3:uid="{DE24C452-E8C6-4E10-ADAF-172FBB43EF1E}" name="Column12759" dataDxfId="3626"/>
    <tableColumn id="12784" xr3:uid="{1A51DC82-74DD-4E87-B598-E4ED7ABB33C3}" name="Column12760" dataDxfId="3625"/>
    <tableColumn id="12785" xr3:uid="{079F1DB7-64C0-4385-BC3D-99241E0BC8DF}" name="Column12761" dataDxfId="3624"/>
    <tableColumn id="12786" xr3:uid="{2C3DBFBD-A3F2-4C36-94B8-6DACAB0C3860}" name="Column12762" dataDxfId="3623"/>
    <tableColumn id="12787" xr3:uid="{F1F1A30F-2A9B-4F92-BA23-62EA9935D78A}" name="Column12763" dataDxfId="3622"/>
    <tableColumn id="12788" xr3:uid="{E9658A9B-DC88-4C02-8364-83E090590030}" name="Column12764" dataDxfId="3621"/>
    <tableColumn id="12789" xr3:uid="{BB705E6E-DFF8-46CF-A3B3-EA3D18DB1FE6}" name="Column12765" dataDxfId="3620"/>
    <tableColumn id="12790" xr3:uid="{203DDA29-087B-4DA0-A1C7-F7090B8318B5}" name="Column12766" dataDxfId="3619"/>
    <tableColumn id="12791" xr3:uid="{412AFBE6-02B6-446D-BB89-F72CA91316DA}" name="Column12767" dataDxfId="3618"/>
    <tableColumn id="12792" xr3:uid="{9ACD720B-FA58-4FEA-A666-C07DB270296B}" name="Column12768" dataDxfId="3617"/>
    <tableColumn id="12793" xr3:uid="{423AEB38-1A52-4C75-9B49-45AEE120397B}" name="Column12769" dataDxfId="3616"/>
    <tableColumn id="12794" xr3:uid="{ED0FA1BE-AFE4-4B8B-A749-0CB7CE6C2B4B}" name="Column12770" dataDxfId="3615"/>
    <tableColumn id="12795" xr3:uid="{A7A45F31-134A-4757-B767-7E3160711434}" name="Column12771" dataDxfId="3614"/>
    <tableColumn id="12796" xr3:uid="{85EE979B-FF62-4A13-BC7C-29559197DB9F}" name="Column12772" dataDxfId="3613"/>
    <tableColumn id="12797" xr3:uid="{87C11500-756F-4FC2-887B-36634E8CBBF3}" name="Column12773" dataDxfId="3612"/>
    <tableColumn id="12798" xr3:uid="{F9F0AE13-6773-48F8-8D87-98CE36BC0F58}" name="Column12774" dataDxfId="3611"/>
    <tableColumn id="12799" xr3:uid="{7576BC2A-03CE-4194-B6ED-2232B82A06F1}" name="Column12775" dataDxfId="3610"/>
    <tableColumn id="12800" xr3:uid="{6553CF7B-D819-45F6-A590-7B3E1AECA301}" name="Column12776" dataDxfId="3609"/>
    <tableColumn id="12801" xr3:uid="{3EDBCD3F-A2D7-4924-880F-5CAF2E91E8E7}" name="Column12777" dataDxfId="3608"/>
    <tableColumn id="12802" xr3:uid="{33818ED7-0433-44DF-B639-0C370AA4E888}" name="Column12778" dataDxfId="3607"/>
    <tableColumn id="12803" xr3:uid="{665FB9B1-14D4-4AD9-9C1F-E74D0AE8C805}" name="Column12779" dataDxfId="3606"/>
    <tableColumn id="12804" xr3:uid="{65CBBB97-52B7-46E9-8A26-4BB576AC71A4}" name="Column12780" dataDxfId="3605"/>
    <tableColumn id="12805" xr3:uid="{750C77FC-2B4B-49EE-B1C7-EDFCC4B71A89}" name="Column12781" dataDxfId="3604"/>
    <tableColumn id="12806" xr3:uid="{D536EADD-7ADA-41F4-AF0F-583A3651BD00}" name="Column12782" dataDxfId="3603"/>
    <tableColumn id="12807" xr3:uid="{F82985F6-7477-4110-9167-B96E4D552418}" name="Column12783" dataDxfId="3602"/>
    <tableColumn id="12808" xr3:uid="{51B316FA-FA46-4D0C-895B-32CBEC7BEEF3}" name="Column12784" dataDxfId="3601"/>
    <tableColumn id="12809" xr3:uid="{F59EB621-50F9-4203-BA79-DF2DE3AEE7C7}" name="Column12785" dataDxfId="3600"/>
    <tableColumn id="12810" xr3:uid="{A232050E-6B43-41C7-8883-093B2A433A42}" name="Column12786" dataDxfId="3599"/>
    <tableColumn id="12811" xr3:uid="{3F2114BD-379A-4027-928E-D6E5F150FBA5}" name="Column12787" dataDxfId="3598"/>
    <tableColumn id="12812" xr3:uid="{B04F8D29-C2F4-4457-8130-2DAF0FAA804E}" name="Column12788" dataDxfId="3597"/>
    <tableColumn id="12813" xr3:uid="{AA01B425-D51C-4150-BDDF-907D31545D3C}" name="Column12789" dataDxfId="3596"/>
    <tableColumn id="12814" xr3:uid="{6CBC8C3E-F591-4917-9BA1-8B4445FAB833}" name="Column12790" dataDxfId="3595"/>
    <tableColumn id="12815" xr3:uid="{08F35E4B-A084-4D01-BFBF-2C2E2E85829D}" name="Column12791" dataDxfId="3594"/>
    <tableColumn id="12816" xr3:uid="{53447131-4BCA-4EE4-8C43-03917A8BD6E5}" name="Column12792" dataDxfId="3593"/>
    <tableColumn id="12817" xr3:uid="{F7BFD3F7-7356-47FD-BA8F-572FA2C2608C}" name="Column12793" dataDxfId="3592"/>
    <tableColumn id="12818" xr3:uid="{53A3453D-2E15-4552-AD91-B754BA704CFC}" name="Column12794" dataDxfId="3591"/>
    <tableColumn id="12819" xr3:uid="{7920A562-DA71-427A-925B-D6373B869E7E}" name="Column12795" dataDxfId="3590"/>
    <tableColumn id="12820" xr3:uid="{D253976B-258E-4D7C-A983-25E6A6D36ECD}" name="Column12796" dataDxfId="3589"/>
    <tableColumn id="12821" xr3:uid="{88D7D32C-7F10-408A-B09E-9EBC8125C023}" name="Column12797" dataDxfId="3588"/>
    <tableColumn id="12822" xr3:uid="{EF5C4499-4A76-4A1D-BFF2-E282A7EE3AB3}" name="Column12798" dataDxfId="3587"/>
    <tableColumn id="12823" xr3:uid="{6F1BEAFA-31F4-4079-AECB-0EADF8D35D5F}" name="Column12799" dataDxfId="3586"/>
    <tableColumn id="12824" xr3:uid="{2D76DA9C-2E4B-4BEE-AD22-BE9E207D06E3}" name="Column12800" dataDxfId="3585"/>
    <tableColumn id="12825" xr3:uid="{73AECFB2-3D93-49FD-A0EE-FD35A000AE5B}" name="Column12801" dataDxfId="3584"/>
    <tableColumn id="12826" xr3:uid="{C37F4C8A-A4C4-4024-BA0D-ADE0986DE157}" name="Column12802" dataDxfId="3583"/>
    <tableColumn id="12827" xr3:uid="{A4046BCE-179A-4E00-A6CD-4EE9A2BDA20F}" name="Column12803" dataDxfId="3582"/>
    <tableColumn id="12828" xr3:uid="{F8B9D942-D89F-4B94-9371-F8C643EF214D}" name="Column12804" dataDxfId="3581"/>
    <tableColumn id="12829" xr3:uid="{E9B3E9BC-0188-4A41-AE0A-90644B85FFFD}" name="Column12805" dataDxfId="3580"/>
    <tableColumn id="12830" xr3:uid="{DC3C76C1-1A91-4498-8359-BE6B74EC1B8E}" name="Column12806" dataDxfId="3579"/>
    <tableColumn id="12831" xr3:uid="{789F5E16-D760-41CE-80BA-D08F94BBB5B8}" name="Column12807" dataDxfId="3578"/>
    <tableColumn id="12832" xr3:uid="{69563DD6-AFA1-41E6-8F86-822D2A7FB6C4}" name="Column12808" dataDxfId="3577"/>
    <tableColumn id="12833" xr3:uid="{CC5C0DB9-C236-4DA5-872F-D8B8EA61B0B1}" name="Column12809" dataDxfId="3576"/>
    <tableColumn id="12834" xr3:uid="{3303ECFC-90B6-4696-9538-790ED324D498}" name="Column12810" dataDxfId="3575"/>
    <tableColumn id="12835" xr3:uid="{4D155331-A91D-40F1-87C4-A86FFC7F429E}" name="Column12811" dataDxfId="3574"/>
    <tableColumn id="12836" xr3:uid="{07E0E059-3940-4402-A4DE-6E84BC7FD20E}" name="Column12812" dataDxfId="3573"/>
    <tableColumn id="12837" xr3:uid="{9C53A0F5-239E-4B63-A600-C44A76340188}" name="Column12813" dataDxfId="3572"/>
    <tableColumn id="12838" xr3:uid="{69ECE2CB-9C2C-49F6-A8FB-F59B74E747E7}" name="Column12814" dataDxfId="3571"/>
    <tableColumn id="12839" xr3:uid="{81EAEF66-D127-4E70-B197-F5B1CD3884FE}" name="Column12815" dataDxfId="3570"/>
    <tableColumn id="12840" xr3:uid="{DD63A3C3-1531-45D4-BCE4-203B3E7BFF87}" name="Column12816" dataDxfId="3569"/>
    <tableColumn id="12841" xr3:uid="{255417A5-4EE9-4B65-9DCD-77F94553BB08}" name="Column12817" dataDxfId="3568"/>
    <tableColumn id="12842" xr3:uid="{80B2444C-0331-4B71-BAAE-F9E4852F2B2E}" name="Column12818" dataDxfId="3567"/>
    <tableColumn id="12843" xr3:uid="{99331A9E-BD34-4385-8E9E-377E1296E4C9}" name="Column12819" dataDxfId="3566"/>
    <tableColumn id="12844" xr3:uid="{1F1889D9-4119-465C-8470-6599667BA456}" name="Column12820" dataDxfId="3565"/>
    <tableColumn id="12845" xr3:uid="{CA539698-34DA-45EF-A1BD-D353A99BD87B}" name="Column12821" dataDxfId="3564"/>
    <tableColumn id="12846" xr3:uid="{AC4821FB-1B91-4129-B87A-A7FB6D9BFF8E}" name="Column12822" dataDxfId="3563"/>
    <tableColumn id="12847" xr3:uid="{6BBA6855-CEB6-49B9-A5BF-4DDFDD203B2E}" name="Column12823" dataDxfId="3562"/>
    <tableColumn id="12848" xr3:uid="{5FEE7A06-EA7C-4171-AE13-B8A7C24A4B7D}" name="Column12824" dataDxfId="3561"/>
    <tableColumn id="12849" xr3:uid="{156073AD-D460-465D-A90E-F9CEFAF53BA6}" name="Column12825" dataDxfId="3560"/>
    <tableColumn id="12850" xr3:uid="{F7A27912-DC1B-4819-946D-41E3FA2CC082}" name="Column12826" dataDxfId="3559"/>
    <tableColumn id="12851" xr3:uid="{D742BFE8-6A31-44A1-B481-6762011C624D}" name="Column12827" dataDxfId="3558"/>
    <tableColumn id="12852" xr3:uid="{D626B4D8-F3B2-44CC-9735-6EC5C27EC418}" name="Column12828" dataDxfId="3557"/>
    <tableColumn id="12853" xr3:uid="{203A711E-7852-47C3-9DEF-6DCFFA08CE97}" name="Column12829" dataDxfId="3556"/>
    <tableColumn id="12854" xr3:uid="{4DA77FF8-96C8-4285-A5B4-B9D6BA0D50D5}" name="Column12830" dataDxfId="3555"/>
    <tableColumn id="12855" xr3:uid="{FE14C051-B9D8-4625-8D79-B00E15FE1F62}" name="Column12831" dataDxfId="3554"/>
    <tableColumn id="12856" xr3:uid="{2D5E9D93-CAA6-48F8-B561-82D00B2965F4}" name="Column12832" dataDxfId="3553"/>
    <tableColumn id="12857" xr3:uid="{E64630B7-94C3-454A-B53F-BB53505A99AF}" name="Column12833" dataDxfId="3552"/>
    <tableColumn id="12858" xr3:uid="{6EECB4E4-7BE0-4E42-9117-2FBD25A8A3B5}" name="Column12834" dataDxfId="3551"/>
    <tableColumn id="12859" xr3:uid="{810D4ECF-F19A-4E26-884A-936FF8E7C6E0}" name="Column12835" dataDxfId="3550"/>
    <tableColumn id="12860" xr3:uid="{4D347833-FF61-4503-A830-D21D09BDD509}" name="Column12836" dataDxfId="3549"/>
    <tableColumn id="12861" xr3:uid="{FF304A5E-925C-4C2D-9AE1-0D3A4EDC286A}" name="Column12837" dataDxfId="3548"/>
    <tableColumn id="12862" xr3:uid="{4EA697D1-60C0-4FFD-86C0-D76A8FD216FD}" name="Column12838" dataDxfId="3547"/>
    <tableColumn id="12863" xr3:uid="{039A4769-C6EC-4666-9166-C8277E0FA2E5}" name="Column12839" dataDxfId="3546"/>
    <tableColumn id="12864" xr3:uid="{97D450C4-115D-420C-99DE-C594911BEFCF}" name="Column12840" dataDxfId="3545"/>
    <tableColumn id="12865" xr3:uid="{2A1056F2-46C2-48ED-A4B4-4258647922F3}" name="Column12841" dataDxfId="3544"/>
    <tableColumn id="12866" xr3:uid="{5836A322-9B88-4D05-BAA1-4A3AD3520172}" name="Column12842" dataDxfId="3543"/>
    <tableColumn id="12867" xr3:uid="{E64C2D56-FE70-43C9-B1A4-E561E5097ECA}" name="Column12843" dataDxfId="3542"/>
    <tableColumn id="12868" xr3:uid="{E2C79303-141D-420E-B078-BF127D600012}" name="Column12844" dataDxfId="3541"/>
    <tableColumn id="12869" xr3:uid="{0E456C33-0E83-47EA-8EA0-4586F64C9A88}" name="Column12845" dataDxfId="3540"/>
    <tableColumn id="12870" xr3:uid="{9BC3E385-265D-4473-9920-128E7D2BAE93}" name="Column12846" dataDxfId="3539"/>
    <tableColumn id="12871" xr3:uid="{76AE5B67-2B7A-432E-8552-207DAAB90695}" name="Column12847" dataDxfId="3538"/>
    <tableColumn id="12872" xr3:uid="{1201EDB7-92FA-422C-920D-1FF80BBDD3C4}" name="Column12848" dataDxfId="3537"/>
    <tableColumn id="12873" xr3:uid="{43F5F49D-153D-41C8-BBB1-DB5FF0797EF9}" name="Column12849" dataDxfId="3536"/>
    <tableColumn id="12874" xr3:uid="{C9FA3620-2AD1-412C-B499-30DE7F4BE91D}" name="Column12850" dataDxfId="3535"/>
    <tableColumn id="12875" xr3:uid="{BD21F77A-56E8-4CC2-99EE-65F9ABA28897}" name="Column12851" dataDxfId="3534"/>
    <tableColumn id="12876" xr3:uid="{A4DD724B-2694-4447-9661-6D853AB1E89A}" name="Column12852" dataDxfId="3533"/>
    <tableColumn id="12877" xr3:uid="{2478B076-F28E-4774-A112-4D90077BF8A1}" name="Column12853" dataDxfId="3532"/>
    <tableColumn id="12878" xr3:uid="{A2FDC045-FAC9-449A-85C7-BA56990E9895}" name="Column12854" dataDxfId="3531"/>
    <tableColumn id="12879" xr3:uid="{3DD307F3-E4D7-451B-A048-3CC14BFFC4D5}" name="Column12855" dataDxfId="3530"/>
    <tableColumn id="12880" xr3:uid="{49B6ABEE-88D7-4DFD-91D9-B8C68270E080}" name="Column12856" dataDxfId="3529"/>
    <tableColumn id="12881" xr3:uid="{A613A2DD-6D78-4E1D-9700-412876F1934C}" name="Column12857" dataDxfId="3528"/>
    <tableColumn id="12882" xr3:uid="{290B551F-3A37-41D1-825D-21038AF90F24}" name="Column12858" dataDxfId="3527"/>
    <tableColumn id="12883" xr3:uid="{320A22AB-17DE-4854-B479-274ABFC4DF34}" name="Column12859" dataDxfId="3526"/>
    <tableColumn id="12884" xr3:uid="{0144C35B-B9A8-44C8-97E9-E21B264255B1}" name="Column12860" dataDxfId="3525"/>
    <tableColumn id="12885" xr3:uid="{4B6EC911-EB7F-49AB-84FF-034639961BB4}" name="Column12861" dataDxfId="3524"/>
    <tableColumn id="12886" xr3:uid="{4C6FDC8F-EB85-4DC0-930A-A3CB11FB09BB}" name="Column12862" dataDxfId="3523"/>
    <tableColumn id="12887" xr3:uid="{45D1D373-B3E9-49D8-A0CE-47A0B6969F08}" name="Column12863" dataDxfId="3522"/>
    <tableColumn id="12888" xr3:uid="{B0B82F03-0C1C-4C2E-A656-27EAE092F4E1}" name="Column12864" dataDxfId="3521"/>
    <tableColumn id="12889" xr3:uid="{0D68CC2E-0EB5-49BC-8522-F95E2B4C900E}" name="Column12865" dataDxfId="3520"/>
    <tableColumn id="12890" xr3:uid="{19D84A8C-1F34-4E32-B7EA-6BA7802F465B}" name="Column12866" dataDxfId="3519"/>
    <tableColumn id="12891" xr3:uid="{5336EFAC-6718-4240-AB69-1D8E4377EE71}" name="Column12867" dataDxfId="3518"/>
    <tableColumn id="12892" xr3:uid="{AC6EDAB9-251B-4BD0-ABEA-800083892F54}" name="Column12868" dataDxfId="3517"/>
    <tableColumn id="12893" xr3:uid="{8BE9F9F7-5971-445B-BD71-6905FB1AD7C6}" name="Column12869" dataDxfId="3516"/>
    <tableColumn id="12894" xr3:uid="{5252E284-15E4-443A-92E9-DCEFC2D10FDC}" name="Column12870" dataDxfId="3515"/>
    <tableColumn id="12895" xr3:uid="{6A53AF04-36D9-4C0B-833B-5DE89462ED3B}" name="Column12871" dataDxfId="3514"/>
    <tableColumn id="12896" xr3:uid="{0AE59184-F0BD-40D1-9B2C-E33CB452CFF3}" name="Column12872" dataDxfId="3513"/>
    <tableColumn id="12897" xr3:uid="{6FE5090C-417D-4038-9956-43B9C66C6FA9}" name="Column12873" dataDxfId="3512"/>
    <tableColumn id="12898" xr3:uid="{24617626-1875-44C3-81C7-57FE777CCE46}" name="Column12874" dataDxfId="3511"/>
    <tableColumn id="12899" xr3:uid="{E7DE2C7A-7513-47C1-8E7F-5AC5B8616FD4}" name="Column12875" dataDxfId="3510"/>
    <tableColumn id="12900" xr3:uid="{815A7464-B59A-4B70-B841-E375E81DC6B5}" name="Column12876" dataDxfId="3509"/>
    <tableColumn id="12901" xr3:uid="{F3CDCEA9-0039-4F82-8A00-7FE2B7C7F0B5}" name="Column12877" dataDxfId="3508"/>
    <tableColumn id="12902" xr3:uid="{D83CFE1F-B677-4D7F-BBDF-AB869BE0FF4F}" name="Column12878" dataDxfId="3507"/>
    <tableColumn id="12903" xr3:uid="{D7329460-415D-456C-B1C3-16735B60E16F}" name="Column12879" dataDxfId="3506"/>
    <tableColumn id="12904" xr3:uid="{54F67664-7958-4EFD-8A30-321393B066E2}" name="Column12880" dataDxfId="3505"/>
    <tableColumn id="12905" xr3:uid="{FD545140-F47F-4FBD-B5EC-0BFD1F826A3F}" name="Column12881" dataDxfId="3504"/>
    <tableColumn id="12906" xr3:uid="{86EF55F2-F84F-4EB4-848E-33B6227DAB7D}" name="Column12882" dataDxfId="3503"/>
    <tableColumn id="12907" xr3:uid="{8D27D888-5370-4C0B-8B7B-653A29F0AAA9}" name="Column12883" dataDxfId="3502"/>
    <tableColumn id="12908" xr3:uid="{DF602515-46B8-4CF9-A508-BFA9A64AD15C}" name="Column12884" dataDxfId="3501"/>
    <tableColumn id="12909" xr3:uid="{34C4F77A-B39F-43E3-9D15-E39890AC5D76}" name="Column12885" dataDxfId="3500"/>
    <tableColumn id="12910" xr3:uid="{9AA891DB-EEC0-4117-8A74-A042C0DB2D6D}" name="Column12886" dataDxfId="3499"/>
    <tableColumn id="12911" xr3:uid="{23661903-C9A4-4A83-9B83-7511A7EAF400}" name="Column12887" dataDxfId="3498"/>
    <tableColumn id="12912" xr3:uid="{273A606E-500D-4193-9F30-F6808F401087}" name="Column12888" dataDxfId="3497"/>
    <tableColumn id="12913" xr3:uid="{5B88B70D-C693-42DF-945F-D697774A020B}" name="Column12889" dataDxfId="3496"/>
    <tableColumn id="12914" xr3:uid="{C55321DC-AACB-4E33-A89C-C0A465F202FC}" name="Column12890" dataDxfId="3495"/>
    <tableColumn id="12915" xr3:uid="{2BC5796D-B506-49D5-AB34-2779AA4D2443}" name="Column12891" dataDxfId="3494"/>
    <tableColumn id="12916" xr3:uid="{25A984A4-0900-49A3-902B-11FA7A969759}" name="Column12892" dataDxfId="3493"/>
    <tableColumn id="12917" xr3:uid="{3E2CA8F2-576F-486F-9607-CF1A0F12451A}" name="Column12893" dataDxfId="3492"/>
    <tableColumn id="12918" xr3:uid="{EC237570-5B10-40BC-B88E-383E91BEA7F0}" name="Column12894" dataDxfId="3491"/>
    <tableColumn id="12919" xr3:uid="{3478CCA5-3CD0-47A3-B7BC-A2DE4F64A7FF}" name="Column12895" dataDxfId="3490"/>
    <tableColumn id="12920" xr3:uid="{0E93A0B1-C9FF-4778-9D96-6B42B2477F20}" name="Column12896" dataDxfId="3489"/>
    <tableColumn id="12921" xr3:uid="{B29D5C04-00CE-46DB-AD2F-7CAFB6CB054F}" name="Column12897" dataDxfId="3488"/>
    <tableColumn id="12922" xr3:uid="{E6B4FDDB-1274-4F03-AA03-91527F5DB5D3}" name="Column12898" dataDxfId="3487"/>
    <tableColumn id="12923" xr3:uid="{E6ACD519-6964-4E4B-86AF-6662DB045751}" name="Column12899" dataDxfId="3486"/>
    <tableColumn id="12924" xr3:uid="{16531E97-1E52-4DB4-BA7D-D19CE36B2119}" name="Column12900" dataDxfId="3485"/>
    <tableColumn id="12925" xr3:uid="{B60C4FC3-058F-46C2-8451-64D4C634ABA1}" name="Column12901" dataDxfId="3484"/>
    <tableColumn id="12926" xr3:uid="{4F43A9B6-A28C-445F-9BB2-E01A24B6BF39}" name="Column12902" dataDxfId="3483"/>
    <tableColumn id="12927" xr3:uid="{DC61064F-8221-4CE6-8460-15CB2F657227}" name="Column12903" dataDxfId="3482"/>
    <tableColumn id="12928" xr3:uid="{6A3E9E82-6699-44D0-BC42-19B77E5E2F51}" name="Column12904" dataDxfId="3481"/>
    <tableColumn id="12929" xr3:uid="{93BEF794-1E06-4D06-9E25-9D7F4E8A6188}" name="Column12905" dataDxfId="3480"/>
    <tableColumn id="12930" xr3:uid="{72CA33CA-08AA-480E-AB9D-4324CA369621}" name="Column12906" dataDxfId="3479"/>
    <tableColumn id="12931" xr3:uid="{FCFDF3D9-F6E0-47B8-8553-DF7F90ED4949}" name="Column12907" dataDxfId="3478"/>
    <tableColumn id="12932" xr3:uid="{878A9E4C-2055-46DE-8EC1-FCD0A99E013F}" name="Column12908" dataDxfId="3477"/>
    <tableColumn id="12933" xr3:uid="{723C4A39-42F0-46F1-8533-02F9EEDC2D60}" name="Column12909" dataDxfId="3476"/>
    <tableColumn id="12934" xr3:uid="{353C3C54-5771-408D-86F3-B49059BF0C36}" name="Column12910" dataDxfId="3475"/>
    <tableColumn id="12935" xr3:uid="{DACDEF4F-A7E2-428D-91BB-5E6A60065023}" name="Column12911" dataDxfId="3474"/>
    <tableColumn id="12936" xr3:uid="{C82262BF-2567-4BDC-A4DB-8257D35960F5}" name="Column12912" dataDxfId="3473"/>
    <tableColumn id="12937" xr3:uid="{80057E43-E1D4-4CEF-9C52-438B6C9A60F3}" name="Column12913" dataDxfId="3472"/>
    <tableColumn id="12938" xr3:uid="{29E7805A-0606-4C21-BF75-A46946906F99}" name="Column12914" dataDxfId="3471"/>
    <tableColumn id="12939" xr3:uid="{4B543922-BC29-40B5-A859-9E52DFFC5F7C}" name="Column12915" dataDxfId="3470"/>
    <tableColumn id="12940" xr3:uid="{7CBB19DC-C009-4335-9B07-ECDBB5FC163B}" name="Column12916" dataDxfId="3469"/>
    <tableColumn id="12941" xr3:uid="{0CA7BC5F-9A9E-40ED-A7CC-41C05B439A7D}" name="Column12917" dataDxfId="3468"/>
    <tableColumn id="12942" xr3:uid="{62353C55-BC31-4656-AC85-1ABD2040F597}" name="Column12918" dataDxfId="3467"/>
    <tableColumn id="12943" xr3:uid="{BD370B5C-3C41-4A25-9B5B-0F2A9D28FE78}" name="Column12919" dataDxfId="3466"/>
    <tableColumn id="12944" xr3:uid="{010319E5-17B8-470F-AF94-4E3C064771B8}" name="Column12920" dataDxfId="3465"/>
    <tableColumn id="12945" xr3:uid="{09D6C03F-72A8-454C-ADF3-A777BB7C81B8}" name="Column12921" dataDxfId="3464"/>
    <tableColumn id="12946" xr3:uid="{7772AC95-2AB9-4FB2-BE65-F3298C937C0D}" name="Column12922" dataDxfId="3463"/>
    <tableColumn id="12947" xr3:uid="{33F0A1C8-49F6-4C4D-97CC-5B10B822CA4B}" name="Column12923" dataDxfId="3462"/>
    <tableColumn id="12948" xr3:uid="{439FBF38-FE9A-48DF-9F4D-FA8B435B66CF}" name="Column12924" dataDxfId="3461"/>
    <tableColumn id="12949" xr3:uid="{08C0DFF3-3C13-436E-B9BD-DD0A56F7823F}" name="Column12925" dataDxfId="3460"/>
    <tableColumn id="12950" xr3:uid="{46199A92-554A-45A9-8BC5-261481C8D832}" name="Column12926" dataDxfId="3459"/>
    <tableColumn id="12951" xr3:uid="{872AAF02-F524-48EF-BEE6-F6636CC85FB4}" name="Column12927" dataDxfId="3458"/>
    <tableColumn id="12952" xr3:uid="{D72B63BA-E1AA-4B46-857B-7CE98802E576}" name="Column12928" dataDxfId="3457"/>
    <tableColumn id="12953" xr3:uid="{3B01EFDB-2E6C-4AB6-8A32-DEEC042902C2}" name="Column12929" dataDxfId="3456"/>
    <tableColumn id="12954" xr3:uid="{9C6D1146-92BE-4425-8FEA-EAE12F8BD63B}" name="Column12930" dataDxfId="3455"/>
    <tableColumn id="12955" xr3:uid="{ACB0180F-6491-4417-B1D8-59F2BD274821}" name="Column12931" dataDxfId="3454"/>
    <tableColumn id="12956" xr3:uid="{48B6D917-E07C-4CC4-8D98-CB12933B4588}" name="Column12932" dataDxfId="3453"/>
    <tableColumn id="12957" xr3:uid="{F569311D-13CC-4F65-BF00-B08E157A66DC}" name="Column12933" dataDxfId="3452"/>
    <tableColumn id="12958" xr3:uid="{17475F6E-371F-4878-8F18-69FE69BE749D}" name="Column12934" dataDxfId="3451"/>
    <tableColumn id="12959" xr3:uid="{21CBD6AB-CE60-4B5E-9E44-A765894F02A0}" name="Column12935" dataDxfId="3450"/>
    <tableColumn id="12960" xr3:uid="{D1CA5A19-1E2D-41A6-A7A2-5244C2998889}" name="Column12936" dataDxfId="3449"/>
    <tableColumn id="12961" xr3:uid="{01ABA338-1EFF-4CE7-ACFC-7819EB7E5552}" name="Column12937" dataDxfId="3448"/>
    <tableColumn id="12962" xr3:uid="{277F2CEB-045B-4B13-9047-76F0A6CB333C}" name="Column12938" dataDxfId="3447"/>
    <tableColumn id="12963" xr3:uid="{70E1ABC1-2C12-4ED5-B9CF-F01EC4627C04}" name="Column12939" dataDxfId="3446"/>
    <tableColumn id="12964" xr3:uid="{7E6DD70B-7FDF-46D8-AE1C-A8E327B7F8B0}" name="Column12940" dataDxfId="3445"/>
    <tableColumn id="12965" xr3:uid="{A10E03E5-6382-408A-AEE4-ACBC81A7247A}" name="Column12941" dataDxfId="3444"/>
    <tableColumn id="12966" xr3:uid="{98CD3AFA-47D2-4D3D-9FBE-784D17A36A62}" name="Column12942" dataDxfId="3443"/>
    <tableColumn id="12967" xr3:uid="{D8273213-5127-4EC4-A8CF-08C79C4D27E4}" name="Column12943" dataDxfId="3442"/>
    <tableColumn id="12968" xr3:uid="{120AFA66-0A5C-4880-9558-E2EE48C9CF72}" name="Column12944" dataDxfId="3441"/>
    <tableColumn id="12969" xr3:uid="{52AF9AB9-5F62-479C-B6D8-D23D6BDECE08}" name="Column12945" dataDxfId="3440"/>
    <tableColumn id="12970" xr3:uid="{2095A6C1-6B31-4B73-BE1C-8F58EEE10C02}" name="Column12946" dataDxfId="3439"/>
    <tableColumn id="12971" xr3:uid="{5B6343DF-7D28-4112-8BF7-84ABAE1B0AFF}" name="Column12947" dataDxfId="3438"/>
    <tableColumn id="12972" xr3:uid="{877B9DE9-349B-4006-9515-DBECD019C7B8}" name="Column12948" dataDxfId="3437"/>
    <tableColumn id="12973" xr3:uid="{DAFAC9D3-FF1A-48D4-9E6C-E15C153F5E14}" name="Column12949" dataDxfId="3436"/>
    <tableColumn id="12974" xr3:uid="{0F178BB8-CC69-4921-B519-7C7D51CB624E}" name="Column12950" dataDxfId="3435"/>
    <tableColumn id="12975" xr3:uid="{2A807040-517C-4743-AE42-762E47C213C4}" name="Column12951" dataDxfId="3434"/>
    <tableColumn id="12976" xr3:uid="{50484FC8-DAB9-46C1-B851-FFC1FFA1201C}" name="Column12952" dataDxfId="3433"/>
    <tableColumn id="12977" xr3:uid="{3A592EA4-6B08-49A6-9029-073AE33A05C7}" name="Column12953" dataDxfId="3432"/>
    <tableColumn id="12978" xr3:uid="{A157264D-6152-416E-9570-7B92262920DA}" name="Column12954" dataDxfId="3431"/>
    <tableColumn id="12979" xr3:uid="{8C90FC2D-BC6E-4E24-836B-4B67BC3D618E}" name="Column12955" dataDxfId="3430"/>
    <tableColumn id="12980" xr3:uid="{13C798CD-E00A-438A-9239-93D4DD095C12}" name="Column12956" dataDxfId="3429"/>
    <tableColumn id="12981" xr3:uid="{31703420-DBEF-4BB1-B928-923CAB45646E}" name="Column12957" dataDxfId="3428"/>
    <tableColumn id="12982" xr3:uid="{88EC3422-4DF6-43E6-BC36-E532BDE42C6C}" name="Column12958" dataDxfId="3427"/>
    <tableColumn id="12983" xr3:uid="{DA68EEC9-59A5-4DCD-B491-600201BC4C79}" name="Column12959" dataDxfId="3426"/>
    <tableColumn id="12984" xr3:uid="{7DAAB465-CB8D-4189-A639-DC3556B7C334}" name="Column12960" dataDxfId="3425"/>
    <tableColumn id="12985" xr3:uid="{31C5330D-EEFD-4DA1-891D-7DCC98743011}" name="Column12961" dataDxfId="3424"/>
    <tableColumn id="12986" xr3:uid="{DF2E8B68-C858-4121-827B-BD0A019BC64D}" name="Column12962" dataDxfId="3423"/>
    <tableColumn id="12987" xr3:uid="{06CC95B7-7B88-4C17-9F0B-A90D71D75CC4}" name="Column12963" dataDxfId="3422"/>
    <tableColumn id="12988" xr3:uid="{B0C1FAA7-8F76-4A05-AE4F-791A8AB013C0}" name="Column12964" dataDxfId="3421"/>
    <tableColumn id="12989" xr3:uid="{BE96C036-3EE9-411B-8691-29A88AE0EDC4}" name="Column12965" dataDxfId="3420"/>
    <tableColumn id="12990" xr3:uid="{2D574357-BCE6-451F-A513-6AD2D2919B28}" name="Column12966" dataDxfId="3419"/>
    <tableColumn id="12991" xr3:uid="{C889D12A-221E-433A-9823-CE3C01416BF1}" name="Column12967" dataDxfId="3418"/>
    <tableColumn id="12992" xr3:uid="{242E9BE0-EC59-4AEC-A05C-98370AA6D11F}" name="Column12968" dataDxfId="3417"/>
    <tableColumn id="12993" xr3:uid="{450E40CD-5CE6-4147-B6E8-6B3600852357}" name="Column12969" dataDxfId="3416"/>
    <tableColumn id="12994" xr3:uid="{2C2EAC8E-C02F-4893-80FF-262379D9A2CF}" name="Column12970" dataDxfId="3415"/>
    <tableColumn id="12995" xr3:uid="{6825C0EC-0709-4B45-96B6-DF306BF42737}" name="Column12971" dataDxfId="3414"/>
    <tableColumn id="12996" xr3:uid="{EC23503F-4347-44DA-8CE3-8C7D3BE3CB9C}" name="Column12972" dataDxfId="3413"/>
    <tableColumn id="12997" xr3:uid="{39D0ACB1-0097-4D23-8C49-1887438C12EA}" name="Column12973" dataDxfId="3412"/>
    <tableColumn id="12998" xr3:uid="{C9B979A4-D547-482A-86E7-D32DC44E8887}" name="Column12974" dataDxfId="3411"/>
    <tableColumn id="12999" xr3:uid="{EEA4DB1A-3B6D-4342-8980-A82AFA491FF1}" name="Column12975" dataDxfId="3410"/>
    <tableColumn id="13000" xr3:uid="{DC5F165C-4AA6-41A8-BB81-6547C2164353}" name="Column12976" dataDxfId="3409"/>
    <tableColumn id="13001" xr3:uid="{D85DC21B-D1CF-40BA-9079-A6713EDC95DC}" name="Column12977" dataDxfId="3408"/>
    <tableColumn id="13002" xr3:uid="{8DC0DB24-C747-42BB-B00F-989F630BAE8D}" name="Column12978" dataDxfId="3407"/>
    <tableColumn id="13003" xr3:uid="{64544916-DA68-4FC6-8E8B-745E5B296111}" name="Column12979" dataDxfId="3406"/>
    <tableColumn id="13004" xr3:uid="{D27E3E98-047A-4838-926E-C4DE724468D1}" name="Column12980" dataDxfId="3405"/>
    <tableColumn id="13005" xr3:uid="{25F76B1A-C922-450C-B299-22C14B81C277}" name="Column12981" dataDxfId="3404"/>
    <tableColumn id="13006" xr3:uid="{9477EE9E-D802-4281-994D-4D35BEDE4FE5}" name="Column12982" dataDxfId="3403"/>
    <tableColumn id="13007" xr3:uid="{1934CC20-4C30-4AAF-B881-2C81D4861F6C}" name="Column12983" dataDxfId="3402"/>
    <tableColumn id="13008" xr3:uid="{BE10B9E2-3093-46BF-8684-AF1ACFC232B4}" name="Column12984" dataDxfId="3401"/>
    <tableColumn id="13009" xr3:uid="{ECA6EA73-ADB0-4199-98F6-EB339E3DEE5D}" name="Column12985" dataDxfId="3400"/>
    <tableColumn id="13010" xr3:uid="{254C3AF7-449F-4B3A-847A-254CCEBE2E72}" name="Column12986" dataDxfId="3399"/>
    <tableColumn id="13011" xr3:uid="{47045BB5-18B0-4468-9C8C-40CD2AB201FA}" name="Column12987" dataDxfId="3398"/>
    <tableColumn id="13012" xr3:uid="{D543103E-BBB9-48E3-995A-164FD58A18E5}" name="Column12988" dataDxfId="3397"/>
    <tableColumn id="13013" xr3:uid="{1DAAED12-151C-40CF-B86D-C6101321C9C8}" name="Column12989" dataDxfId="3396"/>
    <tableColumn id="13014" xr3:uid="{D22F744B-699C-42A2-8075-BBEA73D6C1DD}" name="Column12990" dataDxfId="3395"/>
    <tableColumn id="13015" xr3:uid="{76828810-D04B-4C3C-A15C-A98435B37D32}" name="Column12991" dataDxfId="3394"/>
    <tableColumn id="13016" xr3:uid="{352952F2-45A0-4C4D-B044-C1F856CE2322}" name="Column12992" dataDxfId="3393"/>
    <tableColumn id="13017" xr3:uid="{0B505213-1F0D-4E8E-9495-2B248E91E54D}" name="Column12993" dataDxfId="3392"/>
    <tableColumn id="13018" xr3:uid="{92B092A2-C1F4-41E1-B372-406B4F2A6CC7}" name="Column12994" dataDxfId="3391"/>
    <tableColumn id="13019" xr3:uid="{FDC13257-E503-4E85-B845-AF6894E76203}" name="Column12995" dataDxfId="3390"/>
    <tableColumn id="13020" xr3:uid="{A1A4BBE5-7082-4F7B-87A6-0839C5DF5954}" name="Column12996" dataDxfId="3389"/>
    <tableColumn id="13021" xr3:uid="{D45E32BA-E1BF-4D5C-A916-686F1BE2CA4B}" name="Column12997" dataDxfId="3388"/>
    <tableColumn id="13022" xr3:uid="{DD9C79A0-8351-4D0B-AC91-1104BAF5E1BB}" name="Column12998" dataDxfId="3387"/>
    <tableColumn id="13023" xr3:uid="{B8D71982-E662-4DCD-BBFB-57A8DECCBEF3}" name="Column12999" dataDxfId="3386"/>
    <tableColumn id="13024" xr3:uid="{54DBF0D7-80F8-426D-90F4-DA3B79057B08}" name="Column13000" dataDxfId="3385"/>
    <tableColumn id="13025" xr3:uid="{81A9D539-FD8F-4C19-A26F-BD5F65C6A70A}" name="Column13001" dataDxfId="3384"/>
    <tableColumn id="13026" xr3:uid="{5DCE728B-A7E6-495A-BA26-07D772259221}" name="Column13002" dataDxfId="3383"/>
    <tableColumn id="13027" xr3:uid="{FB56C9A0-D2F8-4D46-A20E-3CA64928CDDF}" name="Column13003" dataDxfId="3382"/>
    <tableColumn id="13028" xr3:uid="{071315EC-57BE-4B6E-8A21-F50444EB97AD}" name="Column13004" dataDxfId="3381"/>
    <tableColumn id="13029" xr3:uid="{C121138B-15C6-47F0-9755-F794506DB403}" name="Column13005" dataDxfId="3380"/>
    <tableColumn id="13030" xr3:uid="{AFD63417-4F87-4B08-9D8C-F436193BE4E6}" name="Column13006" dataDxfId="3379"/>
    <tableColumn id="13031" xr3:uid="{2AF7D92E-6160-4403-A0BE-B776315AC006}" name="Column13007" dataDxfId="3378"/>
    <tableColumn id="13032" xr3:uid="{68E09BDB-4869-4623-A40D-3835C30DC762}" name="Column13008" dataDxfId="3377"/>
    <tableColumn id="13033" xr3:uid="{70C23F2B-69E5-451E-9D02-3C29500EE8AA}" name="Column13009" dataDxfId="3376"/>
    <tableColumn id="13034" xr3:uid="{BC41252C-FB41-4582-9DCE-B8805F6E6439}" name="Column13010" dataDxfId="3375"/>
    <tableColumn id="13035" xr3:uid="{C98CCF69-1D37-429F-84FB-3CC23F69D132}" name="Column13011" dataDxfId="3374"/>
    <tableColumn id="13036" xr3:uid="{B0BF0534-F493-4A76-B4B6-8631C7A0B1F3}" name="Column13012" dataDxfId="3373"/>
    <tableColumn id="13037" xr3:uid="{3508061B-A07D-4570-B7DC-43AD67E5F5F3}" name="Column13013" dataDxfId="3372"/>
    <tableColumn id="13038" xr3:uid="{09794C18-FAF4-4EE2-B7D8-1B4361C5E8C3}" name="Column13014" dataDxfId="3371"/>
    <tableColumn id="13039" xr3:uid="{8113D9A3-53A4-474F-A799-84D78D22348E}" name="Column13015" dataDxfId="3370"/>
    <tableColumn id="13040" xr3:uid="{B0458D0A-939D-4357-A278-9C993BEE4203}" name="Column13016" dataDxfId="3369"/>
    <tableColumn id="13041" xr3:uid="{B50347C6-F177-47C1-9068-EA21A779A467}" name="Column13017" dataDxfId="3368"/>
    <tableColumn id="13042" xr3:uid="{D2239431-464E-4673-ACA4-4D121B0232AB}" name="Column13018" dataDxfId="3367"/>
    <tableColumn id="13043" xr3:uid="{BCF9B6A4-8924-46B4-BF0E-879EE2D249BC}" name="Column13019" dataDxfId="3366"/>
    <tableColumn id="13044" xr3:uid="{94552BDE-DA4B-4657-8D17-B567754063B9}" name="Column13020" dataDxfId="3365"/>
    <tableColumn id="13045" xr3:uid="{90B0810E-B96F-492C-BFA1-461674661A23}" name="Column13021" dataDxfId="3364"/>
    <tableColumn id="13046" xr3:uid="{19B86797-998A-4B87-84CA-48B3B7C3E963}" name="Column13022" dataDxfId="3363"/>
    <tableColumn id="13047" xr3:uid="{A9B9E9C3-EAE0-48B4-8428-C1E54493AC21}" name="Column13023" dataDxfId="3362"/>
    <tableColumn id="13048" xr3:uid="{0716FC41-8169-4AE4-8305-277D53FB302B}" name="Column13024" dataDxfId="3361"/>
    <tableColumn id="13049" xr3:uid="{54AF5DB6-D720-4D67-BD80-0133B1102642}" name="Column13025" dataDxfId="3360"/>
    <tableColumn id="13050" xr3:uid="{40D21F7C-182E-4EEE-AABC-2DFFFD12EEF2}" name="Column13026" dataDxfId="3359"/>
    <tableColumn id="13051" xr3:uid="{B69E6FFE-BC1E-4F8A-AE03-801DEFF3895F}" name="Column13027" dataDxfId="3358"/>
    <tableColumn id="13052" xr3:uid="{1A6DB8AE-3EB6-463D-8445-E9364106E38A}" name="Column13028" dataDxfId="3357"/>
    <tableColumn id="13053" xr3:uid="{A0BF79A6-F353-482D-A329-AB667BC6D777}" name="Column13029" dataDxfId="3356"/>
    <tableColumn id="13054" xr3:uid="{0331055A-4674-445D-9047-C83B8BDDD5B0}" name="Column13030" dataDxfId="3355"/>
    <tableColumn id="13055" xr3:uid="{79778D1F-E428-4B17-AAC1-9375747295E6}" name="Column13031" dataDxfId="3354"/>
    <tableColumn id="13056" xr3:uid="{D3444384-2796-40CB-BB10-8527BBF9E6BD}" name="Column13032" dataDxfId="3353"/>
    <tableColumn id="13057" xr3:uid="{EE9DCA97-31F6-4C08-B157-B8C7037BF6AA}" name="Column13033" dataDxfId="3352"/>
    <tableColumn id="13058" xr3:uid="{BECE5C8D-97D0-4BEF-A412-EC2A4F0DDAF7}" name="Column13034" dataDxfId="3351"/>
    <tableColumn id="13059" xr3:uid="{5C00684A-D75F-49FE-853F-AC4F74A38967}" name="Column13035" dataDxfId="3350"/>
    <tableColumn id="13060" xr3:uid="{D5ECFB33-F338-44A4-AE9C-E79C715AED77}" name="Column13036" dataDxfId="3349"/>
    <tableColumn id="13061" xr3:uid="{AC3BEA4B-038B-4C7E-A729-8B9D3EFCDEA0}" name="Column13037" dataDxfId="3348"/>
    <tableColumn id="13062" xr3:uid="{AC89281A-220B-4AE0-BAB1-DE520FD70895}" name="Column13038" dataDxfId="3347"/>
    <tableColumn id="13063" xr3:uid="{FB20BCD3-E97E-422E-9F98-CD57F6486CA8}" name="Column13039" dataDxfId="3346"/>
    <tableColumn id="13064" xr3:uid="{A3B1D756-26F2-4B55-960D-35B4A661DE39}" name="Column13040" dataDxfId="3345"/>
    <tableColumn id="13065" xr3:uid="{E01341E7-33DB-450F-BCA5-EC5AC8860951}" name="Column13041" dataDxfId="3344"/>
    <tableColumn id="13066" xr3:uid="{8D62379D-1D47-4DC4-8BF0-CBA3AAC398F5}" name="Column13042" dataDxfId="3343"/>
    <tableColumn id="13067" xr3:uid="{9EB7032C-CF95-4314-B923-6C5EF03AF1CB}" name="Column13043" dataDxfId="3342"/>
    <tableColumn id="13068" xr3:uid="{17C2EEFD-A2EA-448A-94E2-8124F01DA807}" name="Column13044" dataDxfId="3341"/>
    <tableColumn id="13069" xr3:uid="{85F21C37-00A9-4DAF-9778-087D7C724314}" name="Column13045" dataDxfId="3340"/>
    <tableColumn id="13070" xr3:uid="{327B8AF5-5FC1-4AF0-9E8E-9227FCCC95D9}" name="Column13046" dataDxfId="3339"/>
    <tableColumn id="13071" xr3:uid="{D2D45F04-89CD-4BA1-AF63-3B707C2C50E5}" name="Column13047" dataDxfId="3338"/>
    <tableColumn id="13072" xr3:uid="{4B96D665-09E4-482F-9301-2CD6908EEE10}" name="Column13048" dataDxfId="3337"/>
    <tableColumn id="13073" xr3:uid="{D951F8DC-E9C9-4A64-BF32-9BC6CC5F7EAD}" name="Column13049" dataDxfId="3336"/>
    <tableColumn id="13074" xr3:uid="{C04ECCBB-56B1-497B-AD02-92C5213A89D6}" name="Column13050" dataDxfId="3335"/>
    <tableColumn id="13075" xr3:uid="{813E8D51-3AF0-4941-B540-FB6ECDC528C2}" name="Column13051" dataDxfId="3334"/>
    <tableColumn id="13076" xr3:uid="{BB9B0942-9708-440D-8C4B-F0F96429CCD3}" name="Column13052" dataDxfId="3333"/>
    <tableColumn id="13077" xr3:uid="{3F9F20BD-82C6-4FE1-963C-8410407A9487}" name="Column13053" dataDxfId="3332"/>
    <tableColumn id="13078" xr3:uid="{DCA5AC38-57EF-40CD-9C12-11035D9205A1}" name="Column13054" dataDxfId="3331"/>
    <tableColumn id="13079" xr3:uid="{274F0F02-A495-4DAD-BFA7-C068AB6966DF}" name="Column13055" dataDxfId="3330"/>
    <tableColumn id="13080" xr3:uid="{4A948E80-27DA-461A-AFCE-404ED14C08B8}" name="Column13056" dataDxfId="3329"/>
    <tableColumn id="13081" xr3:uid="{92845EC0-B858-4FC8-92CD-587DF923EF96}" name="Column13057" dataDxfId="3328"/>
    <tableColumn id="13082" xr3:uid="{2608EB0A-79BD-43A1-A384-20E3D4A0B163}" name="Column13058" dataDxfId="3327"/>
    <tableColumn id="13083" xr3:uid="{46D622B1-821E-4796-903D-EB0103E363E4}" name="Column13059" dataDxfId="3326"/>
    <tableColumn id="13084" xr3:uid="{D2F605DA-BBCB-4656-993A-704B4E4B5F31}" name="Column13060" dataDxfId="3325"/>
    <tableColumn id="13085" xr3:uid="{19FC0BE4-BC51-480A-B89F-E93179DB2826}" name="Column13061" dataDxfId="3324"/>
    <tableColumn id="13086" xr3:uid="{DE69B190-D364-4865-B859-574DCA501F0A}" name="Column13062" dataDxfId="3323"/>
    <tableColumn id="13087" xr3:uid="{C22277A5-F5C8-4184-82C3-56BFF0DE2215}" name="Column13063" dataDxfId="3322"/>
    <tableColumn id="13088" xr3:uid="{62184406-3F87-4962-A8CD-D9B5A1AB0E34}" name="Column13064" dataDxfId="3321"/>
    <tableColumn id="13089" xr3:uid="{50A85C70-0C9E-4E6F-B1C5-76CF82CF2CE7}" name="Column13065" dataDxfId="3320"/>
    <tableColumn id="13090" xr3:uid="{BEBB6DA9-3396-418A-A7B2-ABD68D710919}" name="Column13066" dataDxfId="3319"/>
    <tableColumn id="13091" xr3:uid="{E3C2DF8F-5B40-475E-9221-827F4A541F6D}" name="Column13067" dataDxfId="3318"/>
    <tableColumn id="13092" xr3:uid="{853C26C4-8DB1-44EA-BB88-E0364C3AB39F}" name="Column13068" dataDxfId="3317"/>
    <tableColumn id="13093" xr3:uid="{C246CDA5-3F14-4729-83EF-830B9C3814DD}" name="Column13069" dataDxfId="3316"/>
    <tableColumn id="13094" xr3:uid="{AC9EB04C-686C-4E63-B1E8-CB2FA208E99F}" name="Column13070" dataDxfId="3315"/>
    <tableColumn id="13095" xr3:uid="{9BA310C5-CD66-4A5E-BE1D-B4A90C13B9A7}" name="Column13071" dataDxfId="3314"/>
    <tableColumn id="13096" xr3:uid="{4DD443B0-AB00-410B-9FF3-8D0E6C87DA74}" name="Column13072" dataDxfId="3313"/>
    <tableColumn id="13097" xr3:uid="{DE17BCCF-4EB0-44AB-9726-BAEC5AD6A364}" name="Column13073" dataDxfId="3312"/>
    <tableColumn id="13098" xr3:uid="{8CF3FF72-AA60-42D4-9D34-766304916200}" name="Column13074" dataDxfId="3311"/>
    <tableColumn id="13099" xr3:uid="{1788241D-AFFC-43EE-B4A8-D1446EF384CA}" name="Column13075" dataDxfId="3310"/>
    <tableColumn id="13100" xr3:uid="{6AED3F7B-E83F-4504-A928-334046726D3F}" name="Column13076" dataDxfId="3309"/>
    <tableColumn id="13101" xr3:uid="{ADCB6255-D5B3-4DE1-A006-54E96F887F4A}" name="Column13077" dataDxfId="3308"/>
    <tableColumn id="13102" xr3:uid="{3EDD2D09-A2BE-49CD-9BD9-E1051954DED8}" name="Column13078" dataDxfId="3307"/>
    <tableColumn id="13103" xr3:uid="{D63E778A-713A-41A4-A6AC-83B9176FC632}" name="Column13079" dataDxfId="3306"/>
    <tableColumn id="13104" xr3:uid="{9357A85E-9428-4F5A-838F-31CFFC010B84}" name="Column13080" dataDxfId="3305"/>
    <tableColumn id="13105" xr3:uid="{F04BE3CE-10F4-4601-9107-2E494F7CEE32}" name="Column13081" dataDxfId="3304"/>
    <tableColumn id="13106" xr3:uid="{F4FB1BA9-5989-445C-A80A-9D87C54C9D7E}" name="Column13082" dataDxfId="3303"/>
    <tableColumn id="13107" xr3:uid="{90A1C7EA-D15D-4BF4-BAFB-2FFA971293ED}" name="Column13083" dataDxfId="3302"/>
    <tableColumn id="13108" xr3:uid="{17ACA501-5306-453B-A0A7-768F6B680E1F}" name="Column13084" dataDxfId="3301"/>
    <tableColumn id="13109" xr3:uid="{1C16CA24-08D2-4EC3-A344-258A6E74890B}" name="Column13085" dataDxfId="3300"/>
    <tableColumn id="13110" xr3:uid="{1D6BE02F-3C36-4100-B07A-DCD99FD03F3C}" name="Column13086" dataDxfId="3299"/>
    <tableColumn id="13111" xr3:uid="{C3915678-477D-4613-BE6B-2103B932D519}" name="Column13087" dataDxfId="3298"/>
    <tableColumn id="13112" xr3:uid="{3A2F0AD8-11CB-446A-82D0-E9C68E3E6065}" name="Column13088" dataDxfId="3297"/>
    <tableColumn id="13113" xr3:uid="{544797E2-3961-4F68-A3CD-2E8E7F4ED245}" name="Column13089" dataDxfId="3296"/>
    <tableColumn id="13114" xr3:uid="{CDBD06AA-F3FC-4CF0-995C-4F5B4871A89F}" name="Column13090" dataDxfId="3295"/>
    <tableColumn id="13115" xr3:uid="{B8777444-A864-4E57-B166-0084CA80AC3E}" name="Column13091" dataDxfId="3294"/>
    <tableColumn id="13116" xr3:uid="{78869BA1-FD05-4BF8-92F7-B1BCD81F0F40}" name="Column13092" dataDxfId="3293"/>
    <tableColumn id="13117" xr3:uid="{1A9327E0-814D-4CF8-AF24-CC722F5F3E7E}" name="Column13093" dataDxfId="3292"/>
    <tableColumn id="13118" xr3:uid="{5AD96ED3-64E8-4478-8B99-2281B639FEC8}" name="Column13094" dataDxfId="3291"/>
    <tableColumn id="13119" xr3:uid="{C5733E44-5BB2-4F9C-A318-DCEC680E051B}" name="Column13095" dataDxfId="3290"/>
    <tableColumn id="13120" xr3:uid="{7AE358DE-EBD6-4148-9628-A7F52F9743A5}" name="Column13096" dataDxfId="3289"/>
    <tableColumn id="13121" xr3:uid="{D574582B-D550-494A-8E6F-F9953C0ABB17}" name="Column13097" dataDxfId="3288"/>
    <tableColumn id="13122" xr3:uid="{771F0CE6-D95C-4043-9D63-1DCF6A90EF54}" name="Column13098" dataDxfId="3287"/>
    <tableColumn id="13123" xr3:uid="{834154E5-2F44-40C8-8D76-8369C3FAC0ED}" name="Column13099" dataDxfId="3286"/>
    <tableColumn id="13124" xr3:uid="{224A224E-A640-4009-91C2-89A0DBC602D8}" name="Column13100" dataDxfId="3285"/>
    <tableColumn id="13125" xr3:uid="{A28C59DC-E97E-4C61-9AB2-1FB9BDA7896D}" name="Column13101" dataDxfId="3284"/>
    <tableColumn id="13126" xr3:uid="{F1B4C9C7-80AD-400D-8266-86B14F85571E}" name="Column13102" dataDxfId="3283"/>
    <tableColumn id="13127" xr3:uid="{2FA473C1-729F-4762-B937-93C56B2FD8F2}" name="Column13103" dataDxfId="3282"/>
    <tableColumn id="13128" xr3:uid="{D0062808-B455-4739-8144-5EA109E7DF54}" name="Column13104" dataDxfId="3281"/>
    <tableColumn id="13129" xr3:uid="{AF7D5AC5-AF06-49A7-9202-2098CD49AFBD}" name="Column13105" dataDxfId="3280"/>
    <tableColumn id="13130" xr3:uid="{4C31AF04-3E89-4B69-8436-9083F2414005}" name="Column13106" dataDxfId="3279"/>
    <tableColumn id="13131" xr3:uid="{1899FC10-4E16-4FA7-B013-C78413EE5812}" name="Column13107" dataDxfId="3278"/>
    <tableColumn id="13132" xr3:uid="{5AF054E4-5B2D-4565-AB5F-AF6D56C7AC3E}" name="Column13108" dataDxfId="3277"/>
    <tableColumn id="13133" xr3:uid="{FEBAED11-A72A-4123-81C5-A93F922AD750}" name="Column13109" dataDxfId="3276"/>
    <tableColumn id="13134" xr3:uid="{8BAFD139-D149-4A4B-99B0-93A8A005ECE7}" name="Column13110" dataDxfId="3275"/>
    <tableColumn id="13135" xr3:uid="{8DD96BCC-F556-4530-A6C4-50902212FFDA}" name="Column13111" dataDxfId="3274"/>
    <tableColumn id="13136" xr3:uid="{C29486DB-DB09-47EE-BF30-9BAC84ADE289}" name="Column13112" dataDxfId="3273"/>
    <tableColumn id="13137" xr3:uid="{FE4D85EE-32D3-47C7-95E2-50574A78D4D1}" name="Column13113" dataDxfId="3272"/>
    <tableColumn id="13138" xr3:uid="{D1F9A0EF-BDC9-41A0-B337-5FCFE1A9BEE4}" name="Column13114" dataDxfId="3271"/>
    <tableColumn id="13139" xr3:uid="{06967C38-EA0C-4945-AA1D-8FB35E23C66B}" name="Column13115" dataDxfId="3270"/>
    <tableColumn id="13140" xr3:uid="{5647A6BE-1D7D-40EB-AFCB-4F92B7B669DA}" name="Column13116" dataDxfId="3269"/>
    <tableColumn id="13141" xr3:uid="{C60A695F-D314-4860-9A66-2E75F4ED76F4}" name="Column13117" dataDxfId="3268"/>
    <tableColumn id="13142" xr3:uid="{D5CDE4FB-6603-4273-A4D8-6BBE55ADDD79}" name="Column13118" dataDxfId="3267"/>
    <tableColumn id="13143" xr3:uid="{8A46AAB5-9A52-4DDD-8B69-8D7E42144058}" name="Column13119" dataDxfId="3266"/>
    <tableColumn id="13144" xr3:uid="{BFAAA714-218B-4A67-AC69-E9E92742CDC8}" name="Column13120" dataDxfId="3265"/>
    <tableColumn id="13145" xr3:uid="{6BEA76DC-D12F-4D81-8133-87C10F184632}" name="Column13121" dataDxfId="3264"/>
    <tableColumn id="13146" xr3:uid="{20B20D22-1BD7-4A7A-A541-935F99DA21D3}" name="Column13122" dataDxfId="3263"/>
    <tableColumn id="13147" xr3:uid="{83D6DAC7-5661-4FA6-9533-4F7CD9ADDD69}" name="Column13123" dataDxfId="3262"/>
    <tableColumn id="13148" xr3:uid="{39BF9C22-BB02-48E5-868D-59677A07A562}" name="Column13124" dataDxfId="3261"/>
    <tableColumn id="13149" xr3:uid="{A65A1014-3C48-4BA2-9257-DE9F0BC9102E}" name="Column13125" dataDxfId="3260"/>
    <tableColumn id="13150" xr3:uid="{2BC2D592-1DEE-4317-820E-4D8CAD991FFD}" name="Column13126" dataDxfId="3259"/>
    <tableColumn id="13151" xr3:uid="{05233552-F407-4C9A-AB3E-F94D6F1645FF}" name="Column13127" dataDxfId="3258"/>
    <tableColumn id="13152" xr3:uid="{8265089A-1C27-4274-9BA7-2778E57F956C}" name="Column13128" dataDxfId="3257"/>
    <tableColumn id="13153" xr3:uid="{FCE3DDF4-0B72-4D24-A95C-8631EA839326}" name="Column13129" dataDxfId="3256"/>
    <tableColumn id="13154" xr3:uid="{EA4967CD-A440-4E2A-B178-96C0A3B7C233}" name="Column13130" dataDxfId="3255"/>
    <tableColumn id="13155" xr3:uid="{F62BFEED-37EB-470E-8946-434066F8E9F9}" name="Column13131" dataDxfId="3254"/>
    <tableColumn id="13156" xr3:uid="{66E978C2-4533-4254-9A04-B739F98D1E2B}" name="Column13132" dataDxfId="3253"/>
    <tableColumn id="13157" xr3:uid="{3C26C1FD-3F26-41EB-87D7-46BE1EE5A80A}" name="Column13133" dataDxfId="3252"/>
    <tableColumn id="13158" xr3:uid="{29071686-57ED-42CC-8923-1867F85667AD}" name="Column13134" dataDxfId="3251"/>
    <tableColumn id="13159" xr3:uid="{3395C430-06D7-436E-BA09-55CC0DFB7A48}" name="Column13135" dataDxfId="3250"/>
    <tableColumn id="13160" xr3:uid="{99B16A63-4291-4694-8083-8ED2AC5785DB}" name="Column13136" dataDxfId="3249"/>
    <tableColumn id="13161" xr3:uid="{B21E8A84-4B78-4777-A5E6-692A454D8D9E}" name="Column13137" dataDxfId="3248"/>
    <tableColumn id="13162" xr3:uid="{4B924829-3886-4582-BAEF-C9DFFB96E433}" name="Column13138" dataDxfId="3247"/>
    <tableColumn id="13163" xr3:uid="{F839EF05-60F9-45DB-812C-AE10136A1FCB}" name="Column13139" dataDxfId="3246"/>
    <tableColumn id="13164" xr3:uid="{0F4CBCCC-C8EE-48F7-9797-EBF564C0929D}" name="Column13140" dataDxfId="3245"/>
    <tableColumn id="13165" xr3:uid="{2BAA46FC-F887-40EB-A4A6-825F137E0212}" name="Column13141" dataDxfId="3244"/>
    <tableColumn id="13166" xr3:uid="{B70F3793-7C62-4729-AA50-0065305173BD}" name="Column13142" dataDxfId="3243"/>
    <tableColumn id="13167" xr3:uid="{EEBACB5E-2AB3-4FB4-9CB2-D1277C4A94B0}" name="Column13143" dataDxfId="3242"/>
    <tableColumn id="13168" xr3:uid="{7C5B8147-03D9-4F53-8998-D894A6618308}" name="Column13144" dataDxfId="3241"/>
    <tableColumn id="13169" xr3:uid="{2270EAC2-A612-4452-9DE8-6EA5FE3E06E2}" name="Column13145" dataDxfId="3240"/>
    <tableColumn id="13170" xr3:uid="{A71349CF-B5AC-4344-A934-F60B63DB3785}" name="Column13146" dataDxfId="3239"/>
    <tableColumn id="13171" xr3:uid="{60C0F8CA-7FA8-4F40-A7D4-C58F250B173C}" name="Column13147" dataDxfId="3238"/>
    <tableColumn id="13172" xr3:uid="{35BD5AFE-B1E0-40E4-B2E8-7009EB859760}" name="Column13148" dataDxfId="3237"/>
    <tableColumn id="13173" xr3:uid="{7D2AA73D-AB95-4680-B35F-979570148850}" name="Column13149" dataDxfId="3236"/>
    <tableColumn id="13174" xr3:uid="{6D5DB8C1-39C8-4010-8EB9-76D714BC7C6B}" name="Column13150" dataDxfId="3235"/>
    <tableColumn id="13175" xr3:uid="{C90803C5-8D0F-483B-893E-6FD40D98892B}" name="Column13151" dataDxfId="3234"/>
    <tableColumn id="13176" xr3:uid="{6A2CA5A7-4E77-4133-82A6-5000F6EA5C8D}" name="Column13152" dataDxfId="3233"/>
    <tableColumn id="13177" xr3:uid="{76986434-E23A-47FC-93A9-4D2697CB5E40}" name="Column13153" dataDxfId="3232"/>
    <tableColumn id="13178" xr3:uid="{2871331D-6CAF-4419-9FD0-FF8C76EEDFC1}" name="Column13154" dataDxfId="3231"/>
    <tableColumn id="13179" xr3:uid="{B8346675-B818-404F-8ABC-9571FD3EEBFA}" name="Column13155" dataDxfId="3230"/>
    <tableColumn id="13180" xr3:uid="{A424819E-756D-40B3-867E-6EB9D72550F0}" name="Column13156" dataDxfId="3229"/>
    <tableColumn id="13181" xr3:uid="{D0E3E7E8-520D-4441-BC00-6900E4C43B42}" name="Column13157" dataDxfId="3228"/>
    <tableColumn id="13182" xr3:uid="{AF9C60E8-3070-4A4F-A7C1-5EABC444B38D}" name="Column13158" dataDxfId="3227"/>
    <tableColumn id="13183" xr3:uid="{33EAFD23-E645-4334-ABDD-4DB710C2F1ED}" name="Column13159" dataDxfId="3226"/>
    <tableColumn id="13184" xr3:uid="{D04C8B09-FF64-4E42-8F9C-9F1A728EDA5E}" name="Column13160" dataDxfId="3225"/>
    <tableColumn id="13185" xr3:uid="{97B2CF9B-13F4-4F14-8F1C-307B3561A753}" name="Column13161" dataDxfId="3224"/>
    <tableColumn id="13186" xr3:uid="{6899E1D9-A726-48A1-A5E9-2C31EFB8DB49}" name="Column13162" dataDxfId="3223"/>
    <tableColumn id="13187" xr3:uid="{32D37556-CC4E-42F3-9463-1A5CBCB84B77}" name="Column13163" dataDxfId="3222"/>
    <tableColumn id="13188" xr3:uid="{23698BE8-9C73-4D27-A3C7-C9D5699B6920}" name="Column13164" dataDxfId="3221"/>
    <tableColumn id="13189" xr3:uid="{15344C4C-59EC-4FF5-98E8-202C76979C58}" name="Column13165" dataDxfId="3220"/>
    <tableColumn id="13190" xr3:uid="{83CBDE1E-2B3E-4ED5-ADB3-10A91A0BA6D3}" name="Column13166" dataDxfId="3219"/>
    <tableColumn id="13191" xr3:uid="{DA07D028-6B93-4855-B6E5-1A505C00EE91}" name="Column13167" dataDxfId="3218"/>
    <tableColumn id="13192" xr3:uid="{253FB9AC-0CA8-4284-8A16-A22852A36CEE}" name="Column13168" dataDxfId="3217"/>
    <tableColumn id="13193" xr3:uid="{C9AB80C4-6AD5-4007-94A9-A5466996F0A9}" name="Column13169" dataDxfId="3216"/>
    <tableColumn id="13194" xr3:uid="{E66AFACF-D97E-46CB-BC75-F7B92CC69650}" name="Column13170" dataDxfId="3215"/>
    <tableColumn id="13195" xr3:uid="{901A1D46-E459-4C18-8F69-569A54903819}" name="Column13171" dataDxfId="3214"/>
    <tableColumn id="13196" xr3:uid="{9FD0B189-1C5B-49D7-B293-2524750DD2C3}" name="Column13172" dataDxfId="3213"/>
    <tableColumn id="13197" xr3:uid="{2020F201-3D4F-48E8-AA2D-07A34E904D5E}" name="Column13173" dataDxfId="3212"/>
    <tableColumn id="13198" xr3:uid="{09B55005-0C50-4325-823E-B5C577621978}" name="Column13174" dataDxfId="3211"/>
    <tableColumn id="13199" xr3:uid="{D4105943-8591-4C74-AF08-C617C92369C7}" name="Column13175" dataDxfId="3210"/>
    <tableColumn id="13200" xr3:uid="{A0E01384-E906-4E0E-9797-78B41DC561E4}" name="Column13176" dataDxfId="3209"/>
    <tableColumn id="13201" xr3:uid="{8DCFF66D-B032-4270-B4F6-197529C7D879}" name="Column13177" dataDxfId="3208"/>
    <tableColumn id="13202" xr3:uid="{A3D04DF4-114D-4B04-AA57-0AB8B4A5213A}" name="Column13178" dataDxfId="3207"/>
    <tableColumn id="13203" xr3:uid="{973F7544-9704-478A-9BAA-2809E4B5E7BF}" name="Column13179" dataDxfId="3206"/>
    <tableColumn id="13204" xr3:uid="{1ADA0DDC-1E6C-449C-B71A-0C2EF8E83A6C}" name="Column13180" dataDxfId="3205"/>
    <tableColumn id="13205" xr3:uid="{06AF22C9-F0A0-4CB4-BE49-0E931D795000}" name="Column13181" dataDxfId="3204"/>
    <tableColumn id="13206" xr3:uid="{37C3503E-E443-4226-A5CA-B0806F1E34D2}" name="Column13182" dataDxfId="3203"/>
    <tableColumn id="13207" xr3:uid="{68F150F4-9597-4B1A-A67A-BB7EB646639F}" name="Column13183" dataDxfId="3202"/>
    <tableColumn id="13208" xr3:uid="{0EBE0A02-E9DB-47DD-8C6F-A8979572AECE}" name="Column13184" dataDxfId="3201"/>
    <tableColumn id="13209" xr3:uid="{2EB32427-7239-48BB-96D2-CA0480E481ED}" name="Column13185" dataDxfId="3200"/>
    <tableColumn id="13210" xr3:uid="{3516B082-26CB-4146-83B9-24766DC68F99}" name="Column13186" dataDxfId="3199"/>
    <tableColumn id="13211" xr3:uid="{B0A2EF12-6333-4F58-A378-4102B3B8ADE2}" name="Column13187" dataDxfId="3198"/>
    <tableColumn id="13212" xr3:uid="{3A4E3DCC-1B3D-4311-9F87-7454BCB36CB0}" name="Column13188" dataDxfId="3197"/>
    <tableColumn id="13213" xr3:uid="{EB72A921-A8C2-48B5-90AF-333365FD3583}" name="Column13189" dataDxfId="3196"/>
    <tableColumn id="13214" xr3:uid="{1C52354E-C84C-441D-823C-F464403CDCFF}" name="Column13190" dataDxfId="3195"/>
    <tableColumn id="13215" xr3:uid="{8725CBDA-C710-4D2C-A2B0-7CF8DC7962E3}" name="Column13191" dataDxfId="3194"/>
    <tableColumn id="13216" xr3:uid="{E676860E-76F3-469B-82A3-C6837E913746}" name="Column13192" dataDxfId="3193"/>
    <tableColumn id="13217" xr3:uid="{B46E1427-E9E8-4A4F-93DC-EAFD161B43F8}" name="Column13193" dataDxfId="3192"/>
    <tableColumn id="13218" xr3:uid="{45B03E31-D98B-4C07-A102-B526D678882C}" name="Column13194" dataDxfId="3191"/>
    <tableColumn id="13219" xr3:uid="{BDFA75A9-E589-4DF7-B9E1-B799183EB35A}" name="Column13195" dataDxfId="3190"/>
    <tableColumn id="13220" xr3:uid="{CC35857F-5E29-4B88-A68C-76159B5DD528}" name="Column13196" dataDxfId="3189"/>
    <tableColumn id="13221" xr3:uid="{12135329-96EA-418D-8B50-E6002E74A1C1}" name="Column13197" dataDxfId="3188"/>
    <tableColumn id="13222" xr3:uid="{1F0101E5-6E59-453D-9863-F23B3DD0AB44}" name="Column13198" dataDxfId="3187"/>
    <tableColumn id="13223" xr3:uid="{AA7380F5-B677-4A98-8A5D-1BEEC83977EB}" name="Column13199" dataDxfId="3186"/>
    <tableColumn id="13224" xr3:uid="{32063CCB-6E36-4753-B722-8302F54237F7}" name="Column13200" dataDxfId="3185"/>
    <tableColumn id="13225" xr3:uid="{B7F454EF-4BA9-4FFD-9F90-0CFBD139DC12}" name="Column13201" dataDxfId="3184"/>
    <tableColumn id="13226" xr3:uid="{15CD348D-8A79-42F0-9B5D-8F61FA0A44A8}" name="Column13202" dataDxfId="3183"/>
    <tableColumn id="13227" xr3:uid="{5CB56EA4-FDC5-432C-8C13-95ECE4BD272E}" name="Column13203" dataDxfId="3182"/>
    <tableColumn id="13228" xr3:uid="{399EC753-2DE8-4897-9749-4088243A5D04}" name="Column13204" dataDxfId="3181"/>
    <tableColumn id="13229" xr3:uid="{E787B97F-6083-42D2-AA5F-60B377AB993A}" name="Column13205" dataDxfId="3180"/>
    <tableColumn id="13230" xr3:uid="{213F95BB-B0F3-4F81-80D5-121F4A9F1A76}" name="Column13206" dataDxfId="3179"/>
    <tableColumn id="13231" xr3:uid="{2133744A-98D6-42C1-B3A2-8219615FD5FF}" name="Column13207" dataDxfId="3178"/>
    <tableColumn id="13232" xr3:uid="{E635E8A0-9F3B-473F-9017-343933CDE678}" name="Column13208" dataDxfId="3177"/>
    <tableColumn id="13233" xr3:uid="{5E531484-CE04-40EA-9FBB-4FC883B025CE}" name="Column13209" dataDxfId="3176"/>
    <tableColumn id="13234" xr3:uid="{5320E571-BCCB-4B4E-B896-BC401FFBE3C9}" name="Column13210" dataDxfId="3175"/>
    <tableColumn id="13235" xr3:uid="{EDB47E46-B1FA-4DF7-8329-649EF65CF536}" name="Column13211" dataDxfId="3174"/>
    <tableColumn id="13236" xr3:uid="{2C1FA459-6F9D-4F74-8E45-A74E11D30862}" name="Column13212" dataDxfId="3173"/>
    <tableColumn id="13237" xr3:uid="{272D8ABC-1414-45D5-8603-C54D01D802DA}" name="Column13213" dataDxfId="3172"/>
    <tableColumn id="13238" xr3:uid="{B2524781-B475-4095-B3A3-8511BA76BF05}" name="Column13214" dataDxfId="3171"/>
    <tableColumn id="13239" xr3:uid="{58E5B0E7-A81D-410A-B472-7F8088F94762}" name="Column13215" dataDxfId="3170"/>
    <tableColumn id="13240" xr3:uid="{6BF6A1CA-CDE3-4B9E-A5F0-0B1A3E74F8D5}" name="Column13216" dataDxfId="3169"/>
    <tableColumn id="13241" xr3:uid="{EF103346-7ACA-45BC-B428-8CBA2CDAB7BE}" name="Column13217" dataDxfId="3168"/>
    <tableColumn id="13242" xr3:uid="{5AFA3E5D-415C-4D50-B00A-1F624E866D36}" name="Column13218" dataDxfId="3167"/>
    <tableColumn id="13243" xr3:uid="{FA6CE4DF-84BC-46D8-9F7E-E8F1A854EFB8}" name="Column13219" dataDxfId="3166"/>
    <tableColumn id="13244" xr3:uid="{475C52E3-85C9-4A15-8F4E-8EEDF02990AA}" name="Column13220" dataDxfId="3165"/>
    <tableColumn id="13245" xr3:uid="{35A0B0C6-8B98-46C2-ABDD-84644444DAAA}" name="Column13221" dataDxfId="3164"/>
    <tableColumn id="13246" xr3:uid="{A54E24C4-8987-4FEA-B3D9-EEE4DF4844DC}" name="Column13222" dataDxfId="3163"/>
    <tableColumn id="13247" xr3:uid="{7D5614DB-292D-4FA6-8534-2E248B80627C}" name="Column13223" dataDxfId="3162"/>
    <tableColumn id="13248" xr3:uid="{1B39CB90-202B-480C-883C-410758A29AE6}" name="Column13224" dataDxfId="3161"/>
    <tableColumn id="13249" xr3:uid="{830C2E1C-5800-4A5C-9959-F50987F133C9}" name="Column13225" dataDxfId="3160"/>
    <tableColumn id="13250" xr3:uid="{C9D2BB60-BF1C-4F72-A9BB-1265FAD5633C}" name="Column13226" dataDxfId="3159"/>
    <tableColumn id="13251" xr3:uid="{D1FABD1D-45ED-4867-9216-C8DF6AA9F7FD}" name="Column13227" dataDxfId="3158"/>
    <tableColumn id="13252" xr3:uid="{0A4C202E-220B-4CF3-897B-F73F2DF27FFE}" name="Column13228" dataDxfId="3157"/>
    <tableColumn id="13253" xr3:uid="{98DE1D55-FCA2-4581-85F4-C228C6A758BE}" name="Column13229" dataDxfId="3156"/>
    <tableColumn id="13254" xr3:uid="{0E5E8D71-0F91-4D62-9362-0A5A922FB69E}" name="Column13230" dataDxfId="3155"/>
    <tableColumn id="13255" xr3:uid="{7E7F4AF6-C3F9-4B0A-8795-E6D12F6691A3}" name="Column13231" dataDxfId="3154"/>
    <tableColumn id="13256" xr3:uid="{B27105F7-A619-4C0B-A52C-113B88AFF967}" name="Column13232" dataDxfId="3153"/>
    <tableColumn id="13257" xr3:uid="{00891B40-92AE-4474-BB18-F32D027F367E}" name="Column13233" dataDxfId="3152"/>
    <tableColumn id="13258" xr3:uid="{F2E75D88-38BE-4938-8A12-19F23AB3D0F3}" name="Column13234" dataDxfId="3151"/>
    <tableColumn id="13259" xr3:uid="{EDFE446F-DDF6-47E0-A35B-81C79E29A497}" name="Column13235" dataDxfId="3150"/>
    <tableColumn id="13260" xr3:uid="{1129D3A5-ACF7-4B99-A13B-E9310A6BEDBA}" name="Column13236" dataDxfId="3149"/>
    <tableColumn id="13261" xr3:uid="{31F7A985-A08D-4370-9BA8-D8C2FFB38BB3}" name="Column13237" dataDxfId="3148"/>
    <tableColumn id="13262" xr3:uid="{E1D43369-ABBE-4419-99C4-F4395D98A61F}" name="Column13238" dataDxfId="3147"/>
    <tableColumn id="13263" xr3:uid="{109F4208-8F7A-4416-83A4-D30F8E578AF1}" name="Column13239" dataDxfId="3146"/>
    <tableColumn id="13264" xr3:uid="{30CA82F9-D538-4E23-AF3F-1F4DE9909ABF}" name="Column13240" dataDxfId="3145"/>
    <tableColumn id="13265" xr3:uid="{76BE0D1A-A235-40D9-9D90-D1548A861551}" name="Column13241" dataDxfId="3144"/>
    <tableColumn id="13266" xr3:uid="{D0CA1629-4F19-4106-844D-EFE44ABB3DC0}" name="Column13242" dataDxfId="3143"/>
    <tableColumn id="13267" xr3:uid="{A6172CDB-8AEF-4346-B3C1-871EA2B3AEB0}" name="Column13243" dataDxfId="3142"/>
    <tableColumn id="13268" xr3:uid="{DB41D61F-0471-4591-A5ED-66BE51681BC3}" name="Column13244" dataDxfId="3141"/>
    <tableColumn id="13269" xr3:uid="{2D3D5B3A-3AB8-4DA1-9A1B-0178BA366B6B}" name="Column13245" dataDxfId="3140"/>
    <tableColumn id="13270" xr3:uid="{3DF12094-20FA-4654-A5BE-5100535A4170}" name="Column13246" dataDxfId="3139"/>
    <tableColumn id="13271" xr3:uid="{F1412988-EA40-4368-98A9-BBB5CA227C56}" name="Column13247" dataDxfId="3138"/>
    <tableColumn id="13272" xr3:uid="{8BC517FB-73F9-4C88-8816-B2340B8C27BF}" name="Column13248" dataDxfId="3137"/>
    <tableColumn id="13273" xr3:uid="{06C17669-80F5-4E5D-BAB0-D7FC2F2DDCE3}" name="Column13249" dataDxfId="3136"/>
    <tableColumn id="13274" xr3:uid="{B610DC74-9065-49A6-856C-301C3929953E}" name="Column13250" dataDxfId="3135"/>
    <tableColumn id="13275" xr3:uid="{C976FA4A-5AE3-45FA-BBA5-FBC2DE498864}" name="Column13251" dataDxfId="3134"/>
    <tableColumn id="13276" xr3:uid="{5C21B1E2-D426-49A8-A2D5-DFD0B6B94A78}" name="Column13252" dataDxfId="3133"/>
    <tableColumn id="13277" xr3:uid="{7D427520-14EB-4C01-AAB9-4951114A9EFF}" name="Column13253" dataDxfId="3132"/>
    <tableColumn id="13278" xr3:uid="{722FC045-0084-4A3E-8321-4BE68218F7B2}" name="Column13254" dataDxfId="3131"/>
    <tableColumn id="13279" xr3:uid="{DC8E5F6E-8976-4F0B-9CB6-5150C5C81C6A}" name="Column13255" dataDxfId="3130"/>
    <tableColumn id="13280" xr3:uid="{90128966-3F08-4B1A-8379-B5BD196D8CF8}" name="Column13256" dataDxfId="3129"/>
    <tableColumn id="13281" xr3:uid="{FAB2E80C-25BF-4E05-837D-F77CDFDB96B9}" name="Column13257" dataDxfId="3128"/>
    <tableColumn id="13282" xr3:uid="{DB8CDEDE-E733-4A34-BBBD-0377734F14B5}" name="Column13258" dataDxfId="3127"/>
    <tableColumn id="13283" xr3:uid="{717FDCE1-E28E-489E-8A5E-40026BF2CFF3}" name="Column13259" dataDxfId="3126"/>
    <tableColumn id="13284" xr3:uid="{736974ED-5764-4E5F-8011-473D2355815C}" name="Column13260" dataDxfId="3125"/>
    <tableColumn id="13285" xr3:uid="{1AC47042-6DA6-43A3-A264-A494610A395C}" name="Column13261" dataDxfId="3124"/>
    <tableColumn id="13286" xr3:uid="{A46716A2-D66C-4E5A-98DE-E6EABC850023}" name="Column13262" dataDxfId="3123"/>
    <tableColumn id="13287" xr3:uid="{19573876-6ECF-43A3-ABE8-26F9DF0A7369}" name="Column13263" dataDxfId="3122"/>
    <tableColumn id="13288" xr3:uid="{F18277CB-9F60-4248-964F-E8FE7B3F81FA}" name="Column13264" dataDxfId="3121"/>
    <tableColumn id="13289" xr3:uid="{FB7F10CF-928E-4E4D-864A-25FEBEFC633F}" name="Column13265" dataDxfId="3120"/>
    <tableColumn id="13290" xr3:uid="{D44A3291-5912-4E98-AC48-B05ACF05ADAB}" name="Column13266" dataDxfId="3119"/>
    <tableColumn id="13291" xr3:uid="{4411A7AB-5F55-4D5F-BC3E-F5AABCBAE92D}" name="Column13267" dataDxfId="3118"/>
    <tableColumn id="13292" xr3:uid="{4F8F1D32-2F18-4853-8A97-20E36C4A7306}" name="Column13268" dataDxfId="3117"/>
    <tableColumn id="13293" xr3:uid="{E04F610B-CD9C-49E2-86F9-8BAF97A95628}" name="Column13269" dataDxfId="3116"/>
    <tableColumn id="13294" xr3:uid="{11025809-71C8-43B0-A651-BFFACD912F5E}" name="Column13270" dataDxfId="3115"/>
    <tableColumn id="13295" xr3:uid="{B75ACC6B-0E55-4383-836E-EC3618305717}" name="Column13271" dataDxfId="3114"/>
    <tableColumn id="13296" xr3:uid="{2FB4731C-44F2-4DFD-9E72-F4609F7B8A65}" name="Column13272" dataDxfId="3113"/>
    <tableColumn id="13297" xr3:uid="{7FF8F5D4-7EE4-4F80-B9F2-B6FBC3868B41}" name="Column13273" dataDxfId="3112"/>
    <tableColumn id="13298" xr3:uid="{AF1C8818-9A13-4A71-ACB0-5536EE879F30}" name="Column13274" dataDxfId="3111"/>
    <tableColumn id="13299" xr3:uid="{DDE79F49-EA19-4174-AFF3-B277852A8FBC}" name="Column13275" dataDxfId="3110"/>
    <tableColumn id="13300" xr3:uid="{D538998C-9469-46BF-9784-2669406CAB22}" name="Column13276" dataDxfId="3109"/>
    <tableColumn id="13301" xr3:uid="{A0E8C406-71D6-4349-9182-CB6CB8BD43CF}" name="Column13277" dataDxfId="3108"/>
    <tableColumn id="13302" xr3:uid="{EF8CF4B6-5C69-4444-BBC2-6B46D0A271B2}" name="Column13278" dataDxfId="3107"/>
    <tableColumn id="13303" xr3:uid="{38E264AA-8A1D-4C69-BBF8-F289758C9AA3}" name="Column13279" dataDxfId="3106"/>
    <tableColumn id="13304" xr3:uid="{C0BD36A7-D84D-4E86-8508-9A61CE37ADA6}" name="Column13280" dataDxfId="3105"/>
    <tableColumn id="13305" xr3:uid="{578BBC93-4482-4EE3-AF4F-88FC80F25741}" name="Column13281" dataDxfId="3104"/>
    <tableColumn id="13306" xr3:uid="{846CC037-3822-4E98-9133-AC14542C4F04}" name="Column13282" dataDxfId="3103"/>
    <tableColumn id="13307" xr3:uid="{13F0588B-092B-4D0E-BFF9-1BF4580CB450}" name="Column13283" dataDxfId="3102"/>
    <tableColumn id="13308" xr3:uid="{296FA8C5-AC73-49FE-A8EE-1AD87C1BC476}" name="Column13284" dataDxfId="3101"/>
    <tableColumn id="13309" xr3:uid="{3186E399-2459-41A1-B4BA-3076BD84CB79}" name="Column13285" dataDxfId="3100"/>
    <tableColumn id="13310" xr3:uid="{F916B7E2-8616-4001-A2F3-7ABC2F0D9D08}" name="Column13286" dataDxfId="3099"/>
    <tableColumn id="13311" xr3:uid="{C4BE6747-2E94-4238-BA53-B3BC87A48F07}" name="Column13287" dataDxfId="3098"/>
    <tableColumn id="13312" xr3:uid="{C9D17E82-A4CA-49F3-BFE5-8FD8D9D9FF3C}" name="Column13288" dataDxfId="3097"/>
    <tableColumn id="13313" xr3:uid="{1548AD90-DD05-4DBC-92AC-70CEE3270349}" name="Column13289" dataDxfId="3096"/>
    <tableColumn id="13314" xr3:uid="{C8956835-61DD-44A4-A1F4-9B908C3B61E7}" name="Column13290" dataDxfId="3095"/>
    <tableColumn id="13315" xr3:uid="{45DEC7BF-7FBB-4BDE-B3D5-C4124778BF72}" name="Column13291" dataDxfId="3094"/>
    <tableColumn id="13316" xr3:uid="{FBB0570F-051A-4D7E-80E9-030C004807F3}" name="Column13292" dataDxfId="3093"/>
    <tableColumn id="13317" xr3:uid="{467CFB53-62E9-4DE6-937C-AFDFA5BEBDB1}" name="Column13293" dataDxfId="3092"/>
    <tableColumn id="13318" xr3:uid="{FF34DF6E-BE6C-4222-B1A9-CB6F547D6422}" name="Column13294" dataDxfId="3091"/>
    <tableColumn id="13319" xr3:uid="{7C75C6DD-F117-4E3C-A297-521B8EBF0400}" name="Column13295" dataDxfId="3090"/>
    <tableColumn id="13320" xr3:uid="{91A17A82-8430-4A30-AB9C-B461810EF377}" name="Column13296" dataDxfId="3089"/>
    <tableColumn id="13321" xr3:uid="{402E378C-6899-49C7-B8EA-7E29D00E9B43}" name="Column13297" dataDxfId="3088"/>
    <tableColumn id="13322" xr3:uid="{379195A3-CACF-4C33-8CF4-207DE8ED40A9}" name="Column13298" dataDxfId="3087"/>
    <tableColumn id="13323" xr3:uid="{95B1EC5B-AE40-4286-A687-871F080772CD}" name="Column13299" dataDxfId="3086"/>
    <tableColumn id="13324" xr3:uid="{D4FD952B-9555-4256-BD28-C12BA2655923}" name="Column13300" dataDxfId="3085"/>
    <tableColumn id="13325" xr3:uid="{01105D77-FB80-462C-B01D-DB5AAD8687C2}" name="Column13301" dataDxfId="3084"/>
    <tableColumn id="13326" xr3:uid="{2F6C4A4A-BC4B-40C1-ADC5-94E725823D7D}" name="Column13302" dataDxfId="3083"/>
    <tableColumn id="13327" xr3:uid="{8F9350EC-9A12-4272-95A6-333A83442C8D}" name="Column13303" dataDxfId="3082"/>
    <tableColumn id="13328" xr3:uid="{4268C141-C979-48D2-B04B-AE1A19C15CA1}" name="Column13304" dataDxfId="3081"/>
    <tableColumn id="13329" xr3:uid="{08BA6F9C-E723-46D4-9EBA-2A018D8FAFAE}" name="Column13305" dataDxfId="3080"/>
    <tableColumn id="13330" xr3:uid="{5AF0A8E8-229F-4EF0-A34D-45640854FADD}" name="Column13306" dataDxfId="3079"/>
    <tableColumn id="13331" xr3:uid="{0F42E26A-D324-4188-8D8D-4BFF6545989A}" name="Column13307" dataDxfId="3078"/>
    <tableColumn id="13332" xr3:uid="{DCE7A0E1-F464-455C-8D32-59561310F133}" name="Column13308" dataDxfId="3077"/>
    <tableColumn id="13333" xr3:uid="{F7D68F6E-19C2-422E-BF7C-2CC7EDD04E4A}" name="Column13309" dataDxfId="3076"/>
    <tableColumn id="13334" xr3:uid="{2BE8AC3F-F454-44CE-A4D6-1C3C1263EEDF}" name="Column13310" dataDxfId="3075"/>
    <tableColumn id="13335" xr3:uid="{74687761-E95A-407B-90CF-0EEBC10B0C06}" name="Column13311" dataDxfId="3074"/>
    <tableColumn id="13336" xr3:uid="{266D8413-4360-4BE6-80F9-6399BF8D3589}" name="Column13312" dataDxfId="3073"/>
    <tableColumn id="13337" xr3:uid="{9060008A-274E-4FF9-BF6F-E839308AB7EE}" name="Column13313" dataDxfId="3072"/>
    <tableColumn id="13338" xr3:uid="{4F053696-E0CC-4750-8DFB-D5AD22215D5B}" name="Column13314" dataDxfId="3071"/>
    <tableColumn id="13339" xr3:uid="{4C1FEAE3-5174-4C99-97CC-4C8F93632C35}" name="Column13315" dataDxfId="3070"/>
    <tableColumn id="13340" xr3:uid="{D029E242-888A-4C08-A3ED-8F0E117EC802}" name="Column13316" dataDxfId="3069"/>
    <tableColumn id="13341" xr3:uid="{EADB49F4-E863-440D-AC28-9DEA7A9209C2}" name="Column13317" dataDxfId="3068"/>
    <tableColumn id="13342" xr3:uid="{2908E595-A96E-4C04-9706-951BC9C55E32}" name="Column13318" dataDxfId="3067"/>
    <tableColumn id="13343" xr3:uid="{EB0E137B-0F02-40CB-96AD-1CF7CF2AF3A4}" name="Column13319" dataDxfId="3066"/>
    <tableColumn id="13344" xr3:uid="{96F192D5-4DD6-4456-8629-D31333BDC964}" name="Column13320" dataDxfId="3065"/>
    <tableColumn id="13345" xr3:uid="{4A2687A2-615F-40F3-8DB4-84B87642D53B}" name="Column13321" dataDxfId="3064"/>
    <tableColumn id="13346" xr3:uid="{5109D43B-C29F-496C-88CC-421745514176}" name="Column13322" dataDxfId="3063"/>
    <tableColumn id="13347" xr3:uid="{84AD1BB2-1EFA-4843-8382-E95D4E7FA554}" name="Column13323" dataDxfId="3062"/>
    <tableColumn id="13348" xr3:uid="{A2E1A10E-99E6-4339-B6D1-795044DAE25F}" name="Column13324" dataDxfId="3061"/>
    <tableColumn id="13349" xr3:uid="{C681D039-0374-4851-A959-558987132646}" name="Column13325" dataDxfId="3060"/>
    <tableColumn id="13350" xr3:uid="{B419C684-4B79-4789-B92A-A37C71F01BA6}" name="Column13326" dataDxfId="3059"/>
    <tableColumn id="13351" xr3:uid="{3DB8A443-1A17-40DA-B4C6-FD0DC9B3A387}" name="Column13327" dataDxfId="3058"/>
    <tableColumn id="13352" xr3:uid="{294D409C-4375-451C-8104-98F1F1AC8921}" name="Column13328" dataDxfId="3057"/>
    <tableColumn id="13353" xr3:uid="{96FA64AA-1AB8-4B79-8385-B9BD2C7F2237}" name="Column13329" dataDxfId="3056"/>
    <tableColumn id="13354" xr3:uid="{FA101705-FEE9-49A7-8F9E-BA0B74D6379B}" name="Column13330" dataDxfId="3055"/>
    <tableColumn id="13355" xr3:uid="{FE882B3B-2FAF-4BC8-98BB-8CB9D3AFEF8B}" name="Column13331" dataDxfId="3054"/>
    <tableColumn id="13356" xr3:uid="{D2F33475-E544-4597-8D42-1699496A685A}" name="Column13332" dataDxfId="3053"/>
    <tableColumn id="13357" xr3:uid="{64611358-5871-432A-A62A-89A13DB814D8}" name="Column13333" dataDxfId="3052"/>
    <tableColumn id="13358" xr3:uid="{C425D9E2-5B29-4B2A-B5C7-F6AE331A406C}" name="Column13334" dataDxfId="3051"/>
    <tableColumn id="13359" xr3:uid="{3B5D7A56-554E-4B30-AC93-892ACC283ACA}" name="Column13335" dataDxfId="3050"/>
    <tableColumn id="13360" xr3:uid="{458D541C-1C34-42F0-B40F-80AE9FF48712}" name="Column13336" dataDxfId="3049"/>
    <tableColumn id="13361" xr3:uid="{4E343AED-8981-4AE4-A22B-6BE292573E5D}" name="Column13337" dataDxfId="3048"/>
    <tableColumn id="13362" xr3:uid="{E2842D71-B37F-4A69-9088-3135D0823B1C}" name="Column13338" dataDxfId="3047"/>
    <tableColumn id="13363" xr3:uid="{E318E95F-2C3A-4A65-9E80-4695750B2B83}" name="Column13339" dataDxfId="3046"/>
    <tableColumn id="13364" xr3:uid="{729CD309-4C7D-4DDD-A76A-A99BBE02493F}" name="Column13340" dataDxfId="3045"/>
    <tableColumn id="13365" xr3:uid="{8D7E6A74-869A-4DD4-8C9B-9DB551321E49}" name="Column13341" dataDxfId="3044"/>
    <tableColumn id="13366" xr3:uid="{BA46A2F4-B3A5-43BB-9538-71C91B6F5570}" name="Column13342" dataDxfId="3043"/>
    <tableColumn id="13367" xr3:uid="{798B168F-2B25-418D-82B4-15CA788C11CE}" name="Column13343" dataDxfId="3042"/>
    <tableColumn id="13368" xr3:uid="{9A54C694-A7A5-4342-ADE1-79E64CED16B7}" name="Column13344" dataDxfId="3041"/>
    <tableColumn id="13369" xr3:uid="{886A6308-D768-4E9C-B884-2DCDB14B16BF}" name="Column13345" dataDxfId="3040"/>
    <tableColumn id="13370" xr3:uid="{CF0F2127-1388-4A08-82C7-85BF7FD30C8F}" name="Column13346" dataDxfId="3039"/>
    <tableColumn id="13371" xr3:uid="{357CDAEB-FC96-458C-B64A-ACA0300C0337}" name="Column13347" dataDxfId="3038"/>
    <tableColumn id="13372" xr3:uid="{EBEDF682-3DF7-42F5-B4CE-FD70D8EC24B5}" name="Column13348" dataDxfId="3037"/>
    <tableColumn id="13373" xr3:uid="{E72B55D5-95C4-4B39-B121-E8A5ADFC1224}" name="Column13349" dataDxfId="3036"/>
    <tableColumn id="13374" xr3:uid="{F4A532BC-E08E-4CA1-A3B3-28A6FDF5A7E7}" name="Column13350" dataDxfId="3035"/>
    <tableColumn id="13375" xr3:uid="{24B7B318-4AA8-48FD-9AE2-CB4E1FF88A6D}" name="Column13351" dataDxfId="3034"/>
    <tableColumn id="13376" xr3:uid="{E7552F54-CE52-4AAB-90FB-8FAEF8249614}" name="Column13352" dataDxfId="3033"/>
    <tableColumn id="13377" xr3:uid="{A49B9523-6712-4524-B7A4-6973855A0F85}" name="Column13353" dataDxfId="3032"/>
    <tableColumn id="13378" xr3:uid="{99411BF3-271C-424E-9DCC-572B6BCFCCC7}" name="Column13354" dataDxfId="3031"/>
    <tableColumn id="13379" xr3:uid="{904CD9DA-7851-451D-B247-B5876FF1801E}" name="Column13355" dataDxfId="3030"/>
    <tableColumn id="13380" xr3:uid="{1B74F277-333D-4868-A269-F4BF9F949E56}" name="Column13356" dataDxfId="3029"/>
    <tableColumn id="13381" xr3:uid="{B60C2750-9B46-4A48-9D8E-9CCD502BCE01}" name="Column13357" dataDxfId="3028"/>
    <tableColumn id="13382" xr3:uid="{9F91D508-F28F-4326-92F9-CE209F270949}" name="Column13358" dataDxfId="3027"/>
    <tableColumn id="13383" xr3:uid="{BB3F81D3-931F-4CA4-95F2-15639A21153D}" name="Column13359" dataDxfId="3026"/>
    <tableColumn id="13384" xr3:uid="{63690FF4-DFD3-4799-BAD3-FA47F0580119}" name="Column13360" dataDxfId="3025"/>
    <tableColumn id="13385" xr3:uid="{D60C103A-FA33-405A-A135-FB14CE6C0AB4}" name="Column13361" dataDxfId="3024"/>
    <tableColumn id="13386" xr3:uid="{6B676788-A1BD-4683-B992-BD823C3C2CC2}" name="Column13362" dataDxfId="3023"/>
    <tableColumn id="13387" xr3:uid="{10741125-7873-4BE4-8EE5-A88DC6E7BC24}" name="Column13363" dataDxfId="3022"/>
    <tableColumn id="13388" xr3:uid="{B4798782-919E-4F2C-ACC4-8E3651FAF8F8}" name="Column13364" dataDxfId="3021"/>
    <tableColumn id="13389" xr3:uid="{A57079FB-1DAC-432D-BC58-0B8BADD04877}" name="Column13365" dataDxfId="3020"/>
    <tableColumn id="13390" xr3:uid="{28A52495-0142-4DBB-8377-BB247124E23C}" name="Column13366" dataDxfId="3019"/>
    <tableColumn id="13391" xr3:uid="{7F665609-6FA2-41F1-9F86-70231787EA85}" name="Column13367" dataDxfId="3018"/>
    <tableColumn id="13392" xr3:uid="{862229E4-7F0B-4873-827A-CA9FE1831681}" name="Column13368" dataDxfId="3017"/>
    <tableColumn id="13393" xr3:uid="{370A9247-4BE1-478C-A189-0F18EF4B1C72}" name="Column13369" dataDxfId="3016"/>
    <tableColumn id="13394" xr3:uid="{112913FF-8D62-4A44-9741-C2A20AD54A67}" name="Column13370" dataDxfId="3015"/>
    <tableColumn id="13395" xr3:uid="{8045D272-8306-4B72-B4FB-78FED02FB6E2}" name="Column13371" dataDxfId="3014"/>
    <tableColumn id="13396" xr3:uid="{652F4291-E5F2-47B1-AEFE-935D18D5F22E}" name="Column13372" dataDxfId="3013"/>
    <tableColumn id="13397" xr3:uid="{A17BAAF8-2C72-405C-BE57-295DBEB44CFE}" name="Column13373" dataDxfId="3012"/>
    <tableColumn id="13398" xr3:uid="{3CB47C59-5EF2-4650-ABAC-F3F83F23478C}" name="Column13374" dataDxfId="3011"/>
    <tableColumn id="13399" xr3:uid="{F239E926-64C6-4E14-9E35-4904E760EEB6}" name="Column13375" dataDxfId="3010"/>
    <tableColumn id="13400" xr3:uid="{65E9FFD7-F231-4D98-A558-4563E0559118}" name="Column13376" dataDxfId="3009"/>
    <tableColumn id="13401" xr3:uid="{30B6DF08-A78D-4D71-AB0B-EC09B05E2102}" name="Column13377" dataDxfId="3008"/>
    <tableColumn id="13402" xr3:uid="{8F49743B-CAF1-485A-9FC0-F60C3F02FB65}" name="Column13378" dataDxfId="3007"/>
    <tableColumn id="13403" xr3:uid="{6D65AE09-8CA9-4D14-9422-BF5B49A23E31}" name="Column13379" dataDxfId="3006"/>
    <tableColumn id="13404" xr3:uid="{2D783B61-3D66-4B63-8B32-D3A5717A6B8E}" name="Column13380" dataDxfId="3005"/>
    <tableColumn id="13405" xr3:uid="{CB61DE79-EEA3-456F-BD2F-105D74BFF06F}" name="Column13381" dataDxfId="3004"/>
    <tableColumn id="13406" xr3:uid="{47043B7A-FEC4-414F-BEC0-8A8E018B93E9}" name="Column13382" dataDxfId="3003"/>
    <tableColumn id="13407" xr3:uid="{16DAE07C-EB30-4932-9582-7399BF20B87F}" name="Column13383" dataDxfId="3002"/>
    <tableColumn id="13408" xr3:uid="{AAD41D24-F619-4C2C-976D-E4E4F05B7447}" name="Column13384" dataDxfId="3001"/>
    <tableColumn id="13409" xr3:uid="{1D864911-2372-42CF-9F96-D5F17DEAEA81}" name="Column13385" dataDxfId="3000"/>
    <tableColumn id="13410" xr3:uid="{D76DCEBD-BEE7-41F5-A914-BD9F1C60B60D}" name="Column13386" dataDxfId="2999"/>
    <tableColumn id="13411" xr3:uid="{C65506BF-22F3-40A4-9563-63A5AC6703F5}" name="Column13387" dataDxfId="2998"/>
    <tableColumn id="13412" xr3:uid="{58F502B8-07D7-496D-97CE-F1A8896EEC90}" name="Column13388" dataDxfId="2997"/>
    <tableColumn id="13413" xr3:uid="{42D10A8D-F54F-425C-9B44-C88B1A3BBB36}" name="Column13389" dataDxfId="2996"/>
    <tableColumn id="13414" xr3:uid="{44F087E7-5FF8-46AB-A326-468A447BCFA2}" name="Column13390" dataDxfId="2995"/>
    <tableColumn id="13415" xr3:uid="{DF759F7B-DD0E-4600-80FF-3428DE5BD1BB}" name="Column13391" dataDxfId="2994"/>
    <tableColumn id="13416" xr3:uid="{020DC04E-9717-4CEB-A5CE-6B0B83FCBA49}" name="Column13392" dataDxfId="2993"/>
    <tableColumn id="13417" xr3:uid="{4A6374E8-6157-4546-95E2-85715D3253F9}" name="Column13393" dataDxfId="2992"/>
    <tableColumn id="13418" xr3:uid="{71EE4175-D27E-41D1-8F98-601EB69196A6}" name="Column13394" dataDxfId="2991"/>
    <tableColumn id="13419" xr3:uid="{86025184-8624-436B-A67F-5D59F8F73A88}" name="Column13395" dataDxfId="2990"/>
    <tableColumn id="13420" xr3:uid="{79ACB596-1359-4400-8C25-6CAC7C36850D}" name="Column13396" dataDxfId="2989"/>
    <tableColumn id="13421" xr3:uid="{53C3500A-6BD2-4217-99B0-F62194FFAB40}" name="Column13397" dataDxfId="2988"/>
    <tableColumn id="13422" xr3:uid="{6D4E6873-7084-49A6-90C4-CE95B111FD5A}" name="Column13398" dataDxfId="2987"/>
    <tableColumn id="13423" xr3:uid="{5F5D001D-1088-4907-890C-F1A841842D45}" name="Column13399" dataDxfId="2986"/>
    <tableColumn id="13424" xr3:uid="{9A29CEC0-DEE8-4DD6-8EBC-D735C0A6FE76}" name="Column13400" dataDxfId="2985"/>
    <tableColumn id="13425" xr3:uid="{A65BD360-9368-49C3-97D2-1F0D12596532}" name="Column13401" dataDxfId="2984"/>
    <tableColumn id="13426" xr3:uid="{786CB68D-E505-4256-825A-3B7750F1FF7E}" name="Column13402" dataDxfId="2983"/>
    <tableColumn id="13427" xr3:uid="{C75560BA-43D8-41BF-9C1B-84751011852E}" name="Column13403" dataDxfId="2982"/>
    <tableColumn id="13428" xr3:uid="{56EA33DF-EDD6-4F51-A5CB-0ADD2F534581}" name="Column13404" dataDxfId="2981"/>
    <tableColumn id="13429" xr3:uid="{92ED0940-78E7-4282-BF59-3820DE240623}" name="Column13405" dataDxfId="2980"/>
    <tableColumn id="13430" xr3:uid="{CE2EF7CC-58FA-4E80-8B81-909F68385603}" name="Column13406" dataDxfId="2979"/>
    <tableColumn id="13431" xr3:uid="{A331A06E-B9CD-4F3F-A232-2C8A10854D1F}" name="Column13407" dataDxfId="2978"/>
    <tableColumn id="13432" xr3:uid="{9834CA47-00B1-4300-BBA8-4DAC600DAB8E}" name="Column13408" dataDxfId="2977"/>
    <tableColumn id="13433" xr3:uid="{3A3D8221-ED28-41B2-A0BE-E9066F0C20E0}" name="Column13409" dataDxfId="2976"/>
    <tableColumn id="13434" xr3:uid="{23A49D8E-6F51-4922-8884-681D7E55E8AD}" name="Column13410" dataDxfId="2975"/>
    <tableColumn id="13435" xr3:uid="{E3B2D25D-F72E-4250-B94C-A516321F1C14}" name="Column13411" dataDxfId="2974"/>
    <tableColumn id="13436" xr3:uid="{342E25AD-3B5C-48AA-8C58-A9179F23B4FA}" name="Column13412" dataDxfId="2973"/>
    <tableColumn id="13437" xr3:uid="{BC4EFA6D-EB45-40FB-BE57-CB91C2030A1E}" name="Column13413" dataDxfId="2972"/>
    <tableColumn id="13438" xr3:uid="{1657841C-DEA2-494E-98AA-116174CC7BC9}" name="Column13414" dataDxfId="2971"/>
    <tableColumn id="13439" xr3:uid="{C0735C8E-FF11-45A4-BF9C-0ED866952761}" name="Column13415" dataDxfId="2970"/>
    <tableColumn id="13440" xr3:uid="{E5BC2BAC-1C70-41A4-B114-6BF96EF752F2}" name="Column13416" dataDxfId="2969"/>
    <tableColumn id="13441" xr3:uid="{F20D0868-1B8D-40D5-B05B-82B6BF229C8C}" name="Column13417" dataDxfId="2968"/>
    <tableColumn id="13442" xr3:uid="{D7944525-846B-4F36-9DE1-7D6EC07AC3CA}" name="Column13418" dataDxfId="2967"/>
    <tableColumn id="13443" xr3:uid="{B845B28D-C5C6-43AC-A511-DD62ABCF0CDE}" name="Column13419" dataDxfId="2966"/>
    <tableColumn id="13444" xr3:uid="{E498F911-9CC4-47B7-ACF1-C1CA3437E6B6}" name="Column13420" dataDxfId="2965"/>
    <tableColumn id="13445" xr3:uid="{A1C578BF-ADE3-4927-A220-DDAFC10E5C99}" name="Column13421" dataDxfId="2964"/>
    <tableColumn id="13446" xr3:uid="{54C4CC20-9EE1-4E02-85F3-53CEC0577128}" name="Column13422" dataDxfId="2963"/>
    <tableColumn id="13447" xr3:uid="{F370DD47-DB32-467B-81C6-8D83A58F8EA9}" name="Column13423" dataDxfId="2962"/>
    <tableColumn id="13448" xr3:uid="{E22359E9-BA82-443B-8648-27B510BD520E}" name="Column13424" dataDxfId="2961"/>
    <tableColumn id="13449" xr3:uid="{C8335D3C-CF25-4871-8050-C0D8F168736C}" name="Column13425" dataDxfId="2960"/>
    <tableColumn id="13450" xr3:uid="{BD4076AA-C7E0-429F-BB99-147F7D965A5D}" name="Column13426" dataDxfId="2959"/>
    <tableColumn id="13451" xr3:uid="{AC768B24-AD6F-4C58-8D92-CD43E3AEB2F8}" name="Column13427" dataDxfId="2958"/>
    <tableColumn id="13452" xr3:uid="{4ABD6B32-08AE-4441-A92C-D3A4C577F31E}" name="Column13428" dataDxfId="2957"/>
    <tableColumn id="13453" xr3:uid="{CBCBAC00-BA0C-49A4-A805-733648DFA17F}" name="Column13429" dataDxfId="2956"/>
    <tableColumn id="13454" xr3:uid="{E4F0625F-8361-445F-9C39-86557D84E1ED}" name="Column13430" dataDxfId="2955"/>
    <tableColumn id="13455" xr3:uid="{03B90B76-5D0A-48BB-9835-34A6801E4FDD}" name="Column13431" dataDxfId="2954"/>
    <tableColumn id="13456" xr3:uid="{C5322064-0DA8-4315-AD61-DE7AD1FE44D2}" name="Column13432" dataDxfId="2953"/>
    <tableColumn id="13457" xr3:uid="{BA2BB340-1165-4A34-838C-F152E98F5F24}" name="Column13433" dataDxfId="2952"/>
    <tableColumn id="13458" xr3:uid="{6F778A5E-920B-4247-AF68-B0F65E0B3E5C}" name="Column13434" dataDxfId="2951"/>
    <tableColumn id="13459" xr3:uid="{0092356A-ED35-40B2-A41C-1CD67ACC7EE4}" name="Column13435" dataDxfId="2950"/>
    <tableColumn id="13460" xr3:uid="{A9AEF39A-08B4-40D4-8E87-774B092D64FE}" name="Column13436" dataDxfId="2949"/>
    <tableColumn id="13461" xr3:uid="{1B74BF08-2B61-4C49-A660-2EC38A643B90}" name="Column13437" dataDxfId="2948"/>
    <tableColumn id="13462" xr3:uid="{F9C91F07-BA79-4A05-855A-B1F773DEC157}" name="Column13438" dataDxfId="2947"/>
    <tableColumn id="13463" xr3:uid="{3860A6B2-4671-4FCE-9024-8D1A9266D82D}" name="Column13439" dataDxfId="2946"/>
    <tableColumn id="13464" xr3:uid="{07349125-4C6D-44A7-820D-C943BCD1FD13}" name="Column13440" dataDxfId="2945"/>
    <tableColumn id="13465" xr3:uid="{551D685D-A5D8-4BD0-9CFA-60476A2CE257}" name="Column13441" dataDxfId="2944"/>
    <tableColumn id="13466" xr3:uid="{B5166ED6-9873-4FA7-B3A4-A9FDB9002FEC}" name="Column13442" dataDxfId="2943"/>
    <tableColumn id="13467" xr3:uid="{F67BD690-5AD7-46DF-865C-CFE0C4E77E73}" name="Column13443" dataDxfId="2942"/>
    <tableColumn id="13468" xr3:uid="{C902EC29-7587-4141-980D-106B00CA473F}" name="Column13444" dataDxfId="2941"/>
    <tableColumn id="13469" xr3:uid="{5D69F522-3E8A-4101-9FE8-F46B1C05AACD}" name="Column13445" dataDxfId="2940"/>
    <tableColumn id="13470" xr3:uid="{A861ECD4-0D55-469A-9846-C730C826AA8B}" name="Column13446" dataDxfId="2939"/>
    <tableColumn id="13471" xr3:uid="{DEAD0CE5-F889-410F-A990-A25BDD5E2B75}" name="Column13447" dataDxfId="2938"/>
    <tableColumn id="13472" xr3:uid="{78454AED-82DB-4CF1-B1D0-D0FF3A294D1D}" name="Column13448" dataDxfId="2937"/>
    <tableColumn id="13473" xr3:uid="{18CCC614-6BCB-4BFF-AD66-2790532B8C96}" name="Column13449" dataDxfId="2936"/>
    <tableColumn id="13474" xr3:uid="{1601593C-26E0-4811-92C9-AB4C1BDE1F5A}" name="Column13450" dataDxfId="2935"/>
    <tableColumn id="13475" xr3:uid="{0198B826-187F-4345-8B9F-3BC05A8A0C00}" name="Column13451" dataDxfId="2934"/>
    <tableColumn id="13476" xr3:uid="{20CB71C7-69F9-4DCE-806A-A1FEC22CACB4}" name="Column13452" dataDxfId="2933"/>
    <tableColumn id="13477" xr3:uid="{C7D298F8-EE8A-444D-9E5F-35D625F08A01}" name="Column13453" dataDxfId="2932"/>
    <tableColumn id="13478" xr3:uid="{66ABAE7A-4512-4878-8728-5654B0FD7410}" name="Column13454" dataDxfId="2931"/>
    <tableColumn id="13479" xr3:uid="{9C1814C2-94C1-4ABA-833C-E6B174F85BBB}" name="Column13455" dataDxfId="2930"/>
    <tableColumn id="13480" xr3:uid="{0527DC6B-D5E1-465A-9F75-553A79196857}" name="Column13456" dataDxfId="2929"/>
    <tableColumn id="13481" xr3:uid="{3FEBA831-9238-40A4-9B63-EB8118E9005D}" name="Column13457" dataDxfId="2928"/>
    <tableColumn id="13482" xr3:uid="{02847E7E-88CC-4A14-AE9E-220B31BEED77}" name="Column13458" dataDxfId="2927"/>
    <tableColumn id="13483" xr3:uid="{5B405AB2-4697-4410-A3FA-FE0AA8646B3D}" name="Column13459" dataDxfId="2926"/>
    <tableColumn id="13484" xr3:uid="{F40E2C8A-3335-4F25-B974-F7B93A141807}" name="Column13460" dataDxfId="2925"/>
    <tableColumn id="13485" xr3:uid="{7D82D10B-63E1-435D-A67A-FC57A9EB804D}" name="Column13461" dataDxfId="2924"/>
    <tableColumn id="13486" xr3:uid="{C7F7F012-CB30-4B2F-A750-50B854B469DE}" name="Column13462" dataDxfId="2923"/>
    <tableColumn id="13487" xr3:uid="{5BC0486A-905B-4329-90FF-A632828CC85B}" name="Column13463" dataDxfId="2922"/>
    <tableColumn id="13488" xr3:uid="{464D0ABE-9F5B-4850-82C0-98199A3E39B1}" name="Column13464" dataDxfId="2921"/>
    <tableColumn id="13489" xr3:uid="{BF4890C4-B7C0-4D8C-8134-431195367B1C}" name="Column13465" dataDxfId="2920"/>
    <tableColumn id="13490" xr3:uid="{C4C3F54F-6603-418D-8DB3-EEDA0BADC082}" name="Column13466" dataDxfId="2919"/>
    <tableColumn id="13491" xr3:uid="{1C86696E-CD65-470C-98BF-C5EE5E8A03BF}" name="Column13467" dataDxfId="2918"/>
    <tableColumn id="13492" xr3:uid="{DC99EE78-032C-4E47-85DB-EFA82F8809A6}" name="Column13468" dataDxfId="2917"/>
    <tableColumn id="13493" xr3:uid="{6F7A52D5-587D-4C36-868D-E0DC8F84D74A}" name="Column13469" dataDxfId="2916"/>
    <tableColumn id="13494" xr3:uid="{B4C4F6E1-02F3-417A-B014-3F11AE83F230}" name="Column13470" dataDxfId="2915"/>
    <tableColumn id="13495" xr3:uid="{C4CF5334-25D4-4033-9C5F-E1BE1A0BC6F6}" name="Column13471" dataDxfId="2914"/>
    <tableColumn id="13496" xr3:uid="{964CD299-BDC8-4879-92F1-FAD1E1EE77AE}" name="Column13472" dataDxfId="2913"/>
    <tableColumn id="13497" xr3:uid="{FF75A2F7-ACAD-4089-AFB5-E73233147557}" name="Column13473" dataDxfId="2912"/>
    <tableColumn id="13498" xr3:uid="{87495181-6060-40A7-B64B-047C2C75498C}" name="Column13474" dataDxfId="2911"/>
    <tableColumn id="13499" xr3:uid="{003F84BA-992D-4B80-AC94-4CF39A2CAB7E}" name="Column13475" dataDxfId="2910"/>
    <tableColumn id="13500" xr3:uid="{04946D48-A3CF-4B56-BFBD-D1BC5C8534EA}" name="Column13476" dataDxfId="2909"/>
    <tableColumn id="13501" xr3:uid="{6306A45F-356C-4836-B0FB-87EE176F694C}" name="Column13477" dataDxfId="2908"/>
    <tableColumn id="13502" xr3:uid="{7FFF6245-2BF0-4838-B1A6-4537BBDCFC22}" name="Column13478" dataDxfId="2907"/>
    <tableColumn id="13503" xr3:uid="{00E0BCF8-B7E0-42BE-9A16-FE9262E10420}" name="Column13479" dataDxfId="2906"/>
    <tableColumn id="13504" xr3:uid="{1B6F2F26-3FBD-4ED2-864A-47FCDE944A8A}" name="Column13480" dataDxfId="2905"/>
    <tableColumn id="13505" xr3:uid="{50CF27CF-ED22-4C0B-BBBF-83D91C47A4B1}" name="Column13481" dataDxfId="2904"/>
    <tableColumn id="13506" xr3:uid="{5DC107DD-2A78-4CD8-8023-A772FDF3CE4E}" name="Column13482" dataDxfId="2903"/>
    <tableColumn id="13507" xr3:uid="{252A89AA-F894-4035-990D-91D6151DB3D6}" name="Column13483" dataDxfId="2902"/>
    <tableColumn id="13508" xr3:uid="{384E1A7D-52A3-4184-AA8B-22CF1BD9463F}" name="Column13484" dataDxfId="2901"/>
    <tableColumn id="13509" xr3:uid="{7E8BC7B8-EA86-4A8D-ADC5-FA2C8C693E63}" name="Column13485" dataDxfId="2900"/>
    <tableColumn id="13510" xr3:uid="{DD4852F5-77B8-4D43-B2E3-02604EA4FE02}" name="Column13486" dataDxfId="2899"/>
    <tableColumn id="13511" xr3:uid="{4762FDC7-2C86-438F-ABD4-D9687FDDB4E8}" name="Column13487" dataDxfId="2898"/>
    <tableColumn id="13512" xr3:uid="{D4FFD9D5-9E82-47F4-A528-FD85DF59F01F}" name="Column13488" dataDxfId="2897"/>
    <tableColumn id="13513" xr3:uid="{2B02057F-4DB0-42AF-B899-D159083D1E27}" name="Column13489" dataDxfId="2896"/>
    <tableColumn id="13514" xr3:uid="{2D7BD6A5-E1AD-49DE-B758-21E7D7FC952B}" name="Column13490" dataDxfId="2895"/>
    <tableColumn id="13515" xr3:uid="{17370140-0433-4C81-884A-2602E90E3C9E}" name="Column13491" dataDxfId="2894"/>
    <tableColumn id="13516" xr3:uid="{ED16020F-D5DA-4B76-8BA6-8EB089B0D5F1}" name="Column13492" dataDxfId="2893"/>
    <tableColumn id="13517" xr3:uid="{FC7198BE-86D7-4BAB-BB12-CF65D1ED6FDD}" name="Column13493" dataDxfId="2892"/>
    <tableColumn id="13518" xr3:uid="{FBC42833-DAB8-45E6-B7EA-C97E7DBF4541}" name="Column13494" dataDxfId="2891"/>
    <tableColumn id="13519" xr3:uid="{F75C39EB-FBB7-47A4-9EB0-C16BCD3F81F0}" name="Column13495" dataDxfId="2890"/>
    <tableColumn id="13520" xr3:uid="{5081544C-721F-4FD6-877B-BB5CC3E6A273}" name="Column13496" dataDxfId="2889"/>
    <tableColumn id="13521" xr3:uid="{3BBB7504-AC47-4D43-BFC4-CBFB7F02B546}" name="Column13497" dataDxfId="2888"/>
    <tableColumn id="13522" xr3:uid="{27A3E6E0-1EBF-40AF-B13C-3E327E7BB22B}" name="Column13498" dataDxfId="2887"/>
    <tableColumn id="13523" xr3:uid="{E9047ABC-610F-4490-BB21-08300C569191}" name="Column13499" dataDxfId="2886"/>
    <tableColumn id="13524" xr3:uid="{489DBDB7-5E9E-4890-92EC-B9DDA0634942}" name="Column13500" dataDxfId="2885"/>
    <tableColumn id="13525" xr3:uid="{B8376628-A97F-49F2-A6C4-FB193434988D}" name="Column13501" dataDxfId="2884"/>
    <tableColumn id="13526" xr3:uid="{DFA65A93-D420-4FFE-B5FA-C40797CDF6C8}" name="Column13502" dataDxfId="2883"/>
    <tableColumn id="13527" xr3:uid="{E93593FB-E424-41AA-AFD5-88CB344B1294}" name="Column13503" dataDxfId="2882"/>
    <tableColumn id="13528" xr3:uid="{37C9A579-B6EE-4A28-98C2-E2B0B32877A1}" name="Column13504" dataDxfId="2881"/>
    <tableColumn id="13529" xr3:uid="{EF72C135-C9BC-412E-93C2-CFECA5CCCE71}" name="Column13505" dataDxfId="2880"/>
    <tableColumn id="13530" xr3:uid="{5901CE8A-C62E-4C34-836B-1E7218B7B9A2}" name="Column13506" dataDxfId="2879"/>
    <tableColumn id="13531" xr3:uid="{24CE2086-6D33-473D-AD69-BB2DBEFE6EF7}" name="Column13507" dataDxfId="2878"/>
    <tableColumn id="13532" xr3:uid="{479A7C74-FFF5-44CF-BB97-DE635C97231D}" name="Column13508" dataDxfId="2877"/>
    <tableColumn id="13533" xr3:uid="{4AB2DEEF-F37D-47D1-A9AB-AD869F5F9767}" name="Column13509" dataDxfId="2876"/>
    <tableColumn id="13534" xr3:uid="{F1FB3EB5-33FC-4F53-A0CA-596A56C81769}" name="Column13510" dataDxfId="2875"/>
    <tableColumn id="13535" xr3:uid="{71368D45-69DE-4775-B210-9AE27B5BA72A}" name="Column13511" dataDxfId="2874"/>
    <tableColumn id="13536" xr3:uid="{2500E1DB-8C62-40C2-A0DC-9B146AD44860}" name="Column13512" dataDxfId="2873"/>
    <tableColumn id="13537" xr3:uid="{39DF38F0-8599-4145-90CA-D652B355990A}" name="Column13513" dataDxfId="2872"/>
    <tableColumn id="13538" xr3:uid="{90134BE1-A41C-4099-866F-2C0A63F73C04}" name="Column13514" dataDxfId="2871"/>
    <tableColumn id="13539" xr3:uid="{B71AB7A4-CDC5-4CAB-B854-1ADC19D7FDD8}" name="Column13515" dataDxfId="2870"/>
    <tableColumn id="13540" xr3:uid="{711DA635-63AA-4453-954B-87B95BEC4814}" name="Column13516" dataDxfId="2869"/>
    <tableColumn id="13541" xr3:uid="{F342607D-4D36-4785-9A91-AEB68D7FDC7E}" name="Column13517" dataDxfId="2868"/>
    <tableColumn id="13542" xr3:uid="{6F876DDA-4FEA-403D-B717-A243FA8D1B10}" name="Column13518" dataDxfId="2867"/>
    <tableColumn id="13543" xr3:uid="{AF3A121C-0476-45C0-9A75-DDF391173D52}" name="Column13519" dataDxfId="2866"/>
    <tableColumn id="13544" xr3:uid="{CC21F7E7-AFA2-4584-A4F4-2FE9C9276A4B}" name="Column13520" dataDxfId="2865"/>
    <tableColumn id="13545" xr3:uid="{D2A0276E-E6CA-4E99-AD47-FC80FBBFE27A}" name="Column13521" dataDxfId="2864"/>
    <tableColumn id="13546" xr3:uid="{C1C5A9CD-4AAF-4995-9E94-566065C85030}" name="Column13522" dataDxfId="2863"/>
    <tableColumn id="13547" xr3:uid="{4B36BD7D-DF4F-4EB8-80BC-A70B5ECBCAD3}" name="Column13523" dataDxfId="2862"/>
    <tableColumn id="13548" xr3:uid="{B1AAC9FD-C7A8-4194-9CFA-A72AAD73A2BE}" name="Column13524" dataDxfId="2861"/>
    <tableColumn id="13549" xr3:uid="{2B1F45E7-E407-4A97-B055-D835227B2B19}" name="Column13525" dataDxfId="2860"/>
    <tableColumn id="13550" xr3:uid="{C19F18DB-89BA-411F-807B-0D6F7D1E7AEE}" name="Column13526" dataDxfId="2859"/>
    <tableColumn id="13551" xr3:uid="{108C99AE-46EC-4104-A7DD-280B3DC9E12E}" name="Column13527" dataDxfId="2858"/>
    <tableColumn id="13552" xr3:uid="{8C93FF08-BC03-4C59-8F67-AD2EF5676BB3}" name="Column13528" dataDxfId="2857"/>
    <tableColumn id="13553" xr3:uid="{24C5B178-137C-4990-9724-0284A2D5E879}" name="Column13529" dataDxfId="2856"/>
    <tableColumn id="13554" xr3:uid="{E2DEABD5-5CCB-4E25-B899-64E02AB8BB1A}" name="Column13530" dataDxfId="2855"/>
    <tableColumn id="13555" xr3:uid="{373FA994-DAC2-4D15-A9F1-F8A20FCF5A3C}" name="Column13531" dataDxfId="2854"/>
    <tableColumn id="13556" xr3:uid="{A8C882FD-2D53-444B-B0AC-14735D0A1F10}" name="Column13532" dataDxfId="2853"/>
    <tableColumn id="13557" xr3:uid="{93D8E443-7F2E-4650-BF3B-81B977958A74}" name="Column13533" dataDxfId="2852"/>
    <tableColumn id="13558" xr3:uid="{4573A0B6-FBB0-466C-A2D1-26C189CD04CC}" name="Column13534" dataDxfId="2851"/>
    <tableColumn id="13559" xr3:uid="{C9A3FA90-7224-4D43-A000-BAA64214B51D}" name="Column13535" dataDxfId="2850"/>
    <tableColumn id="13560" xr3:uid="{1B5B0CE3-93D5-447B-9E69-3E2731E4DC76}" name="Column13536" dataDxfId="2849"/>
    <tableColumn id="13561" xr3:uid="{7B6BAC1C-9B9C-4E6B-BE5E-558160319803}" name="Column13537" dataDxfId="2848"/>
    <tableColumn id="13562" xr3:uid="{E6BD24B5-498D-4300-A5D2-3BC9D87CA8CE}" name="Column13538" dataDxfId="2847"/>
    <tableColumn id="13563" xr3:uid="{F6B6FB99-7349-4411-A3FB-E8C450709B4C}" name="Column13539" dataDxfId="2846"/>
    <tableColumn id="13564" xr3:uid="{7895EA11-B218-440B-9042-A46DD7D7A847}" name="Column13540" dataDxfId="2845"/>
    <tableColumn id="13565" xr3:uid="{6BB3200A-831D-4E24-8CE0-B5AAB2E028C3}" name="Column13541" dataDxfId="2844"/>
    <tableColumn id="13566" xr3:uid="{1EA441CF-8742-42E6-AB23-3674D64B163E}" name="Column13542" dataDxfId="2843"/>
    <tableColumn id="13567" xr3:uid="{843E0BF0-6EC0-41FC-B2DE-CDEBAFD48BFF}" name="Column13543" dataDxfId="2842"/>
    <tableColumn id="13568" xr3:uid="{593E034F-65FD-4915-8C96-07C131A5056B}" name="Column13544" dataDxfId="2841"/>
    <tableColumn id="13569" xr3:uid="{AC27D0B5-9584-493F-B177-785C1A55E41E}" name="Column13545" dataDxfId="2840"/>
    <tableColumn id="13570" xr3:uid="{E0C9BACA-169F-4CDB-A0A7-A3FD5276F5CC}" name="Column13546" dataDxfId="2839"/>
    <tableColumn id="13571" xr3:uid="{FA200394-ACCB-48F4-98A5-1F3EA32BF196}" name="Column13547" dataDxfId="2838"/>
    <tableColumn id="13572" xr3:uid="{CC280746-A7A4-4401-A8D5-12165B39744A}" name="Column13548" dataDxfId="2837"/>
    <tableColumn id="13573" xr3:uid="{2BA3D464-3956-4A33-AA83-29C0183B1CE0}" name="Column13549" dataDxfId="2836"/>
    <tableColumn id="13574" xr3:uid="{7CFB1FD4-4402-4BC2-88A5-1A285DDE14A8}" name="Column13550" dataDxfId="2835"/>
    <tableColumn id="13575" xr3:uid="{AF3B380B-15C5-498A-9D70-24B913CD8C9D}" name="Column13551" dataDxfId="2834"/>
    <tableColumn id="13576" xr3:uid="{35816E2C-768A-40A2-9906-9DFC09E642E4}" name="Column13552" dataDxfId="2833"/>
    <tableColumn id="13577" xr3:uid="{A9F7EBFA-4D28-47F8-8AA7-22E097040974}" name="Column13553" dataDxfId="2832"/>
    <tableColumn id="13578" xr3:uid="{430AEDE9-3A0B-4751-A990-4E48AD41914D}" name="Column13554" dataDxfId="2831"/>
    <tableColumn id="13579" xr3:uid="{D5C33ACB-065F-4A36-849D-F81B0E3FDEB6}" name="Column13555" dataDxfId="2830"/>
    <tableColumn id="13580" xr3:uid="{0DE862DA-F536-477C-A3B4-D7E2DE4468C0}" name="Column13556" dataDxfId="2829"/>
    <tableColumn id="13581" xr3:uid="{90A07E61-D6D4-43A7-B091-BA0307458D11}" name="Column13557" dataDxfId="2828"/>
    <tableColumn id="13582" xr3:uid="{2EFD0BD8-0893-4556-9547-ED432568FE78}" name="Column13558" dataDxfId="2827"/>
    <tableColumn id="13583" xr3:uid="{10BE27FF-352F-4194-AABB-1BB70E31A828}" name="Column13559" dataDxfId="2826"/>
    <tableColumn id="13584" xr3:uid="{29271604-6BCD-4124-9CC6-799C1D335E34}" name="Column13560" dataDxfId="2825"/>
    <tableColumn id="13585" xr3:uid="{22CF94EC-381B-43D3-AE78-BE9D46B034E8}" name="Column13561" dataDxfId="2824"/>
    <tableColumn id="13586" xr3:uid="{D71F5C33-C0AE-4175-821D-5B9280BA9CE0}" name="Column13562" dataDxfId="2823"/>
    <tableColumn id="13587" xr3:uid="{DB5A1EDE-69FD-4A1E-8A23-BD3078B79BD0}" name="Column13563" dataDxfId="2822"/>
    <tableColumn id="13588" xr3:uid="{0249AA06-B8AB-4168-B2FA-9775FA040EC8}" name="Column13564" dataDxfId="2821"/>
    <tableColumn id="13589" xr3:uid="{EE8A2B12-1DCB-4BF6-BCB3-0ADD3869E5A5}" name="Column13565" dataDxfId="2820"/>
    <tableColumn id="13590" xr3:uid="{ECE9924D-385C-46F9-9436-D336BF094D4B}" name="Column13566" dataDxfId="2819"/>
    <tableColumn id="13591" xr3:uid="{86F43ED1-A42A-43CF-9EF7-41CF879CF913}" name="Column13567" dataDxfId="2818"/>
    <tableColumn id="13592" xr3:uid="{BF71672B-0DF6-4B4B-BC6F-3847B8BB6237}" name="Column13568" dataDxfId="2817"/>
    <tableColumn id="13593" xr3:uid="{AA12C2DC-364B-46C4-9A48-085E504DCE96}" name="Column13569" dataDxfId="2816"/>
    <tableColumn id="13594" xr3:uid="{74CB7395-A486-4238-97C5-C8D78C72A033}" name="Column13570" dataDxfId="2815"/>
    <tableColumn id="13595" xr3:uid="{2198F0D5-40FB-46A8-BE9C-43E7C955E13E}" name="Column13571" dataDxfId="2814"/>
    <tableColumn id="13596" xr3:uid="{404E134A-AE6D-4602-9F8C-E0E289051F44}" name="Column13572" dataDxfId="2813"/>
    <tableColumn id="13597" xr3:uid="{038325C9-DB79-46A9-A4AD-9B9A994C7B45}" name="Column13573" dataDxfId="2812"/>
    <tableColumn id="13598" xr3:uid="{C146FC5D-0317-4505-85C0-3A7A734AB692}" name="Column13574" dataDxfId="2811"/>
    <tableColumn id="13599" xr3:uid="{29712CAD-6059-4418-9BD7-ECD3DEE70358}" name="Column13575" dataDxfId="2810"/>
    <tableColumn id="13600" xr3:uid="{5F94833D-8019-44B6-B647-5E465591D90E}" name="Column13576" dataDxfId="2809"/>
    <tableColumn id="13601" xr3:uid="{AFE7B810-BCCA-49D8-9416-3C3DA85BC9AC}" name="Column13577" dataDxfId="2808"/>
    <tableColumn id="13602" xr3:uid="{763AF039-15C1-4131-8F51-67E953F2A823}" name="Column13578" dataDxfId="2807"/>
    <tableColumn id="13603" xr3:uid="{17EBDF3F-1147-447D-B959-E3814E0FB237}" name="Column13579" dataDxfId="2806"/>
    <tableColumn id="13604" xr3:uid="{44100AE8-9657-4AD7-984D-08D00CC95DB5}" name="Column13580" dataDxfId="2805"/>
    <tableColumn id="13605" xr3:uid="{91B05658-B57F-4778-B7EA-70465A9603AC}" name="Column13581" dataDxfId="2804"/>
    <tableColumn id="13606" xr3:uid="{AEC4823F-52D8-4B6C-805D-2948E5CCA707}" name="Column13582" dataDxfId="2803"/>
    <tableColumn id="13607" xr3:uid="{12B9B2A7-3E5A-4328-80FD-FDA07259FEB6}" name="Column13583" dataDxfId="2802"/>
    <tableColumn id="13608" xr3:uid="{51DEAC63-ADBE-42EF-AAD6-E19EEF4F4A8F}" name="Column13584" dataDxfId="2801"/>
    <tableColumn id="13609" xr3:uid="{2DABFE99-6A2B-472F-B0B0-E19E3130FCF2}" name="Column13585" dataDxfId="2800"/>
    <tableColumn id="13610" xr3:uid="{FF526022-678F-496C-9746-A226F6251599}" name="Column13586" dataDxfId="2799"/>
    <tableColumn id="13611" xr3:uid="{CF09EA26-4AB5-439C-A7BE-A468E304E02B}" name="Column13587" dataDxfId="2798"/>
    <tableColumn id="13612" xr3:uid="{066E92AA-9566-460B-B3C1-93183B29B5B3}" name="Column13588" dataDxfId="2797"/>
    <tableColumn id="13613" xr3:uid="{051E6C1D-B447-49CC-835F-5005DBAECE81}" name="Column13589" dataDxfId="2796"/>
    <tableColumn id="13614" xr3:uid="{83495EAA-891E-4753-B6D7-476F063793DE}" name="Column13590" dataDxfId="2795"/>
    <tableColumn id="13615" xr3:uid="{02BFFDFB-483E-4F86-BC68-C8ED2715ED83}" name="Column13591" dataDxfId="2794"/>
    <tableColumn id="13616" xr3:uid="{A922E5F2-3F46-40E7-BAC4-9B9FC9D409A0}" name="Column13592" dataDxfId="2793"/>
    <tableColumn id="13617" xr3:uid="{A3DD0811-E2EB-4D34-B1B0-471D427A8E91}" name="Column13593" dataDxfId="2792"/>
    <tableColumn id="13618" xr3:uid="{2D3C1467-1CF1-4C96-9B45-B44EC14AAD78}" name="Column13594" dataDxfId="2791"/>
    <tableColumn id="13619" xr3:uid="{1FC71487-C4CE-46AF-825F-8FE2BE0B6FFE}" name="Column13595" dataDxfId="2790"/>
    <tableColumn id="13620" xr3:uid="{04663B5E-BF29-4FC0-8461-6E9E7821F129}" name="Column13596" dataDxfId="2789"/>
    <tableColumn id="13621" xr3:uid="{78A2C051-F360-4CC6-9AC4-1A7CE5C6FD63}" name="Column13597" dataDxfId="2788"/>
    <tableColumn id="13622" xr3:uid="{1E3F1087-AF79-4E03-AB07-46A6D02CB347}" name="Column13598" dataDxfId="2787"/>
    <tableColumn id="13623" xr3:uid="{B839990B-4DD1-4400-A15F-B7FD834D8213}" name="Column13599" dataDxfId="2786"/>
    <tableColumn id="13624" xr3:uid="{44C25D90-A408-4F9C-8C7C-E9418D810976}" name="Column13600" dataDxfId="2785"/>
    <tableColumn id="13625" xr3:uid="{42A607A4-474C-414A-A5B7-6836F730BCD3}" name="Column13601" dataDxfId="2784"/>
    <tableColumn id="13626" xr3:uid="{45F05BBB-0866-45DB-A994-EDD6AAE5DB96}" name="Column13602" dataDxfId="2783"/>
    <tableColumn id="13627" xr3:uid="{CCB309C2-E9A3-4AC4-859D-1A00F57082FA}" name="Column13603" dataDxfId="2782"/>
    <tableColumn id="13628" xr3:uid="{CC704756-21F8-434A-A5C3-2720BDCE8E1A}" name="Column13604" dataDxfId="2781"/>
    <tableColumn id="13629" xr3:uid="{FBE7AE42-3165-47A8-9948-E9C54045747E}" name="Column13605" dataDxfId="2780"/>
    <tableColumn id="13630" xr3:uid="{AE1190A9-BC0C-498E-B979-20D4943EAADA}" name="Column13606" dataDxfId="2779"/>
    <tableColumn id="13631" xr3:uid="{83B54F4A-5008-4451-A653-814088862C14}" name="Column13607" dataDxfId="2778"/>
    <tableColumn id="13632" xr3:uid="{FEBF976B-6BD3-4E83-BC81-B87AA6531D81}" name="Column13608" dataDxfId="2777"/>
    <tableColumn id="13633" xr3:uid="{9A95BC18-CDB5-41B2-A9ED-EC7AAF0FC0A1}" name="Column13609" dataDxfId="2776"/>
    <tableColumn id="13634" xr3:uid="{8388E633-903A-4437-A3A3-91813F8F310F}" name="Column13610" dataDxfId="2775"/>
    <tableColumn id="13635" xr3:uid="{1FB8C013-CB0C-4504-A0EE-20D2FB3086AD}" name="Column13611" dataDxfId="2774"/>
    <tableColumn id="13636" xr3:uid="{A93B8A8F-65BD-41A5-863D-DF6D44B5590B}" name="Column13612" dataDxfId="2773"/>
    <tableColumn id="13637" xr3:uid="{10E0D451-A3B5-4E10-A8C5-62B358E0AD96}" name="Column13613" dataDxfId="2772"/>
    <tableColumn id="13638" xr3:uid="{85955A38-9ADE-4740-B114-E71B4A516D53}" name="Column13614" dataDxfId="2771"/>
    <tableColumn id="13639" xr3:uid="{677F4ADD-2952-42CA-96E2-5128F0472E98}" name="Column13615" dataDxfId="2770"/>
    <tableColumn id="13640" xr3:uid="{BD1F987E-866B-478E-AE21-A2DC5F4CAB7F}" name="Column13616" dataDxfId="2769"/>
    <tableColumn id="13641" xr3:uid="{39336CBC-6142-4572-8E24-4E114B6E023F}" name="Column13617" dataDxfId="2768"/>
    <tableColumn id="13642" xr3:uid="{EF474CD9-60E2-4034-BF91-0B980252D1EF}" name="Column13618" dataDxfId="2767"/>
    <tableColumn id="13643" xr3:uid="{4EAC233C-2114-4F2E-B5E4-D954C5D3D6AB}" name="Column13619" dataDxfId="2766"/>
    <tableColumn id="13644" xr3:uid="{F8BB78E6-3E04-4A1C-A7DE-D567CA754C0B}" name="Column13620" dataDxfId="2765"/>
    <tableColumn id="13645" xr3:uid="{5258CD40-6195-4A1B-99F8-FE57A6C866D8}" name="Column13621" dataDxfId="2764"/>
    <tableColumn id="13646" xr3:uid="{E0E32F0C-D87D-4E2C-88BB-D17613AF9670}" name="Column13622" dataDxfId="2763"/>
    <tableColumn id="13647" xr3:uid="{F8671BDB-A278-42EE-853A-6493A243A32E}" name="Column13623" dataDxfId="2762"/>
    <tableColumn id="13648" xr3:uid="{31F2C1A7-A2A0-4D91-B308-1A1E1B131A58}" name="Column13624" dataDxfId="2761"/>
    <tableColumn id="13649" xr3:uid="{333154DD-545B-47B1-9B2E-B00A0B6A43ED}" name="Column13625" dataDxfId="2760"/>
    <tableColumn id="13650" xr3:uid="{ADB520CE-54CD-422C-AF86-FBAD770A18A0}" name="Column13626" dataDxfId="2759"/>
    <tableColumn id="13651" xr3:uid="{FC9C3496-9F10-4F15-8C4C-5F23EE5AC536}" name="Column13627" dataDxfId="2758"/>
    <tableColumn id="13652" xr3:uid="{8BA41ACF-41F0-4823-87A1-F06F210BDB92}" name="Column13628" dataDxfId="2757"/>
    <tableColumn id="13653" xr3:uid="{A28A821E-3F4E-491D-8269-7741988B4486}" name="Column13629" dataDxfId="2756"/>
    <tableColumn id="13654" xr3:uid="{5484CA53-56AD-4B6C-8A15-83830F4A1BFD}" name="Column13630" dataDxfId="2755"/>
    <tableColumn id="13655" xr3:uid="{DEDB7770-9127-481A-B8A6-3DB5330E5F5D}" name="Column13631" dataDxfId="2754"/>
    <tableColumn id="13656" xr3:uid="{7CD52341-C7E7-44EF-8222-106C6D32D0AE}" name="Column13632" dataDxfId="2753"/>
    <tableColumn id="13657" xr3:uid="{B174E348-2054-45F5-83C8-9A34B0B5E4F4}" name="Column13633" dataDxfId="2752"/>
    <tableColumn id="13658" xr3:uid="{D92C4AD0-B437-446B-B8E3-8966C448234C}" name="Column13634" dataDxfId="2751"/>
    <tableColumn id="13659" xr3:uid="{3994F88A-5D4B-4369-A420-8523048FC0A0}" name="Column13635" dataDxfId="2750"/>
    <tableColumn id="13660" xr3:uid="{007C8DD0-F344-4850-8617-5E39DBA2D1E5}" name="Column13636" dataDxfId="2749"/>
    <tableColumn id="13661" xr3:uid="{CE26C009-4D04-486E-AC08-D567D78B30AC}" name="Column13637" dataDxfId="2748"/>
    <tableColumn id="13662" xr3:uid="{77E97D7D-B7F6-4AF2-A2D2-D1BB711DC4C1}" name="Column13638" dataDxfId="2747"/>
    <tableColumn id="13663" xr3:uid="{2C2C3C0C-AFDB-4899-8254-BCE0C4D91456}" name="Column13639" dataDxfId="2746"/>
    <tableColumn id="13664" xr3:uid="{1AD73885-2612-4F6E-B61C-D16B38E0B99A}" name="Column13640" dataDxfId="2745"/>
    <tableColumn id="13665" xr3:uid="{937016B6-4841-4730-A7FC-2416EE72516D}" name="Column13641" dataDxfId="2744"/>
    <tableColumn id="13666" xr3:uid="{26113887-EEC2-4DAA-ADC1-D5C5DFBC7A42}" name="Column13642" dataDxfId="2743"/>
    <tableColumn id="13667" xr3:uid="{0D5ECDE4-9632-4F15-8103-DE60B3F0C477}" name="Column13643" dataDxfId="2742"/>
    <tableColumn id="13668" xr3:uid="{E05C8C1A-8086-409B-9805-D2768FDA3DAD}" name="Column13644" dataDxfId="2741"/>
    <tableColumn id="13669" xr3:uid="{1DE316E7-8C4C-4A86-90A9-9B566798BA21}" name="Column13645" dataDxfId="2740"/>
    <tableColumn id="13670" xr3:uid="{044A49B3-5DEB-4514-B2D7-88ED148F78EC}" name="Column13646" dataDxfId="2739"/>
    <tableColumn id="13671" xr3:uid="{5BA735A5-DDF4-4BB2-84A3-F8EDC36B0AB2}" name="Column13647" dataDxfId="2738"/>
    <tableColumn id="13672" xr3:uid="{8DA5F441-0404-4DAF-B5FF-2A4216C645EB}" name="Column13648" dataDxfId="2737"/>
    <tableColumn id="13673" xr3:uid="{210BC061-7397-4CA9-B6C6-A014CAE6648A}" name="Column13649" dataDxfId="2736"/>
    <tableColumn id="13674" xr3:uid="{88991803-6C3C-482B-9487-3963E0D8C9D3}" name="Column13650" dataDxfId="2735"/>
    <tableColumn id="13675" xr3:uid="{6799C117-413E-497D-AB8A-CBFBEF2D39C1}" name="Column13651" dataDxfId="2734"/>
    <tableColumn id="13676" xr3:uid="{B4BA69D5-4515-41B9-A126-68C238440A32}" name="Column13652" dataDxfId="2733"/>
    <tableColumn id="13677" xr3:uid="{7E249774-94DD-48DC-9D6B-C9899107F648}" name="Column13653" dataDxfId="2732"/>
    <tableColumn id="13678" xr3:uid="{4F3D55BE-6F89-41A2-9B9F-ADCA4ED2B438}" name="Column13654" dataDxfId="2731"/>
    <tableColumn id="13679" xr3:uid="{B03CB4ED-A16D-4C8C-B154-5634C5B6EE4B}" name="Column13655" dataDxfId="2730"/>
    <tableColumn id="13680" xr3:uid="{A353A47D-39EF-4C1A-A559-AD16B0D0ED37}" name="Column13656" dataDxfId="2729"/>
    <tableColumn id="13681" xr3:uid="{53D837E7-F839-4018-B9B5-5FCCE2E556A9}" name="Column13657" dataDxfId="2728"/>
    <tableColumn id="13682" xr3:uid="{B7DD5EA6-B5E6-4538-8E59-8BE4A297B0B2}" name="Column13658" dataDxfId="2727"/>
    <tableColumn id="13683" xr3:uid="{CD39ED51-A57A-410A-98EB-487269CAB8FD}" name="Column13659" dataDxfId="2726"/>
    <tableColumn id="13684" xr3:uid="{658E2C8D-E761-43C7-BB78-4A053B973882}" name="Column13660" dataDxfId="2725"/>
    <tableColumn id="13685" xr3:uid="{5D9EEAB7-F840-4053-AB23-84100A08267F}" name="Column13661" dataDxfId="2724"/>
    <tableColumn id="13686" xr3:uid="{8DAB5210-B02E-4CC9-819C-DF60880E714A}" name="Column13662" dataDxfId="2723"/>
    <tableColumn id="13687" xr3:uid="{28736203-F0CE-45F5-B079-8C9720656D9B}" name="Column13663" dataDxfId="2722"/>
    <tableColumn id="13688" xr3:uid="{96EAE55F-1CF0-4A4D-84B1-F59777A5392D}" name="Column13664" dataDxfId="2721"/>
    <tableColumn id="13689" xr3:uid="{B4EECBA5-AFFB-407A-9FB7-D5357EE084A4}" name="Column13665" dataDxfId="2720"/>
    <tableColumn id="13690" xr3:uid="{FFDDC402-27DC-4A75-B5CA-C19BE60F7B01}" name="Column13666" dataDxfId="2719"/>
    <tableColumn id="13691" xr3:uid="{9D5FB74C-8319-40D5-BDFA-4BABE1CFA0EE}" name="Column13667" dataDxfId="2718"/>
    <tableColumn id="13692" xr3:uid="{8AD6EF62-49DD-4203-846C-8B9B0537C157}" name="Column13668" dataDxfId="2717"/>
    <tableColumn id="13693" xr3:uid="{3F9B24DC-5B22-4A93-8335-B0C7BE2F9F7C}" name="Column13669" dataDxfId="2716"/>
    <tableColumn id="13694" xr3:uid="{FFB0A379-D8D1-4F8E-BFE6-3A07A5C728E0}" name="Column13670" dataDxfId="2715"/>
    <tableColumn id="13695" xr3:uid="{A7B6BA55-F87E-4866-977B-60C6592DD19B}" name="Column13671" dataDxfId="2714"/>
    <tableColumn id="13696" xr3:uid="{5461AFEB-471D-481F-BF1F-672E6CA13040}" name="Column13672" dataDxfId="2713"/>
    <tableColumn id="13697" xr3:uid="{30CD07DB-8FAB-435C-BFFA-A7573AD17F82}" name="Column13673" dataDxfId="2712"/>
    <tableColumn id="13698" xr3:uid="{ED65A3A0-AE4A-46EB-9B4C-258AF181A5D0}" name="Column13674" dataDxfId="2711"/>
    <tableColumn id="13699" xr3:uid="{F09D009D-8293-44A5-99BD-B1DD45886352}" name="Column13675" dataDxfId="2710"/>
    <tableColumn id="13700" xr3:uid="{C656EF6E-6E04-4851-9737-1EB857D81349}" name="Column13676" dataDxfId="2709"/>
    <tableColumn id="13701" xr3:uid="{C6358A70-CCB7-409B-B505-0126C4BC9D82}" name="Column13677" dataDxfId="2708"/>
    <tableColumn id="13702" xr3:uid="{4C17ED7E-E5B2-498C-B534-D87B55047372}" name="Column13678" dataDxfId="2707"/>
    <tableColumn id="13703" xr3:uid="{4A966C04-7AF3-4A3E-987D-953A0773D360}" name="Column13679" dataDxfId="2706"/>
    <tableColumn id="13704" xr3:uid="{CC37AD92-7E57-4329-BA45-1C37F6D65955}" name="Column13680" dataDxfId="2705"/>
    <tableColumn id="13705" xr3:uid="{265AD3F1-2B30-40B6-9DFC-86449F1F173D}" name="Column13681" dataDxfId="2704"/>
    <tableColumn id="13706" xr3:uid="{A8D51755-F04A-4B2D-AEBD-3AC0622E9E82}" name="Column13682" dataDxfId="2703"/>
    <tableColumn id="13707" xr3:uid="{B29DAE19-BB4D-405B-9288-A456A4484EE7}" name="Column13683" dataDxfId="2702"/>
    <tableColumn id="13708" xr3:uid="{8E7AC254-94E2-42F7-A223-D25904EA8EE8}" name="Column13684" dataDxfId="2701"/>
    <tableColumn id="13709" xr3:uid="{6CFEBB28-830A-4A02-A79F-D286673D53DA}" name="Column13685" dataDxfId="2700"/>
    <tableColumn id="13710" xr3:uid="{DCAE2566-5C3F-4A77-A6B3-47DB1474FA08}" name="Column13686" dataDxfId="2699"/>
    <tableColumn id="13711" xr3:uid="{39E35506-5364-47C7-AB5A-86AB91686335}" name="Column13687" dataDxfId="2698"/>
    <tableColumn id="13712" xr3:uid="{4AF80299-B8A8-40FA-9B47-98839B8FA7D0}" name="Column13688" dataDxfId="2697"/>
    <tableColumn id="13713" xr3:uid="{6F4A6CAE-3946-4534-B11F-6026DC05C339}" name="Column13689" dataDxfId="2696"/>
    <tableColumn id="13714" xr3:uid="{FE49168D-F851-43FB-8DAA-1E5215C76B7E}" name="Column13690" dataDxfId="2695"/>
    <tableColumn id="13715" xr3:uid="{6CC46873-FC46-4598-91A9-78C7F519D528}" name="Column13691" dataDxfId="2694"/>
    <tableColumn id="13716" xr3:uid="{7956A5F4-ADB6-4DD4-A066-F31B92C3CA6E}" name="Column13692" dataDxfId="2693"/>
    <tableColumn id="13717" xr3:uid="{2CAE3A99-626B-4E73-BC9D-5AF9783F86E3}" name="Column13693" dataDxfId="2692"/>
    <tableColumn id="13718" xr3:uid="{1EDF208D-8E77-4729-9D55-9488E42B84E9}" name="Column13694" dataDxfId="2691"/>
    <tableColumn id="13719" xr3:uid="{42B04694-2499-4F9E-B673-D274D4BED71D}" name="Column13695" dataDxfId="2690"/>
    <tableColumn id="13720" xr3:uid="{A6B5B234-7308-434D-B91A-385C189A6790}" name="Column13696" dataDxfId="2689"/>
    <tableColumn id="13721" xr3:uid="{3A1FE0EE-0BCF-4D8F-93E0-5395C3BFA3AE}" name="Column13697" dataDxfId="2688"/>
    <tableColumn id="13722" xr3:uid="{5197A783-E3EE-4A00-983A-55B5042E4AE1}" name="Column13698" dataDxfId="2687"/>
    <tableColumn id="13723" xr3:uid="{C54427FF-B742-4C34-8A0C-8A89510AF849}" name="Column13699" dataDxfId="2686"/>
    <tableColumn id="13724" xr3:uid="{3E304693-4551-4803-95CF-D4C0432A37A8}" name="Column13700" dataDxfId="2685"/>
    <tableColumn id="13725" xr3:uid="{1EA3674F-EBE6-40D2-A146-C6DE9605D503}" name="Column13701" dataDxfId="2684"/>
    <tableColumn id="13726" xr3:uid="{1C8E6579-65AD-47D9-BF3C-238D9858371B}" name="Column13702" dataDxfId="2683"/>
    <tableColumn id="13727" xr3:uid="{0B5B3B4A-4063-4D97-B893-1F5DEC635AC2}" name="Column13703" dataDxfId="2682"/>
    <tableColumn id="13728" xr3:uid="{623840E3-1898-4615-A109-DBB3BECB2F71}" name="Column13704" dataDxfId="2681"/>
    <tableColumn id="13729" xr3:uid="{6829E51D-5DA1-4D6A-BC41-F3EE877A4C74}" name="Column13705" dataDxfId="2680"/>
    <tableColumn id="13730" xr3:uid="{FBA2D900-A09D-4422-A2F4-2891B9233148}" name="Column13706" dataDxfId="2679"/>
    <tableColumn id="13731" xr3:uid="{B5A33109-98A4-4C8F-B57F-106C926E6C7F}" name="Column13707" dataDxfId="2678"/>
    <tableColumn id="13732" xr3:uid="{346D4AC6-D239-4EF3-AA66-29E64D0F38C8}" name="Column13708" dataDxfId="2677"/>
    <tableColumn id="13733" xr3:uid="{C2E813AD-7F51-4A80-88A2-261145CC0B36}" name="Column13709" dataDxfId="2676"/>
    <tableColumn id="13734" xr3:uid="{8AF7C996-4882-4264-9D54-AAB655E950D0}" name="Column13710" dataDxfId="2675"/>
    <tableColumn id="13735" xr3:uid="{FB522697-2766-4635-AB4E-EBD7578A3D84}" name="Column13711" dataDxfId="2674"/>
    <tableColumn id="13736" xr3:uid="{8C849502-A564-442F-B5F9-B2272D0D2C1C}" name="Column13712" dataDxfId="2673"/>
    <tableColumn id="13737" xr3:uid="{1BD42BD0-B8E8-4D09-A090-50565FDC335B}" name="Column13713" dataDxfId="2672"/>
    <tableColumn id="13738" xr3:uid="{E9151017-F1A3-4D1F-81D6-86E23F46AA1E}" name="Column13714" dataDxfId="2671"/>
    <tableColumn id="13739" xr3:uid="{74E2FA56-3A32-489B-ADFF-4D61ED468C29}" name="Column13715" dataDxfId="2670"/>
    <tableColumn id="13740" xr3:uid="{04412B51-918F-4C31-A60F-EAD696CE0F65}" name="Column13716" dataDxfId="2669"/>
    <tableColumn id="13741" xr3:uid="{A9423D6C-49FA-4EDF-95F1-09073FA2BE14}" name="Column13717" dataDxfId="2668"/>
    <tableColumn id="13742" xr3:uid="{27CB8503-E604-40E0-BA87-9D065D5A9047}" name="Column13718" dataDxfId="2667"/>
    <tableColumn id="13743" xr3:uid="{12F0F52B-138C-4FAF-9BF0-6B0EDF4E973F}" name="Column13719" dataDxfId="2666"/>
    <tableColumn id="13744" xr3:uid="{9407DE89-DEA5-46D1-B877-4822FA38C3FF}" name="Column13720" dataDxfId="2665"/>
    <tableColumn id="13745" xr3:uid="{26084C4B-628F-41BE-A298-E74C5B1C6290}" name="Column13721" dataDxfId="2664"/>
    <tableColumn id="13746" xr3:uid="{E5CC19A3-61FD-4FBB-A60B-758C92B41391}" name="Column13722" dataDxfId="2663"/>
    <tableColumn id="13747" xr3:uid="{0BE280DD-312D-4259-A3B0-4FB955804152}" name="Column13723" dataDxfId="2662"/>
    <tableColumn id="13748" xr3:uid="{4E58D451-0274-4EDB-8AAF-19756EB804F9}" name="Column13724" dataDxfId="2661"/>
    <tableColumn id="13749" xr3:uid="{235F21A6-9A58-4A2B-BB11-2514D56F44A1}" name="Column13725" dataDxfId="2660"/>
    <tableColumn id="13750" xr3:uid="{6A4486CE-C60B-4DCC-8FC9-1C918E242F9A}" name="Column13726" dataDxfId="2659"/>
    <tableColumn id="13751" xr3:uid="{9FE8EA03-6707-4E99-A830-58E3BE44578B}" name="Column13727" dataDxfId="2658"/>
    <tableColumn id="13752" xr3:uid="{96657A21-AB41-4B4D-9B40-4AC3AAAF4BD0}" name="Column13728" dataDxfId="2657"/>
    <tableColumn id="13753" xr3:uid="{3F750F44-5A42-4932-AFAA-210E95307E5A}" name="Column13729" dataDxfId="2656"/>
    <tableColumn id="13754" xr3:uid="{ACF2E3FC-B92F-4940-A4FB-7C3DCCE35A54}" name="Column13730" dataDxfId="2655"/>
    <tableColumn id="13755" xr3:uid="{856DF3D7-BA9A-433A-96E7-46B9AFA59BF4}" name="Column13731" dataDxfId="2654"/>
    <tableColumn id="13756" xr3:uid="{AD9CCB81-FE3B-4382-87FB-6F20CA566FB0}" name="Column13732" dataDxfId="2653"/>
    <tableColumn id="13757" xr3:uid="{72221B8E-7792-4445-9414-C15D814286B2}" name="Column13733" dataDxfId="2652"/>
    <tableColumn id="13758" xr3:uid="{811D4E67-30DA-406A-B7BB-7E57CB8F9BE5}" name="Column13734" dataDxfId="2651"/>
    <tableColumn id="13759" xr3:uid="{1089DB46-449A-4E1E-B9F3-2440CDE3F743}" name="Column13735" dataDxfId="2650"/>
    <tableColumn id="13760" xr3:uid="{DF957AA3-CB24-4DFC-A392-F4AFD631772D}" name="Column13736" dataDxfId="2649"/>
    <tableColumn id="13761" xr3:uid="{9EAEF102-3F0E-4E8E-932A-AB2D39F3FF51}" name="Column13737" dataDxfId="2648"/>
    <tableColumn id="13762" xr3:uid="{ABC3DA58-D7E0-47AD-8442-174F575FAD4E}" name="Column13738" dataDxfId="2647"/>
    <tableColumn id="13763" xr3:uid="{E62065D7-537F-4211-8AAD-73A822953472}" name="Column13739" dataDxfId="2646"/>
    <tableColumn id="13764" xr3:uid="{B18E9269-1F95-49CD-AD5B-ED68922BA066}" name="Column13740" dataDxfId="2645"/>
    <tableColumn id="13765" xr3:uid="{9591E298-1DAE-4C11-92A7-738BAE3B4FE2}" name="Column13741" dataDxfId="2644"/>
    <tableColumn id="13766" xr3:uid="{2DB7C438-F624-4C0B-9669-A12607197D56}" name="Column13742" dataDxfId="2643"/>
    <tableColumn id="13767" xr3:uid="{A0A44AF8-39ED-4A8F-A3BB-4D6A121FF916}" name="Column13743" dataDxfId="2642"/>
    <tableColumn id="13768" xr3:uid="{6A9F3004-EC87-4EDE-BD8F-5CE214E07196}" name="Column13744" dataDxfId="2641"/>
    <tableColumn id="13769" xr3:uid="{2F598080-16A2-47C6-8886-6F454E60E364}" name="Column13745" dataDxfId="2640"/>
    <tableColumn id="13770" xr3:uid="{552F80BB-DA8B-46C2-9A05-FAD7F097E6EE}" name="Column13746" dataDxfId="2639"/>
    <tableColumn id="13771" xr3:uid="{9C2AB5D9-36C1-4646-8328-CEFD16B562D4}" name="Column13747" dataDxfId="2638"/>
    <tableColumn id="13772" xr3:uid="{05E8E472-B283-4D77-83B4-9EB0933B612B}" name="Column13748" dataDxfId="2637"/>
    <tableColumn id="13773" xr3:uid="{57EA7520-3801-4531-80FF-3A3D93A737B8}" name="Column13749" dataDxfId="2636"/>
    <tableColumn id="13774" xr3:uid="{D92870E8-A2F4-4B0C-8886-B30F16AD54F9}" name="Column13750" dataDxfId="2635"/>
    <tableColumn id="13775" xr3:uid="{FF5FDDA7-2E83-4557-9EFE-7DC7D52F148C}" name="Column13751" dataDxfId="2634"/>
    <tableColumn id="13776" xr3:uid="{94E8B52C-CF10-4BF9-8C8A-97D52CBCBEA6}" name="Column13752" dataDxfId="2633"/>
    <tableColumn id="13777" xr3:uid="{9E8A2029-495E-4CB7-995D-6D3C7789E1D2}" name="Column13753" dataDxfId="2632"/>
    <tableColumn id="13778" xr3:uid="{3A728E22-B24B-4E01-B6BC-DA7895F09F4D}" name="Column13754" dataDxfId="2631"/>
    <tableColumn id="13779" xr3:uid="{9EA84AA4-52A5-4B60-83CE-A1D8FB4C97F5}" name="Column13755" dataDxfId="2630"/>
    <tableColumn id="13780" xr3:uid="{3DD83837-6403-4F27-A507-15A155DE7020}" name="Column13756" dataDxfId="2629"/>
    <tableColumn id="13781" xr3:uid="{2906467C-2DA8-4160-8445-A172F5E3043E}" name="Column13757" dataDxfId="2628"/>
    <tableColumn id="13782" xr3:uid="{10D5CDDA-BF80-44EB-958D-A1BCAC06DBC6}" name="Column13758" dataDxfId="2627"/>
    <tableColumn id="13783" xr3:uid="{7AB27171-6183-4C87-9938-D21B036496FA}" name="Column13759" dataDxfId="2626"/>
    <tableColumn id="13784" xr3:uid="{3A04F424-9D7A-43D9-BB40-CAA98D39C9BB}" name="Column13760" dataDxfId="2625"/>
    <tableColumn id="13785" xr3:uid="{1D20A364-3121-48FB-9C5E-4E6CC04CE9BB}" name="Column13761" dataDxfId="2624"/>
    <tableColumn id="13786" xr3:uid="{5999FBFF-C2C9-4BE4-9B5F-1A9A8F5CD614}" name="Column13762" dataDxfId="2623"/>
    <tableColumn id="13787" xr3:uid="{AFACFD6E-F9C5-442C-B04A-64CA54A3A53D}" name="Column13763" dataDxfId="2622"/>
    <tableColumn id="13788" xr3:uid="{876D64C8-40AA-4285-B976-F26344ED976F}" name="Column13764" dataDxfId="2621"/>
    <tableColumn id="13789" xr3:uid="{B712DF07-E492-46A2-8264-B94BF1E7E1B0}" name="Column13765" dataDxfId="2620"/>
    <tableColumn id="13790" xr3:uid="{2CB7FBFD-F025-4078-B49C-7F5A5B9A848F}" name="Column13766" dataDxfId="2619"/>
    <tableColumn id="13791" xr3:uid="{33419611-7EE0-4A1E-A902-226D45C26709}" name="Column13767" dataDxfId="2618"/>
    <tableColumn id="13792" xr3:uid="{7D4E913D-12EB-4D7A-B916-E1645CC95E4C}" name="Column13768" dataDxfId="2617"/>
    <tableColumn id="13793" xr3:uid="{942B5FF7-6D75-4BB5-9210-FFBF0EEFD47A}" name="Column13769" dataDxfId="2616"/>
    <tableColumn id="13794" xr3:uid="{E2B8E9F1-3CFA-4200-A490-A5C7B963E4E9}" name="Column13770" dataDxfId="2615"/>
    <tableColumn id="13795" xr3:uid="{BAF137AA-F273-40A9-BFC1-FF4F0DB93757}" name="Column13771" dataDxfId="2614"/>
    <tableColumn id="13796" xr3:uid="{EA13BABC-B28A-4AB1-926F-A79ADF1DBA37}" name="Column13772" dataDxfId="2613"/>
    <tableColumn id="13797" xr3:uid="{9BC92ADF-E52A-4F0F-A0DC-97D00D4B97F4}" name="Column13773" dataDxfId="2612"/>
    <tableColumn id="13798" xr3:uid="{3B94101C-1896-4EA8-A6F1-1F09287BEC92}" name="Column13774" dataDxfId="2611"/>
    <tableColumn id="13799" xr3:uid="{C9477B28-7C46-42B9-B840-ED07F3001526}" name="Column13775" dataDxfId="2610"/>
    <tableColumn id="13800" xr3:uid="{D381EE2A-4F7E-4044-AA5C-3F4CDCC292DA}" name="Column13776" dataDxfId="2609"/>
    <tableColumn id="13801" xr3:uid="{5EF08506-1C3F-4C9B-B4D7-5E3FF63BF18B}" name="Column13777" dataDxfId="2608"/>
    <tableColumn id="13802" xr3:uid="{0F106434-A2E5-478C-BC17-0E3D0E423A79}" name="Column13778" dataDxfId="2607"/>
    <tableColumn id="13803" xr3:uid="{16EDEB9D-B28E-4EEE-9460-101E99617A30}" name="Column13779" dataDxfId="2606"/>
    <tableColumn id="13804" xr3:uid="{C84F29A4-C695-42D8-A782-0E9440E49C96}" name="Column13780" dataDxfId="2605"/>
    <tableColumn id="13805" xr3:uid="{14B087C0-84EB-42EF-9A4E-25349A4F6F02}" name="Column13781" dataDxfId="2604"/>
    <tableColumn id="13806" xr3:uid="{7A2B5A1B-52FE-4510-BBA3-DC9880C22165}" name="Column13782" dataDxfId="2603"/>
    <tableColumn id="13807" xr3:uid="{A1490152-F3B1-401D-A7B9-21849B17D8B3}" name="Column13783" dataDxfId="2602"/>
    <tableColumn id="13808" xr3:uid="{95035FEA-1D4C-4759-A255-7D73B229CC02}" name="Column13784" dataDxfId="2601"/>
    <tableColumn id="13809" xr3:uid="{FC99CAF8-E2ED-4431-802E-21C374C7C3D9}" name="Column13785" dataDxfId="2600"/>
    <tableColumn id="13810" xr3:uid="{FE259154-1B44-4CF2-B0B9-E1F9095F7368}" name="Column13786" dataDxfId="2599"/>
    <tableColumn id="13811" xr3:uid="{87DF8B9A-A9A5-4C8C-943F-0DB11E27EF66}" name="Column13787" dataDxfId="2598"/>
    <tableColumn id="13812" xr3:uid="{FFEB54BC-2BD0-4891-812E-99890F81BEF7}" name="Column13788" dataDxfId="2597"/>
    <tableColumn id="13813" xr3:uid="{0ED8782E-D970-410A-8A37-FCB125C7B83C}" name="Column13789" dataDxfId="2596"/>
    <tableColumn id="13814" xr3:uid="{E39858B9-B32A-4A42-91DA-FBD93A43F593}" name="Column13790" dataDxfId="2595"/>
    <tableColumn id="13815" xr3:uid="{16F11692-0D91-4625-A638-10AF592A2577}" name="Column13791" dataDxfId="2594"/>
    <tableColumn id="13816" xr3:uid="{EB47F7C2-19FC-4E3B-84E3-0A30A3CBABAE}" name="Column13792" dataDxfId="2593"/>
    <tableColumn id="13817" xr3:uid="{5DC1BD69-F5E9-4073-AAC3-41FDBBEFD845}" name="Column13793" dataDxfId="2592"/>
    <tableColumn id="13818" xr3:uid="{C865614E-193E-4471-9181-885712DBE7F1}" name="Column13794" dataDxfId="2591"/>
    <tableColumn id="13819" xr3:uid="{6ED6DD86-4BF0-4154-B21B-61EB0C9BDFD8}" name="Column13795" dataDxfId="2590"/>
    <tableColumn id="13820" xr3:uid="{3E8088CC-C874-425C-8896-B0805BC7763C}" name="Column13796" dataDxfId="2589"/>
    <tableColumn id="13821" xr3:uid="{E95EB669-C26E-41BA-BFC7-D92D5313FF57}" name="Column13797" dataDxfId="2588"/>
    <tableColumn id="13822" xr3:uid="{B3ED05E1-30AA-4285-9B89-0C6B7C7DD395}" name="Column13798" dataDxfId="2587"/>
    <tableColumn id="13823" xr3:uid="{3FD344C1-B9A0-440C-9851-8D1B61EF8AC8}" name="Column13799" dataDxfId="2586"/>
    <tableColumn id="13824" xr3:uid="{15C1B777-3E27-4B24-A2D2-5D3C35E80828}" name="Column13800" dataDxfId="2585"/>
    <tableColumn id="13825" xr3:uid="{F61DC21C-B74C-499D-BC58-909BDF2D9559}" name="Column13801" dataDxfId="2584"/>
    <tableColumn id="13826" xr3:uid="{B73968C5-52ED-4C3C-BC5F-9B2C921B127F}" name="Column13802" dataDxfId="2583"/>
    <tableColumn id="13827" xr3:uid="{B05CFC5B-08AE-4A92-9361-FE1C60618CCD}" name="Column13803" dataDxfId="2582"/>
    <tableColumn id="13828" xr3:uid="{D63EA569-D8CB-4C6C-B77B-C99C79C58142}" name="Column13804" dataDxfId="2581"/>
    <tableColumn id="13829" xr3:uid="{C1DD9C47-AA0F-454F-9E4D-9C32EFC06A9A}" name="Column13805" dataDxfId="2580"/>
    <tableColumn id="13830" xr3:uid="{5D6C9F16-5243-4F1E-A49E-ED06C62FA479}" name="Column13806" dataDxfId="2579"/>
    <tableColumn id="13831" xr3:uid="{53009A4A-B05C-4689-A82B-14B5D78FB7A3}" name="Column13807" dataDxfId="2578"/>
    <tableColumn id="13832" xr3:uid="{7C0883F5-7A78-4E9A-846A-F2D30C225A5D}" name="Column13808" dataDxfId="2577"/>
    <tableColumn id="13833" xr3:uid="{D5459679-78A9-41FE-932E-A58E32ED16A3}" name="Column13809" dataDxfId="2576"/>
    <tableColumn id="13834" xr3:uid="{9723C223-53EB-4AEE-93AB-6F7C9738D193}" name="Column13810" dataDxfId="2575"/>
    <tableColumn id="13835" xr3:uid="{20EBE53C-12B4-4286-A18D-E6F2858095C6}" name="Column13811" dataDxfId="2574"/>
    <tableColumn id="13836" xr3:uid="{50E048A1-54B4-4F40-BE8D-17A3BF956E1C}" name="Column13812" dataDxfId="2573"/>
    <tableColumn id="13837" xr3:uid="{8A9B1636-A7D0-4A0E-B589-F58C2D6C638C}" name="Column13813" dataDxfId="2572"/>
    <tableColumn id="13838" xr3:uid="{958D58C8-933E-412F-97A8-734E1D7EC00A}" name="Column13814" dataDxfId="2571"/>
    <tableColumn id="13839" xr3:uid="{C817A386-A9E5-4226-8F46-6E5F30B2ACB2}" name="Column13815" dataDxfId="2570"/>
    <tableColumn id="13840" xr3:uid="{504FB290-676C-4B05-8EE6-BBE33FD8FD12}" name="Column13816" dataDxfId="2569"/>
    <tableColumn id="13841" xr3:uid="{A2715D08-12BA-404F-B3E3-DA7DEC83E9AE}" name="Column13817" dataDxfId="2568"/>
    <tableColumn id="13842" xr3:uid="{5463C938-A3B0-49DE-A700-866BE8EDF76D}" name="Column13818" dataDxfId="2567"/>
    <tableColumn id="13843" xr3:uid="{C8FFB38F-3519-49B0-8231-41500228E8BA}" name="Column13819" dataDxfId="2566"/>
    <tableColumn id="13844" xr3:uid="{82607717-ACFB-492E-B2E3-7464452978DC}" name="Column13820" dataDxfId="2565"/>
    <tableColumn id="13845" xr3:uid="{7D8A7BD6-AC3F-44FB-8BE1-1E93F8C06245}" name="Column13821" dataDxfId="2564"/>
    <tableColumn id="13846" xr3:uid="{88B7AEC7-815F-46F3-9D8E-3AE87962E9EF}" name="Column13822" dataDxfId="2563"/>
    <tableColumn id="13847" xr3:uid="{DF779F88-17D0-4C7E-BC2C-81FC88EA2E77}" name="Column13823" dataDxfId="2562"/>
    <tableColumn id="13848" xr3:uid="{848527C4-729D-425B-B25A-4FD4C0109831}" name="Column13824" dataDxfId="2561"/>
    <tableColumn id="13849" xr3:uid="{94B71F2E-F7C1-4355-8DCF-2DE9087E1AD8}" name="Column13825" dataDxfId="2560"/>
    <tableColumn id="13850" xr3:uid="{0171C81A-BA63-48BA-9D10-7C8A2ABAEE7A}" name="Column13826" dataDxfId="2559"/>
    <tableColumn id="13851" xr3:uid="{B05C5B44-6C01-4606-8BA8-A47CA620A2FE}" name="Column13827" dataDxfId="2558"/>
    <tableColumn id="13852" xr3:uid="{6936EC5B-8B34-485D-8A41-DE71B5F1A21A}" name="Column13828" dataDxfId="2557"/>
    <tableColumn id="13853" xr3:uid="{6BEC1236-C4D0-4434-8A5C-C5C1DB86E6BA}" name="Column13829" dataDxfId="2556"/>
    <tableColumn id="13854" xr3:uid="{441708DC-628B-466F-B728-F0DE5C33ADD0}" name="Column13830" dataDxfId="2555"/>
    <tableColumn id="13855" xr3:uid="{F394F36F-DA7B-4E84-9FEF-8628B3DE4FAF}" name="Column13831" dataDxfId="2554"/>
    <tableColumn id="13856" xr3:uid="{E327F6CF-9824-4A9D-A5E7-5B5A3FA15526}" name="Column13832" dataDxfId="2553"/>
    <tableColumn id="13857" xr3:uid="{8406B23A-868F-44B9-A595-188A12A81647}" name="Column13833" dataDxfId="2552"/>
    <tableColumn id="13858" xr3:uid="{AEA07125-1937-4343-A1DF-B22433A9822E}" name="Column13834" dataDxfId="2551"/>
    <tableColumn id="13859" xr3:uid="{8F788B64-7C6A-4636-B83E-F30D73CBDA50}" name="Column13835" dataDxfId="2550"/>
    <tableColumn id="13860" xr3:uid="{CDE6DDDE-B7EC-4938-85DD-9E02C1946619}" name="Column13836" dataDxfId="2549"/>
    <tableColumn id="13861" xr3:uid="{1BD4C4B3-7AB4-453D-B260-C3E2F59CDE05}" name="Column13837" dataDxfId="2548"/>
    <tableColumn id="13862" xr3:uid="{D98AF795-2B90-4FCF-A668-919E0DC147A7}" name="Column13838" dataDxfId="2547"/>
    <tableColumn id="13863" xr3:uid="{44264E4A-294C-4CE2-A4FE-02B10F0A7E11}" name="Column13839" dataDxfId="2546"/>
    <tableColumn id="13864" xr3:uid="{AF0AC95A-9DFB-48F0-B68B-30DA29766173}" name="Column13840" dataDxfId="2545"/>
    <tableColumn id="13865" xr3:uid="{EC5CDF06-8FC6-416C-9334-84D85740E2CC}" name="Column13841" dataDxfId="2544"/>
    <tableColumn id="13866" xr3:uid="{2CD8FDAA-3069-4F30-96DE-261234C2738A}" name="Column13842" dataDxfId="2543"/>
    <tableColumn id="13867" xr3:uid="{44CA68D8-620E-4CD6-A188-E00272F789DD}" name="Column13843" dataDxfId="2542"/>
    <tableColumn id="13868" xr3:uid="{3256C2C6-B6DC-4C5F-B972-78123E85A5AC}" name="Column13844" dataDxfId="2541"/>
    <tableColumn id="13869" xr3:uid="{F44FE57D-E7D2-452B-B7E1-F65E78C69741}" name="Column13845" dataDxfId="2540"/>
    <tableColumn id="13870" xr3:uid="{041506F6-B533-4693-91C0-B51784862FC3}" name="Column13846" dataDxfId="2539"/>
    <tableColumn id="13871" xr3:uid="{DBA0FE1A-58F9-4450-BD69-A161DC8D4493}" name="Column13847" dataDxfId="2538"/>
    <tableColumn id="13872" xr3:uid="{691CD5AE-D84C-4931-8B95-40C5DC96AD19}" name="Column13848" dataDxfId="2537"/>
    <tableColumn id="13873" xr3:uid="{AD0751D9-D96B-4C4D-BF81-929DD36382A1}" name="Column13849" dataDxfId="2536"/>
    <tableColumn id="13874" xr3:uid="{0B31D73F-6A27-4CDC-90B0-40E2537BE755}" name="Column13850" dataDxfId="2535"/>
    <tableColumn id="13875" xr3:uid="{3BC84D3D-33CA-4AB3-B3AE-3D8B0A805C1F}" name="Column13851" dataDxfId="2534"/>
    <tableColumn id="13876" xr3:uid="{2194D3B7-4186-4AB6-92E0-204B4FC888A3}" name="Column13852" dataDxfId="2533"/>
    <tableColumn id="13877" xr3:uid="{2A321B82-84DC-4E4C-87AC-A17A65DECF1A}" name="Column13853" dataDxfId="2532"/>
    <tableColumn id="13878" xr3:uid="{3FF32CE6-8BBD-46FF-8CDE-E8522D047025}" name="Column13854" dataDxfId="2531"/>
    <tableColumn id="13879" xr3:uid="{1A2EA481-0796-4D42-9D06-2CBD4491C8E7}" name="Column13855" dataDxfId="2530"/>
    <tableColumn id="13880" xr3:uid="{B8855A5B-7CCF-494A-8BA9-3A48E4DBA965}" name="Column13856" dataDxfId="2529"/>
    <tableColumn id="13881" xr3:uid="{DDE302EA-3217-47DB-978D-DA1BA3B10934}" name="Column13857" dataDxfId="2528"/>
    <tableColumn id="13882" xr3:uid="{A27AB10F-DADF-4815-89A2-A1E4636FD9BE}" name="Column13858" dataDxfId="2527"/>
    <tableColumn id="13883" xr3:uid="{23E500DE-2FE7-4636-999F-5B9928CF07AE}" name="Column13859" dataDxfId="2526"/>
    <tableColumn id="13884" xr3:uid="{EB9DD6A7-92EF-47F2-A06B-B509175CAFD5}" name="Column13860" dataDxfId="2525"/>
    <tableColumn id="13885" xr3:uid="{C0CB1D09-52FB-47EA-9DAF-10A44793B25D}" name="Column13861" dataDxfId="2524"/>
    <tableColumn id="13886" xr3:uid="{AEBF8A15-0992-4243-9215-E0FB5DC2B0BC}" name="Column13862" dataDxfId="2523"/>
    <tableColumn id="13887" xr3:uid="{05AA9C79-1C58-4120-B0F2-E527C97B9054}" name="Column13863" dataDxfId="2522"/>
    <tableColumn id="13888" xr3:uid="{0D181609-A212-4277-8B72-416D4302F85D}" name="Column13864" dataDxfId="2521"/>
    <tableColumn id="13889" xr3:uid="{5748A2D6-DBD3-47A1-9ADB-62FB04CD1374}" name="Column13865" dataDxfId="2520"/>
    <tableColumn id="13890" xr3:uid="{34F31F26-C6F1-4502-8879-15D148B21F80}" name="Column13866" dataDxfId="2519"/>
    <tableColumn id="13891" xr3:uid="{C7E08757-462E-460D-98FD-684BB158B8D6}" name="Column13867" dataDxfId="2518"/>
    <tableColumn id="13892" xr3:uid="{95EB918D-986A-43B6-BF67-49E26B195952}" name="Column13868" dataDxfId="2517"/>
    <tableColumn id="13893" xr3:uid="{9D3FB1F4-B1F8-4AE5-9AD8-CA4311F1568B}" name="Column13869" dataDxfId="2516"/>
    <tableColumn id="13894" xr3:uid="{9179D772-6FB9-4906-9501-91CDBFC61C63}" name="Column13870" dataDxfId="2515"/>
    <tableColumn id="13895" xr3:uid="{35985C3E-F858-4EB1-AD08-20AA0E27C968}" name="Column13871" dataDxfId="2514"/>
    <tableColumn id="13896" xr3:uid="{F2ABA7BC-3324-420C-B0FB-D41DBB0CAD05}" name="Column13872" dataDxfId="2513"/>
    <tableColumn id="13897" xr3:uid="{A997022D-FA58-46C2-A8B7-CE36797D16D8}" name="Column13873" dataDxfId="2512"/>
    <tableColumn id="13898" xr3:uid="{EB682F8E-7E7C-45A8-889D-E016999D76CA}" name="Column13874" dataDxfId="2511"/>
    <tableColumn id="13899" xr3:uid="{52FE0848-2D27-4481-95BC-35C409853841}" name="Column13875" dataDxfId="2510"/>
    <tableColumn id="13900" xr3:uid="{51D0BDB6-5C19-4F1B-B077-80FFF2C2A038}" name="Column13876" dataDxfId="2509"/>
    <tableColumn id="13901" xr3:uid="{91E56775-8DC7-41A1-9A38-B69E98F507CE}" name="Column13877" dataDxfId="2508"/>
    <tableColumn id="13902" xr3:uid="{69CD417B-7509-4FEC-8161-FAB512367955}" name="Column13878" dataDxfId="2507"/>
    <tableColumn id="13903" xr3:uid="{ECFEEE9F-C647-403E-8988-1240C5AC7DB4}" name="Column13879" dataDxfId="2506"/>
    <tableColumn id="13904" xr3:uid="{09A80CD8-9ABF-469E-BC48-1ED61E8C7D66}" name="Column13880" dataDxfId="2505"/>
    <tableColumn id="13905" xr3:uid="{85D45FAA-968B-46AC-B04B-C00EDC0B9DD9}" name="Column13881" dataDxfId="2504"/>
    <tableColumn id="13906" xr3:uid="{538578FB-D4FC-404E-BA05-65FAD31AF497}" name="Column13882" dataDxfId="2503"/>
    <tableColumn id="13907" xr3:uid="{1E2AC5B2-C6B7-4420-837B-754223E5C29B}" name="Column13883" dataDxfId="2502"/>
    <tableColumn id="13908" xr3:uid="{4285F10A-4DDE-4316-A9FB-7E2C178B2BEE}" name="Column13884" dataDxfId="2501"/>
    <tableColumn id="13909" xr3:uid="{E6A1FBA0-1554-4523-BC96-C0C23B156D77}" name="Column13885" dataDxfId="2500"/>
    <tableColumn id="13910" xr3:uid="{92D51A48-44CA-4F46-B04F-1B14FE86A024}" name="Column13886" dataDxfId="2499"/>
    <tableColumn id="13911" xr3:uid="{385192DE-8721-41EE-ACF3-1E83CB55219B}" name="Column13887" dataDxfId="2498"/>
    <tableColumn id="13912" xr3:uid="{35FD62EE-4CCB-410F-AB60-D439001AB513}" name="Column13888" dataDxfId="2497"/>
    <tableColumn id="13913" xr3:uid="{307B9DEF-7DF7-482D-A567-935DAB1F9BF0}" name="Column13889" dataDxfId="2496"/>
    <tableColumn id="13914" xr3:uid="{2591FA9D-E969-483D-B3B7-A926D8C89764}" name="Column13890" dataDxfId="2495"/>
    <tableColumn id="13915" xr3:uid="{E6FA92D1-EC19-4A98-9ABD-D3C7F691C4F5}" name="Column13891" dataDxfId="2494"/>
    <tableColumn id="13916" xr3:uid="{4276FB98-7809-4025-98C5-C828B307CD00}" name="Column13892" dataDxfId="2493"/>
    <tableColumn id="13917" xr3:uid="{7D7BB1BE-5417-4BE7-A55F-146C82AB2130}" name="Column13893" dataDxfId="2492"/>
    <tableColumn id="13918" xr3:uid="{63D2A0A1-DE42-41E2-8266-487B530507CC}" name="Column13894" dataDxfId="2491"/>
    <tableColumn id="13919" xr3:uid="{7A120512-2986-42CA-8F0D-BFEF74839A50}" name="Column13895" dataDxfId="2490"/>
    <tableColumn id="13920" xr3:uid="{F4EEFB0F-682C-4247-998A-C821D2F807B2}" name="Column13896" dataDxfId="2489"/>
    <tableColumn id="13921" xr3:uid="{32FABE25-AE7D-4360-A0B3-75CEB8C1CB1A}" name="Column13897" dataDxfId="2488"/>
    <tableColumn id="13922" xr3:uid="{0B9E8A4F-556F-420E-8EFC-519BE394D0D5}" name="Column13898" dataDxfId="2487"/>
    <tableColumn id="13923" xr3:uid="{BF52587B-7327-4104-AB0E-E9B686920ED3}" name="Column13899" dataDxfId="2486"/>
    <tableColumn id="13924" xr3:uid="{F2BC52ED-2076-4722-8B3A-3B9A7A444B63}" name="Column13900" dataDxfId="2485"/>
    <tableColumn id="13925" xr3:uid="{3F5D2D47-46E4-4631-A04E-3B7DEF453B66}" name="Column13901" dataDxfId="2484"/>
    <tableColumn id="13926" xr3:uid="{46FAAC83-A66B-4F79-9FE4-B610197BC4F8}" name="Column13902" dataDxfId="2483"/>
    <tableColumn id="13927" xr3:uid="{4BE1BD17-E3F4-4A46-A80F-3174682C5D62}" name="Column13903" dataDxfId="2482"/>
    <tableColumn id="13928" xr3:uid="{522025FC-B136-4765-AA71-40EA66001094}" name="Column13904" dataDxfId="2481"/>
    <tableColumn id="13929" xr3:uid="{22517A03-A850-4C8A-8018-D0627B72B028}" name="Column13905" dataDxfId="2480"/>
    <tableColumn id="13930" xr3:uid="{E923D367-C327-46B8-9884-B52CE27ED949}" name="Column13906" dataDxfId="2479"/>
    <tableColumn id="13931" xr3:uid="{DA442B04-0304-44BA-AE6E-574AFEEB63DC}" name="Column13907" dataDxfId="2478"/>
    <tableColumn id="13932" xr3:uid="{3557B758-3670-4272-8575-B6A01759ECCF}" name="Column13908" dataDxfId="2477"/>
    <tableColumn id="13933" xr3:uid="{8FA4F037-D59F-4012-A495-76BE76884469}" name="Column13909" dataDxfId="2476"/>
    <tableColumn id="13934" xr3:uid="{00E359C7-C117-4D82-9BEF-AE82B29C49AD}" name="Column13910" dataDxfId="2475"/>
    <tableColumn id="13935" xr3:uid="{57160F2E-EDBD-440F-B9F6-0977EAD68190}" name="Column13911" dataDxfId="2474"/>
    <tableColumn id="13936" xr3:uid="{52F56EC5-5734-4D69-BEDB-4A9EE6D5C8B2}" name="Column13912" dataDxfId="2473"/>
    <tableColumn id="13937" xr3:uid="{FCDF6D87-5AF1-4E13-BCA2-38009FD7C352}" name="Column13913" dataDxfId="2472"/>
    <tableColumn id="13938" xr3:uid="{76411DA8-F58A-4CC8-806D-090C2250580C}" name="Column13914" dataDxfId="2471"/>
    <tableColumn id="13939" xr3:uid="{111D9AC1-0AAF-4D86-94B4-325FFB67F2E6}" name="Column13915" dataDxfId="2470"/>
    <tableColumn id="13940" xr3:uid="{B3B9F4F3-950F-4791-8F1B-C3B8932D3B62}" name="Column13916" dataDxfId="2469"/>
    <tableColumn id="13941" xr3:uid="{56D104D5-DFCF-49D6-B488-D8E0CDCB56B4}" name="Column13917" dataDxfId="2468"/>
    <tableColumn id="13942" xr3:uid="{28329D4F-2D46-4533-A0F1-2DBD5CF7C670}" name="Column13918" dataDxfId="2467"/>
    <tableColumn id="13943" xr3:uid="{EFD9F68E-33AB-4665-B15C-0C3380368243}" name="Column13919" dataDxfId="2466"/>
    <tableColumn id="13944" xr3:uid="{5365CE38-1D59-4BF3-8A5B-6D919C2B4504}" name="Column13920" dataDxfId="2465"/>
    <tableColumn id="13945" xr3:uid="{F57D6822-B7B4-4346-8EA0-8FF029B00287}" name="Column13921" dataDxfId="2464"/>
    <tableColumn id="13946" xr3:uid="{1B1CCB3C-0329-4605-846C-6E7C1B4C85C9}" name="Column13922" dataDxfId="2463"/>
    <tableColumn id="13947" xr3:uid="{B4114C0D-B0DB-4715-8858-2078B4ACE8A3}" name="Column13923" dataDxfId="2462"/>
    <tableColumn id="13948" xr3:uid="{064E9363-0601-4982-B98E-62CF39F45DA7}" name="Column13924" dataDxfId="2461"/>
    <tableColumn id="13949" xr3:uid="{37F0E9F1-0D02-4CF9-B3AC-CC5D3F5EAA98}" name="Column13925" dataDxfId="2460"/>
    <tableColumn id="13950" xr3:uid="{9754A7DA-DE79-4317-85B7-2BF60DF8CDE6}" name="Column13926" dataDxfId="2459"/>
    <tableColumn id="13951" xr3:uid="{5B023BD0-66F9-4109-9E88-E27125F9DFDA}" name="Column13927" dataDxfId="2458"/>
    <tableColumn id="13952" xr3:uid="{1014CF6D-82D5-4994-B5CF-DF966AFD1974}" name="Column13928" dataDxfId="2457"/>
    <tableColumn id="13953" xr3:uid="{E2561CA0-BD0E-40AC-A061-74CB53BECC5D}" name="Column13929" dataDxfId="2456"/>
    <tableColumn id="13954" xr3:uid="{2922E120-D4DC-45EC-A6CD-EB35179D113D}" name="Column13930" dataDxfId="2455"/>
    <tableColumn id="13955" xr3:uid="{1BC8054D-DB2B-40CE-936C-8F87AA3E9984}" name="Column13931" dataDxfId="2454"/>
    <tableColumn id="13956" xr3:uid="{41A92D71-AF97-4C1F-8976-40B98E939178}" name="Column13932" dataDxfId="2453"/>
    <tableColumn id="13957" xr3:uid="{1CD5EBD0-24DD-4704-82C8-6BE21F9BCC03}" name="Column13933" dataDxfId="2452"/>
    <tableColumn id="13958" xr3:uid="{F4FC8886-961A-470B-81E2-CA34D6CB4519}" name="Column13934" dataDxfId="2451"/>
    <tableColumn id="13959" xr3:uid="{3BFEA151-1F5C-46E9-9CF7-0043BE2C4630}" name="Column13935" dataDxfId="2450"/>
    <tableColumn id="13960" xr3:uid="{8A72AF6D-A8AD-4BEA-BCE0-EE1EB5AFD1D9}" name="Column13936" dataDxfId="2449"/>
    <tableColumn id="13961" xr3:uid="{A98BC674-A8EB-408E-965B-033AB2DB8E91}" name="Column13937" dataDxfId="2448"/>
    <tableColumn id="13962" xr3:uid="{C6ECFABE-AF75-46EC-86F0-522D1EEF151A}" name="Column13938" dataDxfId="2447"/>
    <tableColumn id="13963" xr3:uid="{7F350366-1E13-4A55-A3F3-A6CA5BBCBBBF}" name="Column13939" dataDxfId="2446"/>
    <tableColumn id="13964" xr3:uid="{7F4CD50E-DA9A-4F00-A46D-E26BB1998D0A}" name="Column13940" dataDxfId="2445"/>
    <tableColumn id="13965" xr3:uid="{564AD8D6-5E75-4615-8985-915DC3F51E05}" name="Column13941" dataDxfId="2444"/>
    <tableColumn id="13966" xr3:uid="{D05BD57E-266C-453C-8520-0ED5BF7BD8B8}" name="Column13942" dataDxfId="2443"/>
    <tableColumn id="13967" xr3:uid="{63F50E76-BBF4-46A8-9C0D-E3EAE7A4C37A}" name="Column13943" dataDxfId="2442"/>
    <tableColumn id="13968" xr3:uid="{EFA018FE-FB2C-49C9-8E9E-A7E5112F9856}" name="Column13944" dataDxfId="2441"/>
    <tableColumn id="13969" xr3:uid="{2772737E-2E46-4FD7-AD3C-5780444A9E65}" name="Column13945" dataDxfId="2440"/>
    <tableColumn id="13970" xr3:uid="{3FA0D03C-DBEF-43BD-BE20-D4761A5F0687}" name="Column13946" dataDxfId="2439"/>
    <tableColumn id="13971" xr3:uid="{0A7175FD-236A-4415-AD94-1E5D06055DDC}" name="Column13947" dataDxfId="2438"/>
    <tableColumn id="13972" xr3:uid="{31BEBD01-16EB-4A3F-9C1B-25A3BB0BB5C8}" name="Column13948" dataDxfId="2437"/>
    <tableColumn id="13973" xr3:uid="{57F2B232-37FE-4953-8F81-36A48A55C578}" name="Column13949" dataDxfId="2436"/>
    <tableColumn id="13974" xr3:uid="{B17E19F2-C277-4A8D-B2BB-EB9C9D8CD441}" name="Column13950" dataDxfId="2435"/>
    <tableColumn id="13975" xr3:uid="{5A620E13-C10D-4A31-96B2-89885D724140}" name="Column13951" dataDxfId="2434"/>
    <tableColumn id="13976" xr3:uid="{3CE4AFC0-A7EE-450B-AE09-0ADC26A89526}" name="Column13952" dataDxfId="2433"/>
    <tableColumn id="13977" xr3:uid="{3D1CFF63-055A-43F5-A7AE-92C7144EAB55}" name="Column13953" dataDxfId="2432"/>
    <tableColumn id="13978" xr3:uid="{9DD610D0-227F-4355-8779-7297DB0F6234}" name="Column13954" dataDxfId="2431"/>
    <tableColumn id="13979" xr3:uid="{E97E23E4-BF04-4A7E-9055-4E07EEB9D4C5}" name="Column13955" dataDxfId="2430"/>
    <tableColumn id="13980" xr3:uid="{8D5D3678-F7C3-4FDA-AA86-2334898EB2C9}" name="Column13956" dataDxfId="2429"/>
    <tableColumn id="13981" xr3:uid="{00393C3D-4412-46E4-98B5-2C369DCDA9BB}" name="Column13957" dataDxfId="2428"/>
    <tableColumn id="13982" xr3:uid="{F3FE884F-606A-4155-A847-B5B14672A617}" name="Column13958" dataDxfId="2427"/>
    <tableColumn id="13983" xr3:uid="{61258687-0346-4667-AC3B-0E0547EE1AEA}" name="Column13959" dataDxfId="2426"/>
    <tableColumn id="13984" xr3:uid="{E37840A6-343C-48B2-9633-BB00FC373A90}" name="Column13960" dataDxfId="2425"/>
    <tableColumn id="13985" xr3:uid="{1DF5733A-F48C-4ED7-B5E0-17AD29F1DBF7}" name="Column13961" dataDxfId="2424"/>
    <tableColumn id="13986" xr3:uid="{2271D127-E624-4531-97EE-F05D46F7EBE5}" name="Column13962" dataDxfId="2423"/>
    <tableColumn id="13987" xr3:uid="{5DE2AB03-B5B5-49CF-8EEC-FCDFF06A229E}" name="Column13963" dataDxfId="2422"/>
    <tableColumn id="13988" xr3:uid="{24E085CD-A2B2-4E3C-9729-C104B846561E}" name="Column13964" dataDxfId="2421"/>
    <tableColumn id="13989" xr3:uid="{71B45E6E-0C73-4F31-BCF0-AF8787CBD587}" name="Column13965" dataDxfId="2420"/>
    <tableColumn id="13990" xr3:uid="{5C4A7F78-FEA5-4EA7-9CD7-74C55366B90B}" name="Column13966" dataDxfId="2419"/>
    <tableColumn id="13991" xr3:uid="{632B4BC1-2E57-4DFB-B9F2-8FDC7272B3C8}" name="Column13967" dataDxfId="2418"/>
    <tableColumn id="13992" xr3:uid="{C32F7806-F1D1-4E81-934B-B05924CA92DD}" name="Column13968" dataDxfId="2417"/>
    <tableColumn id="13993" xr3:uid="{453E373A-02F5-4663-8E51-79808AB960E3}" name="Column13969" dataDxfId="2416"/>
    <tableColumn id="13994" xr3:uid="{74FC8E08-F397-4D50-849F-3448E7D42D24}" name="Column13970" dataDxfId="2415"/>
    <tableColumn id="13995" xr3:uid="{10E51A60-5338-40E5-9E8B-5C4FE8032D6F}" name="Column13971" dataDxfId="2414"/>
    <tableColumn id="13996" xr3:uid="{8B2AE427-8D7E-4986-93F9-70CBABA4F70D}" name="Column13972" dataDxfId="2413"/>
    <tableColumn id="13997" xr3:uid="{E6D6A9B4-FDB6-400E-9ECE-8AA8AD041FEE}" name="Column13973" dataDxfId="2412"/>
    <tableColumn id="13998" xr3:uid="{1050F2C3-4C86-4D56-9251-289D6BFF1250}" name="Column13974" dataDxfId="2411"/>
    <tableColumn id="13999" xr3:uid="{169180B2-C79C-46A8-AA87-050941BE9B8B}" name="Column13975" dataDxfId="2410"/>
    <tableColumn id="14000" xr3:uid="{670A3F74-050D-45C0-B852-04D572781A24}" name="Column13976" dataDxfId="2409"/>
    <tableColumn id="14001" xr3:uid="{3B4FAD48-97B1-4A28-AEE8-1444A5896FD0}" name="Column13977" dataDxfId="2408"/>
    <tableColumn id="14002" xr3:uid="{52D310AC-68E1-402D-B0E0-42C473A31443}" name="Column13978" dataDxfId="2407"/>
    <tableColumn id="14003" xr3:uid="{53791F8D-AD54-4766-B6D7-4C93561352FC}" name="Column13979" dataDxfId="2406"/>
    <tableColumn id="14004" xr3:uid="{2D265762-EFD2-4E5C-BE1A-5966D2C271C1}" name="Column13980" dataDxfId="2405"/>
    <tableColumn id="14005" xr3:uid="{65A8C1DD-1579-4CEA-99CC-94164B141CF5}" name="Column13981" dataDxfId="2404"/>
    <tableColumn id="14006" xr3:uid="{B8D01A7B-590B-4ED4-97C5-83962B20D9AB}" name="Column13982" dataDxfId="2403"/>
    <tableColumn id="14007" xr3:uid="{698649B5-EA59-44B6-A4B6-278AE3A59CCB}" name="Column13983" dataDxfId="2402"/>
    <tableColumn id="14008" xr3:uid="{5352E7E4-FFD6-4335-8609-414404F57012}" name="Column13984" dataDxfId="2401"/>
    <tableColumn id="14009" xr3:uid="{5F115FA2-65D6-4453-A1DB-1B605A7C2B83}" name="Column13985" dataDxfId="2400"/>
    <tableColumn id="14010" xr3:uid="{A9C91D99-3192-411A-A926-9A47D8184EBC}" name="Column13986" dataDxfId="2399"/>
    <tableColumn id="14011" xr3:uid="{17149AD6-19BD-4630-A8A0-01655DABB561}" name="Column13987" dataDxfId="2398"/>
    <tableColumn id="14012" xr3:uid="{BA1FC271-E14A-4AC8-89B1-6F0C68F1E6EA}" name="Column13988" dataDxfId="2397"/>
    <tableColumn id="14013" xr3:uid="{C584EEB0-41CB-4011-A1FC-2ED689CAB069}" name="Column13989" dataDxfId="2396"/>
    <tableColumn id="14014" xr3:uid="{2D33EE86-1B84-4D48-8473-32CEB3913751}" name="Column13990" dataDxfId="2395"/>
    <tableColumn id="14015" xr3:uid="{FC7480DC-C2F3-41A9-8905-41DB44E42E44}" name="Column13991" dataDxfId="2394"/>
    <tableColumn id="14016" xr3:uid="{48156B45-DA1F-4D5C-919D-850530488194}" name="Column13992" dataDxfId="2393"/>
    <tableColumn id="14017" xr3:uid="{460E0DB5-FC58-4E0E-B992-E950E14C2F94}" name="Column13993" dataDxfId="2392"/>
    <tableColumn id="14018" xr3:uid="{553813B2-0512-46BE-9D60-29B6D9D16D2B}" name="Column13994" dataDxfId="2391"/>
    <tableColumn id="14019" xr3:uid="{2CF05E5F-4BD6-4559-8F46-8D4522FE093B}" name="Column13995" dataDxfId="2390"/>
    <tableColumn id="14020" xr3:uid="{47438AF5-C518-4E39-90B4-6049A3228BA2}" name="Column13996" dataDxfId="2389"/>
    <tableColumn id="14021" xr3:uid="{0D522199-3531-4589-9C79-2A693E9675B7}" name="Column13997" dataDxfId="2388"/>
    <tableColumn id="14022" xr3:uid="{07ADEAC4-C12F-4AB7-9C65-C3F56EF11C9D}" name="Column13998" dataDxfId="2387"/>
    <tableColumn id="14023" xr3:uid="{AA1BFC38-F953-4D9A-8D67-CA8322AC2EDB}" name="Column13999" dataDxfId="2386"/>
    <tableColumn id="14024" xr3:uid="{70484AF6-989F-4F65-8327-3D35A0FB3EF2}" name="Column14000" dataDxfId="2385"/>
    <tableColumn id="14025" xr3:uid="{9796CF63-255F-4CE2-9DB6-B20D8006D0C9}" name="Column14001" dataDxfId="2384"/>
    <tableColumn id="14026" xr3:uid="{322F3173-E57D-4506-A589-06F602DD0BA3}" name="Column14002" dataDxfId="2383"/>
    <tableColumn id="14027" xr3:uid="{3B5E4999-385C-49B0-A6BB-E4099FCF9553}" name="Column14003" dataDxfId="2382"/>
    <tableColumn id="14028" xr3:uid="{B8301F1D-043C-4BBF-B437-4659BE987EB9}" name="Column14004" dataDxfId="2381"/>
    <tableColumn id="14029" xr3:uid="{A6E1C11D-0F08-44C8-93F8-744F45F9F4CC}" name="Column14005" dataDxfId="2380"/>
    <tableColumn id="14030" xr3:uid="{5254AE9D-3249-46CA-9C13-0B4CECD436B6}" name="Column14006" dataDxfId="2379"/>
    <tableColumn id="14031" xr3:uid="{4BAB834A-781C-4A11-95D8-1B4B741ECC7D}" name="Column14007" dataDxfId="2378"/>
    <tableColumn id="14032" xr3:uid="{D88145E8-90E0-42AE-AE9B-8E9046C145C9}" name="Column14008" dataDxfId="2377"/>
    <tableColumn id="14033" xr3:uid="{39A3C1FA-DA31-4C2D-9950-CFD8932B584E}" name="Column14009" dataDxfId="2376"/>
    <tableColumn id="14034" xr3:uid="{769989A9-5407-40D5-80B8-F6AEB049B547}" name="Column14010" dataDxfId="2375"/>
    <tableColumn id="14035" xr3:uid="{EABFBA28-546F-48A4-BAD3-1FFF1F7E89EC}" name="Column14011" dataDxfId="2374"/>
    <tableColumn id="14036" xr3:uid="{EE4571FA-52EE-42FB-837E-38F537A762F6}" name="Column14012" dataDxfId="2373"/>
    <tableColumn id="14037" xr3:uid="{12110A19-75C1-42B2-B4A9-CC792F38EEEC}" name="Column14013" dataDxfId="2372"/>
    <tableColumn id="14038" xr3:uid="{448F8FB9-6BEF-42E2-B7D3-29FD8A77A95A}" name="Column14014" dataDxfId="2371"/>
    <tableColumn id="14039" xr3:uid="{09433487-E651-4A1C-B90E-35090A964AF9}" name="Column14015" dataDxfId="2370"/>
    <tableColumn id="14040" xr3:uid="{5FAC8138-5B02-4012-98FB-F38A4395E0AD}" name="Column14016" dataDxfId="2369"/>
    <tableColumn id="14041" xr3:uid="{7A7413B9-A67F-4F09-8F56-E625AB42D739}" name="Column14017" dataDxfId="2368"/>
    <tableColumn id="14042" xr3:uid="{E308366A-FA11-49DA-A69D-D1E8DE177C80}" name="Column14018" dataDxfId="2367"/>
    <tableColumn id="14043" xr3:uid="{C6FDB59F-101C-4938-B5B4-6166BEDC03E2}" name="Column14019" dataDxfId="2366"/>
    <tableColumn id="14044" xr3:uid="{EA3A2D2A-F0C0-49B9-B702-39383870D957}" name="Column14020" dataDxfId="2365"/>
    <tableColumn id="14045" xr3:uid="{A337CF13-38F8-4927-900D-C82389079C00}" name="Column14021" dataDxfId="2364"/>
    <tableColumn id="14046" xr3:uid="{ED0227C5-E2E3-4DED-8CF2-4C459B4773DA}" name="Column14022" dataDxfId="2363"/>
    <tableColumn id="14047" xr3:uid="{6ADED596-6E91-4EED-A6D4-1F97BE83D15D}" name="Column14023" dataDxfId="2362"/>
    <tableColumn id="14048" xr3:uid="{7317D345-6B03-4638-A0A9-8C4CF9497DEC}" name="Column14024" dataDxfId="2361"/>
    <tableColumn id="14049" xr3:uid="{619956D4-096A-496D-BCE7-5BCCC2B8245A}" name="Column14025" dataDxfId="2360"/>
    <tableColumn id="14050" xr3:uid="{FDB14E06-078B-42F4-AB53-AF50D085666A}" name="Column14026" dataDxfId="2359"/>
    <tableColumn id="14051" xr3:uid="{0D3D5BC7-9A31-4ADC-8A9C-5511FD17433A}" name="Column14027" dataDxfId="2358"/>
    <tableColumn id="14052" xr3:uid="{72D1C9CD-0262-4E37-9ED1-793C5FD2AA49}" name="Column14028" dataDxfId="2357"/>
    <tableColumn id="14053" xr3:uid="{BB561456-8437-4A86-B7BF-170262F1FE17}" name="Column14029" dataDxfId="2356"/>
    <tableColumn id="14054" xr3:uid="{D9AE0CBB-EF00-4322-A7AB-8C4E1D436E6D}" name="Column14030" dataDxfId="2355"/>
    <tableColumn id="14055" xr3:uid="{A48A9EF3-3CB1-4C73-AB4F-10E5C278C972}" name="Column14031" dataDxfId="2354"/>
    <tableColumn id="14056" xr3:uid="{E6C25CDB-049C-481D-BE17-0BFC74EB9EE7}" name="Column14032" dataDxfId="2353"/>
    <tableColumn id="14057" xr3:uid="{A5C5D550-5785-4663-B928-525516B17240}" name="Column14033" dataDxfId="2352"/>
    <tableColumn id="14058" xr3:uid="{6394EE41-B69D-4000-BE07-9029616D7031}" name="Column14034" dataDxfId="2351"/>
    <tableColumn id="14059" xr3:uid="{FFDEB99B-0598-4330-B72F-93A49FB20C41}" name="Column14035" dataDxfId="2350"/>
    <tableColumn id="14060" xr3:uid="{368AC9BD-F18E-4C35-AB2C-C761A8AD2818}" name="Column14036" dataDxfId="2349"/>
    <tableColumn id="14061" xr3:uid="{5A47BD00-A7BB-4CEE-B51B-6F82E1C8B3B1}" name="Column14037" dataDxfId="2348"/>
    <tableColumn id="14062" xr3:uid="{39CADE65-1394-4EAD-BA8A-A5ED164B4C59}" name="Column14038" dataDxfId="2347"/>
    <tableColumn id="14063" xr3:uid="{EF54C886-6947-41DB-B570-B2C52447C36E}" name="Column14039" dataDxfId="2346"/>
    <tableColumn id="14064" xr3:uid="{88FBBFBF-DF2E-409E-8FDA-EAB1DB4F28D6}" name="Column14040" dataDxfId="2345"/>
    <tableColumn id="14065" xr3:uid="{C411D7C5-0F1A-4F4B-A9AF-C961AD649A9B}" name="Column14041" dataDxfId="2344"/>
    <tableColumn id="14066" xr3:uid="{4B9E8BEF-89BE-43CA-AC8F-12CB327CCD13}" name="Column14042" dataDxfId="2343"/>
    <tableColumn id="14067" xr3:uid="{B151F87F-4088-4726-92CC-E1484B4B67F2}" name="Column14043" dataDxfId="2342"/>
    <tableColumn id="14068" xr3:uid="{38C97464-966A-4E68-AAC0-167D28C2AEF7}" name="Column14044" dataDxfId="2341"/>
    <tableColumn id="14069" xr3:uid="{57F7A729-4A21-4F6C-B58B-44C9804558C8}" name="Column14045" dataDxfId="2340"/>
    <tableColumn id="14070" xr3:uid="{140741F3-9DC9-4DDF-977E-718385A17492}" name="Column14046" dataDxfId="2339"/>
    <tableColumn id="14071" xr3:uid="{45522512-2A40-47C1-A116-8930C861C5D1}" name="Column14047" dataDxfId="2338"/>
    <tableColumn id="14072" xr3:uid="{702D5B7E-E796-4BA4-9547-541A772CEC66}" name="Column14048" dataDxfId="2337"/>
    <tableColumn id="14073" xr3:uid="{0982B4E5-891B-4656-B4CB-707B5F97D435}" name="Column14049" dataDxfId="2336"/>
    <tableColumn id="14074" xr3:uid="{B7D6C325-4E92-4042-8D63-C38DF99EBB20}" name="Column14050" dataDxfId="2335"/>
    <tableColumn id="14075" xr3:uid="{549A8C5A-383C-4F8F-A936-92050A587F04}" name="Column14051" dataDxfId="2334"/>
    <tableColumn id="14076" xr3:uid="{299C8529-ED9B-4289-AD6E-89A5FA10FFE5}" name="Column14052" dataDxfId="2333"/>
    <tableColumn id="14077" xr3:uid="{A39237DA-D0FA-4C8D-B9E3-7D1D15B6745A}" name="Column14053" dataDxfId="2332"/>
    <tableColumn id="14078" xr3:uid="{3FE6FC04-E842-4E0C-97D8-AE4DDF1F1887}" name="Column14054" dataDxfId="2331"/>
    <tableColumn id="14079" xr3:uid="{01CFBBE0-8857-4837-AFF9-4F13B2AA53E8}" name="Column14055" dataDxfId="2330"/>
    <tableColumn id="14080" xr3:uid="{9B432777-6CF6-4A84-9C79-89DD9046A0D8}" name="Column14056" dataDxfId="2329"/>
    <tableColumn id="14081" xr3:uid="{780AD7BD-576E-4AF0-9AD9-151E2816E981}" name="Column14057" dataDxfId="2328"/>
    <tableColumn id="14082" xr3:uid="{30B3C9B6-894A-44A4-84D0-6239842C816F}" name="Column14058" dataDxfId="2327"/>
    <tableColumn id="14083" xr3:uid="{2C99295D-2470-4726-AB2E-BDA1E0913EE4}" name="Column14059" dataDxfId="2326"/>
    <tableColumn id="14084" xr3:uid="{51C32554-152E-4B0C-A4E4-4BAC9E5054C9}" name="Column14060" dataDxfId="2325"/>
    <tableColumn id="14085" xr3:uid="{82E08F93-D2D2-4031-A0BF-8E16FBF57F7F}" name="Column14061" dataDxfId="2324"/>
    <tableColumn id="14086" xr3:uid="{1908571B-B93B-4667-9323-EF1529CE3D9F}" name="Column14062" dataDxfId="2323"/>
    <tableColumn id="14087" xr3:uid="{1BBF7411-E508-4AFB-9D7F-025069B7D98E}" name="Column14063" dataDxfId="2322"/>
    <tableColumn id="14088" xr3:uid="{3FF34486-ABBA-4972-9123-0FD666CAFFE2}" name="Column14064" dataDxfId="2321"/>
    <tableColumn id="14089" xr3:uid="{C1CA5D72-C11C-4F68-A187-A0AB892E64B7}" name="Column14065" dataDxfId="2320"/>
    <tableColumn id="14090" xr3:uid="{AFCA4309-A362-44B3-8C78-7004643F763C}" name="Column14066" dataDxfId="2319"/>
    <tableColumn id="14091" xr3:uid="{FD66137F-3F78-4536-A76A-5FFCA36194A5}" name="Column14067" dataDxfId="2318"/>
    <tableColumn id="14092" xr3:uid="{DB1023CF-4165-4FEB-BF77-4C668592F28B}" name="Column14068" dataDxfId="2317"/>
    <tableColumn id="14093" xr3:uid="{ECE4A60C-887B-4460-B6C5-B70C86E997D3}" name="Column14069" dataDxfId="2316"/>
    <tableColumn id="14094" xr3:uid="{94DCA17B-3312-4052-A132-42FF2B9D5087}" name="Column14070" dataDxfId="2315"/>
    <tableColumn id="14095" xr3:uid="{B6402242-6FD5-4F3C-A082-9B9664386998}" name="Column14071" dataDxfId="2314"/>
    <tableColumn id="14096" xr3:uid="{2467BDFA-6AC3-4E51-B6E4-6EBB00F14625}" name="Column14072" dataDxfId="2313"/>
    <tableColumn id="14097" xr3:uid="{BC9E4111-9EA7-479F-B213-243CBF1E8059}" name="Column14073" dataDxfId="2312"/>
    <tableColumn id="14098" xr3:uid="{76BF7739-4BAA-4936-9704-4B85A1CC4DC5}" name="Column14074" dataDxfId="2311"/>
    <tableColumn id="14099" xr3:uid="{05115EF3-962C-4D8E-80FC-948A2F212851}" name="Column14075" dataDxfId="2310"/>
    <tableColumn id="14100" xr3:uid="{C17CAF27-EEE1-4683-870A-CB606D2E79F1}" name="Column14076" dataDxfId="2309"/>
    <tableColumn id="14101" xr3:uid="{4979537E-2C81-4697-891E-B7820827A8DD}" name="Column14077" dataDxfId="2308"/>
    <tableColumn id="14102" xr3:uid="{DE341A96-A8D1-4172-87C8-AEA18A4CFBD3}" name="Column14078" dataDxfId="2307"/>
    <tableColumn id="14103" xr3:uid="{AA900564-7E81-49AF-9CC2-913522DC3913}" name="Column14079" dataDxfId="2306"/>
    <tableColumn id="14104" xr3:uid="{220EA26A-B8F4-4748-BF4E-084EB5528DD5}" name="Column14080" dataDxfId="2305"/>
    <tableColumn id="14105" xr3:uid="{15821305-D859-43F4-9BC1-71B80225D332}" name="Column14081" dataDxfId="2304"/>
    <tableColumn id="14106" xr3:uid="{A7053582-4BB7-4323-B0B5-EC43851E0E21}" name="Column14082" dataDxfId="2303"/>
    <tableColumn id="14107" xr3:uid="{1FD52F25-74EE-4856-AE1D-CD85702A44EA}" name="Column14083" dataDxfId="2302"/>
    <tableColumn id="14108" xr3:uid="{9E476ADE-8EBC-409B-A27B-7BD881092D3E}" name="Column14084" dataDxfId="2301"/>
    <tableColumn id="14109" xr3:uid="{18F9C79C-9DC8-4441-A8E5-C409F9F4D45D}" name="Column14085" dataDxfId="2300"/>
    <tableColumn id="14110" xr3:uid="{A2DA2B91-C129-4A0E-8592-88301C5C8F7C}" name="Column14086" dataDxfId="2299"/>
    <tableColumn id="14111" xr3:uid="{6157AF33-C386-4375-A6BE-3F2131674E3C}" name="Column14087" dataDxfId="2298"/>
    <tableColumn id="14112" xr3:uid="{4CE73B5A-2958-45F8-B519-E17CC20C38D1}" name="Column14088" dataDxfId="2297"/>
    <tableColumn id="14113" xr3:uid="{D4AE1035-D127-4567-A2C6-1F5DE3B1328B}" name="Column14089" dataDxfId="2296"/>
    <tableColumn id="14114" xr3:uid="{BB79A31D-F128-4F35-90FD-1EABBEF71FA7}" name="Column14090" dataDxfId="2295"/>
    <tableColumn id="14115" xr3:uid="{AE43A2A6-82B6-4849-B311-B1D8674F9026}" name="Column14091" dataDxfId="2294"/>
    <tableColumn id="14116" xr3:uid="{6C41AF75-20D7-4970-A841-8B1062AD42F4}" name="Column14092" dataDxfId="2293"/>
    <tableColumn id="14117" xr3:uid="{442D8B22-08D7-4B03-AFD7-CA99709E99F7}" name="Column14093" dataDxfId="2292"/>
    <tableColumn id="14118" xr3:uid="{CD196766-10A4-40A7-9F2E-613E76F8790B}" name="Column14094" dataDxfId="2291"/>
    <tableColumn id="14119" xr3:uid="{43D0D290-684D-49AF-A4DF-E7D272B977AA}" name="Column14095" dataDxfId="2290"/>
    <tableColumn id="14120" xr3:uid="{EA51F306-41CB-4AD6-B660-7F69B75EBE7A}" name="Column14096" dataDxfId="2289"/>
    <tableColumn id="14121" xr3:uid="{C65EE072-6C26-4216-8BC1-A22808C4AC34}" name="Column14097" dataDxfId="2288"/>
    <tableColumn id="14122" xr3:uid="{6AF7CE1B-9018-4E0E-A47D-061323132880}" name="Column14098" dataDxfId="2287"/>
    <tableColumn id="14123" xr3:uid="{59BEF896-95FB-4B94-9D78-72AA11C1C4F0}" name="Column14099" dataDxfId="2286"/>
    <tableColumn id="14124" xr3:uid="{AB7F2D7E-9F69-4144-89F8-5A43E1579BAB}" name="Column14100" dataDxfId="2285"/>
    <tableColumn id="14125" xr3:uid="{BB5CEC2B-8E7A-4836-A3B5-49107E3FA024}" name="Column14101" dataDxfId="2284"/>
    <tableColumn id="14126" xr3:uid="{31E6FC2B-7E16-4ADA-9620-F87FB0BE1FE1}" name="Column14102" dataDxfId="2283"/>
    <tableColumn id="14127" xr3:uid="{D77DEDDB-74A5-4BCE-9566-E523AFD62EED}" name="Column14103" dataDxfId="2282"/>
    <tableColumn id="14128" xr3:uid="{2F7F4E69-5289-43C3-98A2-0E0E1668401F}" name="Column14104" dataDxfId="2281"/>
    <tableColumn id="14129" xr3:uid="{2273DB6F-3956-45DE-99A6-071D075FCC4F}" name="Column14105" dataDxfId="2280"/>
    <tableColumn id="14130" xr3:uid="{B4B761D1-CDD2-4BDF-844B-43DA078A20B0}" name="Column14106" dataDxfId="2279"/>
    <tableColumn id="14131" xr3:uid="{FDB8EBEA-E9F9-40FB-89C9-035FEFF56596}" name="Column14107" dataDxfId="2278"/>
    <tableColumn id="14132" xr3:uid="{A59FB370-AF62-4BAA-B8E4-AEFE1ED79F20}" name="Column14108" dataDxfId="2277"/>
    <tableColumn id="14133" xr3:uid="{7CDDAC91-B6F2-44F7-AED4-A0A5DD9939B3}" name="Column14109" dataDxfId="2276"/>
    <tableColumn id="14134" xr3:uid="{1B017A5A-8C15-4E0C-9418-C89B63EC1221}" name="Column14110" dataDxfId="2275"/>
    <tableColumn id="14135" xr3:uid="{C50B4EBF-912E-4BB1-A48B-3AE0CBCD2C11}" name="Column14111" dataDxfId="2274"/>
    <tableColumn id="14136" xr3:uid="{A86977BE-032A-4879-A1F8-43F11F295755}" name="Column14112" dataDxfId="2273"/>
    <tableColumn id="14137" xr3:uid="{450F6E1D-A1AC-41B7-A88A-D7A3B5D59C1B}" name="Column14113" dataDxfId="2272"/>
    <tableColumn id="14138" xr3:uid="{0C3A058E-23EE-4336-8362-EAFFD46B0A27}" name="Column14114" dataDxfId="2271"/>
    <tableColumn id="14139" xr3:uid="{85D626CE-48D4-4D37-A568-AB42568DA720}" name="Column14115" dataDxfId="2270"/>
    <tableColumn id="14140" xr3:uid="{0874F265-FD64-4C73-9EE5-A24E4066803A}" name="Column14116" dataDxfId="2269"/>
    <tableColumn id="14141" xr3:uid="{96675AF2-93BC-4E1A-B880-F993C5BE824A}" name="Column14117" dataDxfId="2268"/>
    <tableColumn id="14142" xr3:uid="{44C21A24-0E0C-4D69-9B6E-AF35901FDB73}" name="Column14118" dataDxfId="2267"/>
    <tableColumn id="14143" xr3:uid="{C23F5617-6DDB-4968-9611-841A5E033412}" name="Column14119" dataDxfId="2266"/>
    <tableColumn id="14144" xr3:uid="{9AB26E4B-59E9-4BDC-8249-EACF6E04A7B8}" name="Column14120" dataDxfId="2265"/>
    <tableColumn id="14145" xr3:uid="{D69AB834-4B3D-4B93-A9A6-7705A18D1CE6}" name="Column14121" dataDxfId="2264"/>
    <tableColumn id="14146" xr3:uid="{5A244554-ABE2-424A-A124-6ACB71B84B38}" name="Column14122" dataDxfId="2263"/>
    <tableColumn id="14147" xr3:uid="{7BE3A4E3-170D-4B3C-B573-EA12799326DC}" name="Column14123" dataDxfId="2262"/>
    <tableColumn id="14148" xr3:uid="{9C4513CE-815D-4658-80E6-5527489A5013}" name="Column14124" dataDxfId="2261"/>
    <tableColumn id="14149" xr3:uid="{1B1DB3D0-39B0-4999-96D0-26ED4DEC41AE}" name="Column14125" dataDxfId="2260"/>
    <tableColumn id="14150" xr3:uid="{2F98708B-9B43-4D69-91C9-6F4AA5FA5A5B}" name="Column14126" dataDxfId="2259"/>
    <tableColumn id="14151" xr3:uid="{5390D3D9-9ED1-4F4F-92D7-C0BCE492C1BC}" name="Column14127" dataDxfId="2258"/>
    <tableColumn id="14152" xr3:uid="{829A9411-BC29-491A-B359-079FC3BF510D}" name="Column14128" dataDxfId="2257"/>
    <tableColumn id="14153" xr3:uid="{17627982-A052-415A-A680-2D6F2E624551}" name="Column14129" dataDxfId="2256"/>
    <tableColumn id="14154" xr3:uid="{277CE844-440F-42D1-8EB0-FA7BB07F8810}" name="Column14130" dataDxfId="2255"/>
    <tableColumn id="14155" xr3:uid="{574573E7-E692-4FDF-8142-3BDE15E9BF96}" name="Column14131" dataDxfId="2254"/>
    <tableColumn id="14156" xr3:uid="{D77C31CE-7743-45CB-BC1E-E8A44E6BBE90}" name="Column14132" dataDxfId="2253"/>
    <tableColumn id="14157" xr3:uid="{FDDA42C6-8303-4F07-B79B-DF16E1AAA8D9}" name="Column14133" dataDxfId="2252"/>
    <tableColumn id="14158" xr3:uid="{0C857EE1-48DB-4957-BB04-0682AA2C8B4A}" name="Column14134" dataDxfId="2251"/>
    <tableColumn id="14159" xr3:uid="{1711C676-3EE5-4550-9FAE-D1EAFCF6D2E7}" name="Column14135" dataDxfId="2250"/>
    <tableColumn id="14160" xr3:uid="{046C89EB-BF0D-4BFB-9526-8AC8D53C02CC}" name="Column14136" dataDxfId="2249"/>
    <tableColumn id="14161" xr3:uid="{B44F8368-1A1F-4462-A991-76661DEC3FE8}" name="Column14137" dataDxfId="2248"/>
    <tableColumn id="14162" xr3:uid="{677B51EE-995A-44A0-8ADD-E55B6A5A6581}" name="Column14138" dataDxfId="2247"/>
    <tableColumn id="14163" xr3:uid="{65025E68-B546-4DDE-BAC0-29BA44E25871}" name="Column14139" dataDxfId="2246"/>
    <tableColumn id="14164" xr3:uid="{6A37EAAA-E213-4479-9A2E-05F0D9A0B461}" name="Column14140" dataDxfId="2245"/>
    <tableColumn id="14165" xr3:uid="{8334B063-A66E-49F5-AEC9-0194A04F950D}" name="Column14141" dataDxfId="2244"/>
    <tableColumn id="14166" xr3:uid="{21F3466B-062D-4CBA-A413-8C6E1AB27DE0}" name="Column14142" dataDxfId="2243"/>
    <tableColumn id="14167" xr3:uid="{DB470FC5-9FCB-477F-ACF0-CA4B2F05A5D3}" name="Column14143" dataDxfId="2242"/>
    <tableColumn id="14168" xr3:uid="{0C19B968-163E-4527-A56E-7C803DB127E8}" name="Column14144" dataDxfId="2241"/>
    <tableColumn id="14169" xr3:uid="{B61A6AC9-46BF-468A-9C9E-2AC6D6931572}" name="Column14145" dataDxfId="2240"/>
    <tableColumn id="14170" xr3:uid="{6074C3C8-9037-40D1-B74B-3D76E05A2AFE}" name="Column14146" dataDxfId="2239"/>
    <tableColumn id="14171" xr3:uid="{BA69830A-DD6D-4DC8-BC24-D4AD857302AF}" name="Column14147" dataDxfId="2238"/>
    <tableColumn id="14172" xr3:uid="{5BF355A5-344A-4444-9095-68FDF9CB225F}" name="Column14148" dataDxfId="2237"/>
    <tableColumn id="14173" xr3:uid="{421A995F-A54B-44B3-A992-6450777C100F}" name="Column14149" dataDxfId="2236"/>
    <tableColumn id="14174" xr3:uid="{3E4CDE3B-CAB7-4E91-A84C-E9572C2E2472}" name="Column14150" dataDxfId="2235"/>
    <tableColumn id="14175" xr3:uid="{A38E4B20-E43A-4C2B-877E-46AE22160230}" name="Column14151" dataDxfId="2234"/>
    <tableColumn id="14176" xr3:uid="{F869D336-5590-4F4C-AA8B-A01AC52522FF}" name="Column14152" dataDxfId="2233"/>
    <tableColumn id="14177" xr3:uid="{1B5F1C0C-744B-4B1A-B79D-4F1072AAAE20}" name="Column14153" dataDxfId="2232"/>
    <tableColumn id="14178" xr3:uid="{5EC6710E-3954-464D-9F1C-C37688B654D8}" name="Column14154" dataDxfId="2231"/>
    <tableColumn id="14179" xr3:uid="{97FF0D73-5640-4E1B-80CB-8144F8FE5BD2}" name="Column14155" dataDxfId="2230"/>
    <tableColumn id="14180" xr3:uid="{D85AA79B-9A32-48D9-9581-EFAAC49D672A}" name="Column14156" dataDxfId="2229"/>
    <tableColumn id="14181" xr3:uid="{582E4428-8F9B-4564-A5BC-DF3238FB916B}" name="Column14157" dataDxfId="2228"/>
    <tableColumn id="14182" xr3:uid="{9AF19118-4906-4B1F-AA97-569EC79604F6}" name="Column14158" dataDxfId="2227"/>
    <tableColumn id="14183" xr3:uid="{86C24C38-C407-4E44-94B7-4D666FC4D956}" name="Column14159" dataDxfId="2226"/>
    <tableColumn id="14184" xr3:uid="{53189BF5-25B5-4EE3-A371-9A9D3E08FF34}" name="Column14160" dataDxfId="2225"/>
    <tableColumn id="14185" xr3:uid="{316AE69E-715D-4E2B-99D4-AF001686D6F4}" name="Column14161" dataDxfId="2224"/>
    <tableColumn id="14186" xr3:uid="{064EBBCA-E3D0-4070-9AEE-73EC3D5A86A0}" name="Column14162" dataDxfId="2223"/>
    <tableColumn id="14187" xr3:uid="{EA513CC4-B9F0-4A29-92B7-45C1C422E9A4}" name="Column14163" dataDxfId="2222"/>
    <tableColumn id="14188" xr3:uid="{C9DA9E5B-F70D-4C0B-9C9A-9CDFD95F0E06}" name="Column14164" dataDxfId="2221"/>
    <tableColumn id="14189" xr3:uid="{F3269D91-583D-41A6-8295-3090EC573EEB}" name="Column14165" dataDxfId="2220"/>
    <tableColumn id="14190" xr3:uid="{2C72B2E4-0F23-4E2C-91F6-32796A73E41D}" name="Column14166" dataDxfId="2219"/>
    <tableColumn id="14191" xr3:uid="{EA4EDC9E-F4DC-41C1-B550-BDC9695C042A}" name="Column14167" dataDxfId="2218"/>
    <tableColumn id="14192" xr3:uid="{FD5CA44E-7A3E-4EBD-A53E-54576B8A198E}" name="Column14168" dataDxfId="2217"/>
    <tableColumn id="14193" xr3:uid="{CEE8E164-D7F9-4393-AD33-76D3D91B15EA}" name="Column14169" dataDxfId="2216"/>
    <tableColumn id="14194" xr3:uid="{F5329E2D-8C62-4CF0-8FEE-D67B81E56184}" name="Column14170" dataDxfId="2215"/>
    <tableColumn id="14195" xr3:uid="{FD542F57-10A7-4627-BB5A-891875E750F7}" name="Column14171" dataDxfId="2214"/>
    <tableColumn id="14196" xr3:uid="{4B549F02-9706-4681-AF82-C49D6A493B0B}" name="Column14172" dataDxfId="2213"/>
    <tableColumn id="14197" xr3:uid="{EE933EE2-564A-4070-BFE3-F03EFADD0FD7}" name="Column14173" dataDxfId="2212"/>
    <tableColumn id="14198" xr3:uid="{B610B907-83F1-465C-B5D4-98BD10654326}" name="Column14174" dataDxfId="2211"/>
    <tableColumn id="14199" xr3:uid="{4D91DE0A-D84A-4982-AA66-FA7682FB30A4}" name="Column14175" dataDxfId="2210"/>
    <tableColumn id="14200" xr3:uid="{FAF87B07-6920-4FA4-87DC-708B7C63A7E7}" name="Column14176" dataDxfId="2209"/>
    <tableColumn id="14201" xr3:uid="{6BEB0829-5CF8-4A3C-9F42-E62B44B2595F}" name="Column14177" dataDxfId="2208"/>
    <tableColumn id="14202" xr3:uid="{6239BA19-70B9-42CA-B185-2D0EAAADF883}" name="Column14178" dataDxfId="2207"/>
    <tableColumn id="14203" xr3:uid="{E4E1659E-6057-4421-9505-85988451A76C}" name="Column14179" dataDxfId="2206"/>
    <tableColumn id="14204" xr3:uid="{848E7585-1075-4EE1-BD75-E67FF00CDBF9}" name="Column14180" dataDxfId="2205"/>
    <tableColumn id="14205" xr3:uid="{C826AD31-ED25-4E28-B834-143EBB556089}" name="Column14181" dataDxfId="2204"/>
    <tableColumn id="14206" xr3:uid="{816A9E95-9B63-4F9D-B4FD-ACE7A4B1DC23}" name="Column14182" dataDxfId="2203"/>
    <tableColumn id="14207" xr3:uid="{390C46A8-5809-4F39-933B-220BEFDA2AAB}" name="Column14183" dataDxfId="2202"/>
    <tableColumn id="14208" xr3:uid="{CEF1714A-BA54-43A2-851B-156A0B5AB9F7}" name="Column14184" dataDxfId="2201"/>
    <tableColumn id="14209" xr3:uid="{DD6E0FBC-3F23-4217-B4CA-4A0898DB00C2}" name="Column14185" dataDxfId="2200"/>
    <tableColumn id="14210" xr3:uid="{E4BDDFB2-04BB-4692-A665-E9ABFBE595C3}" name="Column14186" dataDxfId="2199"/>
    <tableColumn id="14211" xr3:uid="{5234539A-F0DD-4605-AC30-D0A91536CFF1}" name="Column14187" dataDxfId="2198"/>
    <tableColumn id="14212" xr3:uid="{4ACAB893-A672-4572-A1F5-7918D818BFD8}" name="Column14188" dataDxfId="2197"/>
    <tableColumn id="14213" xr3:uid="{60C5E5D5-159C-4947-B1EC-9F3EBC0DF5E5}" name="Column14189" dataDxfId="2196"/>
    <tableColumn id="14214" xr3:uid="{553ADCE8-855B-4D88-A0A0-A288A7FF8B2D}" name="Column14190" dataDxfId="2195"/>
    <tableColumn id="14215" xr3:uid="{1B2DB16C-AEE2-4855-85B2-A6940D1B4219}" name="Column14191" dataDxfId="2194"/>
    <tableColumn id="14216" xr3:uid="{8B17F022-86F3-4413-B7E1-763003D67C2A}" name="Column14192" dataDxfId="2193"/>
    <tableColumn id="14217" xr3:uid="{7FAF46D3-89EB-434C-8685-DBA990CBB5AD}" name="Column14193" dataDxfId="2192"/>
    <tableColumn id="14218" xr3:uid="{C24A03C8-0531-4922-B2EA-16EE9671B072}" name="Column14194" dataDxfId="2191"/>
    <tableColumn id="14219" xr3:uid="{135C6DCC-8BC0-4720-BAD1-7074DC241200}" name="Column14195" dataDxfId="2190"/>
    <tableColumn id="14220" xr3:uid="{46D18F80-121C-4727-A0BE-3C136F6049AA}" name="Column14196" dataDxfId="2189"/>
    <tableColumn id="14221" xr3:uid="{C6EA0FC8-E788-4FB6-8F8C-BDC197483D09}" name="Column14197" dataDxfId="2188"/>
    <tableColumn id="14222" xr3:uid="{F0C852C1-2047-40DC-9DE2-E2EFAA143187}" name="Column14198" dataDxfId="2187"/>
    <tableColumn id="14223" xr3:uid="{FDE6F854-C2BD-4E1E-A89C-2FAF33D3B761}" name="Column14199" dataDxfId="2186"/>
    <tableColumn id="14224" xr3:uid="{DFF2F9C2-2E1F-4521-9B45-13443A136360}" name="Column14200" dataDxfId="2185"/>
    <tableColumn id="14225" xr3:uid="{08C3A472-60EA-421F-AE38-87EF1FA00165}" name="Column14201" dataDxfId="2184"/>
    <tableColumn id="14226" xr3:uid="{596F575B-C7D9-43E8-AB3F-B9ACCE000122}" name="Column14202" dataDxfId="2183"/>
    <tableColumn id="14227" xr3:uid="{A40807EB-D066-4C3E-9AC8-DA042C5B7E9E}" name="Column14203" dataDxfId="2182"/>
    <tableColumn id="14228" xr3:uid="{ACF1F3E2-331C-4F6B-918B-07CEDBA1FD45}" name="Column14204" dataDxfId="2181"/>
    <tableColumn id="14229" xr3:uid="{798FA9FD-05D2-4659-9528-F84E194E7320}" name="Column14205" dataDxfId="2180"/>
    <tableColumn id="14230" xr3:uid="{A2671A5F-762F-4331-9B5E-0B84947579CE}" name="Column14206" dataDxfId="2179"/>
    <tableColumn id="14231" xr3:uid="{452AA12D-740D-4E35-BF62-0E5FC97AABEB}" name="Column14207" dataDxfId="2178"/>
    <tableColumn id="14232" xr3:uid="{19EC2CE7-49E2-4434-8389-E8D0CB8A892D}" name="Column14208" dataDxfId="2177"/>
    <tableColumn id="14233" xr3:uid="{CF561BD1-3A9C-4966-975C-0BA7D882C59F}" name="Column14209" dataDxfId="2176"/>
    <tableColumn id="14234" xr3:uid="{197ACE03-1657-4ABC-AA6D-D89AD4704254}" name="Column14210" dataDxfId="2175"/>
    <tableColumn id="14235" xr3:uid="{2D3BDD8D-AFAC-46F1-9288-47F52E13B36F}" name="Column14211" dataDxfId="2174"/>
    <tableColumn id="14236" xr3:uid="{3430E12B-3EC0-4817-B40C-CDEC6BFF02D0}" name="Column14212" dataDxfId="2173"/>
    <tableColumn id="14237" xr3:uid="{52F2F268-07D0-44D3-83AE-7B715C5FD568}" name="Column14213" dataDxfId="2172"/>
    <tableColumn id="14238" xr3:uid="{6F28DC8D-A845-47C7-83A1-A5A3430BDF16}" name="Column14214" dataDxfId="2171"/>
    <tableColumn id="14239" xr3:uid="{73783BF4-31FD-4ED0-9D2A-141E19CDAA3C}" name="Column14215" dataDxfId="2170"/>
    <tableColumn id="14240" xr3:uid="{9A4CEAAC-93A5-4EFB-9737-7D76CC98DD40}" name="Column14216" dataDxfId="2169"/>
    <tableColumn id="14241" xr3:uid="{98D3FAD7-3D83-46BC-AF17-1A76EE4E827E}" name="Column14217" dataDxfId="2168"/>
    <tableColumn id="14242" xr3:uid="{C1E82379-AE72-4331-9C57-1FAA3B784F1F}" name="Column14218" dataDxfId="2167"/>
    <tableColumn id="14243" xr3:uid="{A22A17F8-3691-4AA0-9D87-1F7D6084E5A2}" name="Column14219" dataDxfId="2166"/>
    <tableColumn id="14244" xr3:uid="{4B155437-5739-469B-8C48-4182852F82A2}" name="Column14220" dataDxfId="2165"/>
    <tableColumn id="14245" xr3:uid="{8E2E912D-048C-47BC-B062-84B80D5E7C15}" name="Column14221" dataDxfId="2164"/>
    <tableColumn id="14246" xr3:uid="{819B5F49-15EA-46A6-A148-7EB63F5ED572}" name="Column14222" dataDxfId="2163"/>
    <tableColumn id="14247" xr3:uid="{6F209339-B277-4347-9632-0D36653644C5}" name="Column14223" dataDxfId="2162"/>
    <tableColumn id="14248" xr3:uid="{EED9073E-61D9-4908-A9BC-EC1282E482C5}" name="Column14224" dataDxfId="2161"/>
    <tableColumn id="14249" xr3:uid="{CBDF9EF5-9F8D-4D4C-9893-3FF6A788590D}" name="Column14225" dataDxfId="2160"/>
    <tableColumn id="14250" xr3:uid="{F492A46B-F31F-477B-966F-84177B1552F6}" name="Column14226" dataDxfId="2159"/>
    <tableColumn id="14251" xr3:uid="{C25AA0D0-3919-4D44-958D-CA13FB1D9B85}" name="Column14227" dataDxfId="2158"/>
    <tableColumn id="14252" xr3:uid="{81FABCEA-A8D9-4E13-88F7-6687E684F653}" name="Column14228" dataDxfId="2157"/>
    <tableColumn id="14253" xr3:uid="{9C81F43A-605D-4380-B712-942DA3A7DA20}" name="Column14229" dataDxfId="2156"/>
    <tableColumn id="14254" xr3:uid="{19A334C5-268F-4252-AC00-65ABFDE353FC}" name="Column14230" dataDxfId="2155"/>
    <tableColumn id="14255" xr3:uid="{B185B291-4E4A-40BC-9736-0236A72FF14C}" name="Column14231" dataDxfId="2154"/>
    <tableColumn id="14256" xr3:uid="{4C3E44D6-5525-42A8-B2D5-169C1C054E65}" name="Column14232" dataDxfId="2153"/>
    <tableColumn id="14257" xr3:uid="{37472676-87A0-440C-AEF6-27A28F8596EE}" name="Column14233" dataDxfId="2152"/>
    <tableColumn id="14258" xr3:uid="{16994E2E-B18E-47AB-A24F-BE2FDBE6047D}" name="Column14234" dataDxfId="2151"/>
    <tableColumn id="14259" xr3:uid="{E4B76154-FD7E-476C-975C-8880A7AE6EED}" name="Column14235" dataDxfId="2150"/>
    <tableColumn id="14260" xr3:uid="{A931C564-59C5-4B39-9289-FA8AD90ECED7}" name="Column14236" dataDxfId="2149"/>
    <tableColumn id="14261" xr3:uid="{C13F204B-411C-4D9D-AC65-EED37F8708A1}" name="Column14237" dataDxfId="2148"/>
    <tableColumn id="14262" xr3:uid="{88199A95-9E03-47ED-BD14-6ED1F7219642}" name="Column14238" dataDxfId="2147"/>
    <tableColumn id="14263" xr3:uid="{E0D32EF0-260D-41B0-95FB-8EE0A809CD3D}" name="Column14239" dataDxfId="2146"/>
    <tableColumn id="14264" xr3:uid="{61DEA00E-79E3-40C2-830C-1D76B9D392B6}" name="Column14240" dataDxfId="2145"/>
    <tableColumn id="14265" xr3:uid="{57593325-B84A-41A5-B29A-5898B4CFCA20}" name="Column14241" dataDxfId="2144"/>
    <tableColumn id="14266" xr3:uid="{06779AF0-A287-48E4-9305-8951BD9A83D1}" name="Column14242" dataDxfId="2143"/>
    <tableColumn id="14267" xr3:uid="{EE265D93-AEAB-427E-BD99-E192F2A14A4E}" name="Column14243" dataDxfId="2142"/>
    <tableColumn id="14268" xr3:uid="{779F402E-C2E9-48EE-AF20-062CEFFE1AA9}" name="Column14244" dataDxfId="2141"/>
    <tableColumn id="14269" xr3:uid="{8867F7D7-B004-41D5-B181-7AADA94035DF}" name="Column14245" dataDxfId="2140"/>
    <tableColumn id="14270" xr3:uid="{C004C74A-7276-461E-AF72-BEE36A8ECC19}" name="Column14246" dataDxfId="2139"/>
    <tableColumn id="14271" xr3:uid="{776BEB5D-9FC1-45CD-B1AF-67DD5E0B3011}" name="Column14247" dataDxfId="2138"/>
    <tableColumn id="14272" xr3:uid="{50C34D97-73AC-4856-BAAF-E0AF8E15573D}" name="Column14248" dataDxfId="2137"/>
    <tableColumn id="14273" xr3:uid="{4AB89AE5-E8B2-4A7D-84F1-685EE4E51FA1}" name="Column14249" dataDxfId="2136"/>
    <tableColumn id="14274" xr3:uid="{CC71FD0C-0DE6-4684-9F7B-A8BFF477ADD8}" name="Column14250" dataDxfId="2135"/>
    <tableColumn id="14275" xr3:uid="{A0F43F15-A231-40A4-AA3E-03D7F2C4BADC}" name="Column14251" dataDxfId="2134"/>
    <tableColumn id="14276" xr3:uid="{7BCE534C-BCF9-4166-A0AA-0C0FB6A684CB}" name="Column14252" dataDxfId="2133"/>
    <tableColumn id="14277" xr3:uid="{6422ECDC-F817-4F0B-B849-BC4CF618171B}" name="Column14253" dataDxfId="2132"/>
    <tableColumn id="14278" xr3:uid="{663C8E31-4713-4255-8F7E-D8B4F489CD31}" name="Column14254" dataDxfId="2131"/>
    <tableColumn id="14279" xr3:uid="{602D6E0E-5B03-4B77-9494-606E6B687A30}" name="Column14255" dataDxfId="2130"/>
    <tableColumn id="14280" xr3:uid="{03AA5CD4-2029-460A-A72B-7673615E1F11}" name="Column14256" dataDxfId="2129"/>
    <tableColumn id="14281" xr3:uid="{111CBCD4-D4D7-45B0-8AB2-156F1B4C0DC5}" name="Column14257" dataDxfId="2128"/>
    <tableColumn id="14282" xr3:uid="{774F9E45-DC13-41AF-B9A4-8432A1B5E051}" name="Column14258" dataDxfId="2127"/>
    <tableColumn id="14283" xr3:uid="{7ABB883F-44D0-4FE6-B689-D30E009F0F5C}" name="Column14259" dataDxfId="2126"/>
    <tableColumn id="14284" xr3:uid="{B24919A8-FE4F-456F-9F1D-E8669A278322}" name="Column14260" dataDxfId="2125"/>
    <tableColumn id="14285" xr3:uid="{22722A7F-1148-4B39-A834-F06EFE87DBC1}" name="Column14261" dataDxfId="2124"/>
    <tableColumn id="14286" xr3:uid="{C793446F-C886-4620-A898-B4D709E685D4}" name="Column14262" dataDxfId="2123"/>
    <tableColumn id="14287" xr3:uid="{D23AFD34-C55F-4EA6-9D6A-76194F9B2CD8}" name="Column14263" dataDxfId="2122"/>
    <tableColumn id="14288" xr3:uid="{DD832044-D80A-4FD9-A7AA-DC62DCDA99F4}" name="Column14264" dataDxfId="2121"/>
    <tableColumn id="14289" xr3:uid="{1A85E943-D0BB-4F4C-BEA1-6F3A09C56A9D}" name="Column14265" dataDxfId="2120"/>
    <tableColumn id="14290" xr3:uid="{957B619C-6591-46AD-866A-EFA411C1E754}" name="Column14266" dataDxfId="2119"/>
    <tableColumn id="14291" xr3:uid="{8F69B003-A06B-4FE1-948D-DB9DB8E155FB}" name="Column14267" dataDxfId="2118"/>
    <tableColumn id="14292" xr3:uid="{5FF2BF9F-D4F2-45F3-89B0-98918F9884FB}" name="Column14268" dataDxfId="2117"/>
    <tableColumn id="14293" xr3:uid="{08114D93-7EF3-4098-A890-6CC91DFE769B}" name="Column14269" dataDxfId="2116"/>
    <tableColumn id="14294" xr3:uid="{3FD4A40B-AAD3-401F-85B8-351F74277C54}" name="Column14270" dataDxfId="2115"/>
    <tableColumn id="14295" xr3:uid="{B8C7C4C4-069D-4865-AC68-16B4460C0241}" name="Column14271" dataDxfId="2114"/>
    <tableColumn id="14296" xr3:uid="{1E0B1727-81FC-4D44-90DD-646E61E6B4BB}" name="Column14272" dataDxfId="2113"/>
    <tableColumn id="14297" xr3:uid="{C217D5C6-6899-477E-9017-ADD277304E8B}" name="Column14273" dataDxfId="2112"/>
    <tableColumn id="14298" xr3:uid="{525A2CE0-42E3-4D91-AD75-63C87677101E}" name="Column14274" dataDxfId="2111"/>
    <tableColumn id="14299" xr3:uid="{1B971D79-1A3B-4CD6-BF23-6C7F6165E54D}" name="Column14275" dataDxfId="2110"/>
    <tableColumn id="14300" xr3:uid="{6402ACF2-57DC-482F-8C6E-92F9F726DC34}" name="Column14276" dataDxfId="2109"/>
    <tableColumn id="14301" xr3:uid="{B6CA2D61-94F3-48D8-A95F-C5830191F1C8}" name="Column14277" dataDxfId="2108"/>
    <tableColumn id="14302" xr3:uid="{81A3C62E-F392-4731-AF52-2BDE572EB630}" name="Column14278" dataDxfId="2107"/>
    <tableColumn id="14303" xr3:uid="{6146EECE-C9FB-4EF6-883E-676C88522DE6}" name="Column14279" dataDxfId="2106"/>
    <tableColumn id="14304" xr3:uid="{E115F15C-86ED-47CF-8197-8067AAD35B7E}" name="Column14280" dataDxfId="2105"/>
    <tableColumn id="14305" xr3:uid="{8CB17AB5-0279-4D5D-B822-06D5E935E44D}" name="Column14281" dataDxfId="2104"/>
    <tableColumn id="14306" xr3:uid="{D263645D-CF47-4223-960A-F49A7A74E706}" name="Column14282" dataDxfId="2103"/>
    <tableColumn id="14307" xr3:uid="{C5406E09-0E63-406C-9D2A-9BCC5DABFF37}" name="Column14283" dataDxfId="2102"/>
    <tableColumn id="14308" xr3:uid="{BDDE2AF2-AD9A-4EB5-9887-AC6F29619B10}" name="Column14284" dataDxfId="2101"/>
    <tableColumn id="14309" xr3:uid="{37159E2E-1A6D-4B6E-A1C0-D2DEA1BCC9A0}" name="Column14285" dataDxfId="2100"/>
    <tableColumn id="14310" xr3:uid="{855F448D-C050-4993-B948-0BF03D9A5618}" name="Column14286" dataDxfId="2099"/>
    <tableColumn id="14311" xr3:uid="{7499542B-8332-4ED7-8C33-209A93A15E06}" name="Column14287" dataDxfId="2098"/>
    <tableColumn id="14312" xr3:uid="{761845BB-FB30-46F7-8483-49EC2D3460E1}" name="Column14288" dataDxfId="2097"/>
    <tableColumn id="14313" xr3:uid="{83B98A73-2B90-4DBA-A42B-2F8579514B6E}" name="Column14289" dataDxfId="2096"/>
    <tableColumn id="14314" xr3:uid="{BA644BA5-C8C5-4359-A3F5-EDBB0843618D}" name="Column14290" dataDxfId="2095"/>
    <tableColumn id="14315" xr3:uid="{9FD76464-459F-4090-97C1-9112289A1872}" name="Column14291" dataDxfId="2094"/>
    <tableColumn id="14316" xr3:uid="{4D5C482D-3F35-4531-B7D2-CAC9B913C003}" name="Column14292" dataDxfId="2093"/>
    <tableColumn id="14317" xr3:uid="{D183F030-E4A5-4B21-99F2-68DB9DF8C97B}" name="Column14293" dataDxfId="2092"/>
    <tableColumn id="14318" xr3:uid="{80A25A12-5ABE-46DC-A02C-0C58309ECF3F}" name="Column14294" dataDxfId="2091"/>
    <tableColumn id="14319" xr3:uid="{38C458CA-4247-4F91-8D23-D7073A0B815B}" name="Column14295" dataDxfId="2090"/>
    <tableColumn id="14320" xr3:uid="{95089091-27E0-4D58-93DA-45D7E1584FA9}" name="Column14296" dataDxfId="2089"/>
    <tableColumn id="14321" xr3:uid="{C245AEE8-B8E0-47DE-B9C8-5668C4FFB1D7}" name="Column14297" dataDxfId="2088"/>
    <tableColumn id="14322" xr3:uid="{A8AC93B0-C3B0-49A7-88C9-CC1CB2C40096}" name="Column14298" dataDxfId="2087"/>
    <tableColumn id="14323" xr3:uid="{331C54FD-5414-43FB-8F2D-B64ADD410C6F}" name="Column14299" dataDxfId="2086"/>
    <tableColumn id="14324" xr3:uid="{9E2D5FD2-B291-4612-B05E-F04805840284}" name="Column14300" dataDxfId="2085"/>
    <tableColumn id="14325" xr3:uid="{B5727833-40B8-4A9F-BF8A-999A35015BF2}" name="Column14301" dataDxfId="2084"/>
    <tableColumn id="14326" xr3:uid="{1126D952-CD97-461B-A77C-F09034FA520D}" name="Column14302" dataDxfId="2083"/>
    <tableColumn id="14327" xr3:uid="{4DC4CAD3-928B-4574-860A-59FB5A62F85B}" name="Column14303" dataDxfId="2082"/>
    <tableColumn id="14328" xr3:uid="{17D348F9-425E-49B7-9787-DF5D165A6E00}" name="Column14304" dataDxfId="2081"/>
    <tableColumn id="14329" xr3:uid="{89D47842-AA10-41C8-8C25-9403CEC85330}" name="Column14305" dataDxfId="2080"/>
    <tableColumn id="14330" xr3:uid="{9C5DBB9D-C15A-48B2-91C3-A9B1DA0C3394}" name="Column14306" dataDxfId="2079"/>
    <tableColumn id="14331" xr3:uid="{2E25C1C8-2677-4C53-8293-0555BDACBB1C}" name="Column14307" dataDxfId="2078"/>
    <tableColumn id="14332" xr3:uid="{53394D69-E727-474C-9EEB-E320F6E6F37B}" name="Column14308" dataDxfId="2077"/>
    <tableColumn id="14333" xr3:uid="{DB88C555-E2D4-44C7-ACFE-B374D0DD709E}" name="Column14309" dataDxfId="2076"/>
    <tableColumn id="14334" xr3:uid="{7F3D38D3-ED46-4230-A1F5-E47579BEEA96}" name="Column14310" dataDxfId="2075"/>
    <tableColumn id="14335" xr3:uid="{0CF310EF-F7E5-4DE3-B0F2-4D72C2C51C84}" name="Column14311" dataDxfId="2074"/>
    <tableColumn id="14336" xr3:uid="{74C668D3-77F1-4C26-9285-E76847878C2B}" name="Column14312" dataDxfId="2073"/>
    <tableColumn id="14337" xr3:uid="{AAA7E9DA-A7E8-4B85-86B2-0A05EB6D62C1}" name="Column14313" dataDxfId="2072"/>
    <tableColumn id="14338" xr3:uid="{54A2E800-C085-4EAB-9886-82F5E51E2415}" name="Column14314" dataDxfId="2071"/>
    <tableColumn id="14339" xr3:uid="{240C803F-8BE3-4A1D-B3C0-1359F267AF15}" name="Column14315" dataDxfId="2070"/>
    <tableColumn id="14340" xr3:uid="{84808336-E387-4C74-BD2A-1DCA03FFC5D6}" name="Column14316" dataDxfId="2069"/>
    <tableColumn id="14341" xr3:uid="{7FCD87F4-7ED5-4A09-B05D-EC62F9A10EC9}" name="Column14317" dataDxfId="2068"/>
    <tableColumn id="14342" xr3:uid="{363A6330-513F-4B33-A5EE-262F8026A251}" name="Column14318" dataDxfId="2067"/>
    <tableColumn id="14343" xr3:uid="{4C733E0C-61B6-4C6C-9974-043A5A154B48}" name="Column14319" dataDxfId="2066"/>
    <tableColumn id="14344" xr3:uid="{54D87D36-296F-4289-BEC1-720E4BB8A391}" name="Column14320" dataDxfId="2065"/>
    <tableColumn id="14345" xr3:uid="{68C7A0F9-ECF1-4388-995E-1B0C3C2D79BB}" name="Column14321" dataDxfId="2064"/>
    <tableColumn id="14346" xr3:uid="{224C6EA2-41FD-40A7-A4B4-186C4B5B5D72}" name="Column14322" dataDxfId="2063"/>
    <tableColumn id="14347" xr3:uid="{EB30CE09-704F-4875-B6DA-3C28BCFCC892}" name="Column14323" dataDxfId="2062"/>
    <tableColumn id="14348" xr3:uid="{E3237D29-ED64-4E0C-940F-AAD85A336140}" name="Column14324" dataDxfId="2061"/>
    <tableColumn id="14349" xr3:uid="{8C1389AA-50F8-42F3-B490-3877AFC8DAEA}" name="Column14325" dataDxfId="2060"/>
    <tableColumn id="14350" xr3:uid="{B7512B00-96A9-47FD-86AE-359FDCA5B649}" name="Column14326" dataDxfId="2059"/>
    <tableColumn id="14351" xr3:uid="{F3A3FAD9-8654-4971-A2FD-23C956B3887D}" name="Column14327" dataDxfId="2058"/>
    <tableColumn id="14352" xr3:uid="{F8451B20-B15C-4466-B0FE-0E336A22D196}" name="Column14328" dataDxfId="2057"/>
    <tableColumn id="14353" xr3:uid="{65B5513F-6EB1-44A6-BCF1-1BC6B984AE82}" name="Column14329" dataDxfId="2056"/>
    <tableColumn id="14354" xr3:uid="{7A5B001D-85ED-4D1C-8C40-03CCB47A7B69}" name="Column14330" dataDxfId="2055"/>
    <tableColumn id="14355" xr3:uid="{D3CB9B31-BB4D-46F4-8DFE-BA647FCFD2EB}" name="Column14331" dataDxfId="2054"/>
    <tableColumn id="14356" xr3:uid="{DB739BBA-B734-43E2-A944-4B4640BC53F1}" name="Column14332" dataDxfId="2053"/>
    <tableColumn id="14357" xr3:uid="{20F0E15C-CA6A-4B86-8882-DB750ECD1F52}" name="Column14333" dataDxfId="2052"/>
    <tableColumn id="14358" xr3:uid="{5270D5B8-DF15-402D-849D-41B5FDE8E1D3}" name="Column14334" dataDxfId="2051"/>
    <tableColumn id="14359" xr3:uid="{93112C60-1187-4177-8079-7A9D942D7006}" name="Column14335" dataDxfId="2050"/>
    <tableColumn id="14360" xr3:uid="{594BC1C5-9E48-43FB-A799-0E74092DE156}" name="Column14336" dataDxfId="2049"/>
    <tableColumn id="14361" xr3:uid="{DAF75E80-9EE9-4BF3-8144-52F3E322FBB7}" name="Column14337" dataDxfId="2048"/>
    <tableColumn id="14362" xr3:uid="{402CB3A4-2B85-4A85-ABDF-69BB8BA467AF}" name="Column14338" dataDxfId="2047"/>
    <tableColumn id="14363" xr3:uid="{96D3A93A-A93D-4E34-AAEA-EA65EE22250C}" name="Column14339" dataDxfId="2046"/>
    <tableColumn id="14364" xr3:uid="{CAC55E4D-F2D6-4289-8A8E-564BAD2CD777}" name="Column14340" dataDxfId="2045"/>
    <tableColumn id="14365" xr3:uid="{D34C3F80-0E1E-4EEA-9256-0F2C81042651}" name="Column14341" dataDxfId="2044"/>
    <tableColumn id="14366" xr3:uid="{80DD2A90-06A4-43EB-8EED-E6181E42C76C}" name="Column14342" dataDxfId="2043"/>
    <tableColumn id="14367" xr3:uid="{300635D0-4E16-403A-8CE5-A4778F35F810}" name="Column14343" dataDxfId="2042"/>
    <tableColumn id="14368" xr3:uid="{8BB04AC3-CC78-4130-9968-20DE97AF1410}" name="Column14344" dataDxfId="2041"/>
    <tableColumn id="14369" xr3:uid="{1904D578-5613-4D39-9472-A0D64DED0393}" name="Column14345" dataDxfId="2040"/>
    <tableColumn id="14370" xr3:uid="{6E429478-312D-4EB6-8C34-1E1A9115638F}" name="Column14346" dataDxfId="2039"/>
    <tableColumn id="14371" xr3:uid="{ED3B9920-9D2A-4E9F-A3AA-EC06DF2B3251}" name="Column14347" dataDxfId="2038"/>
    <tableColumn id="14372" xr3:uid="{98BA94D4-2CE7-4F06-A851-C582093158CF}" name="Column14348" dataDxfId="2037"/>
    <tableColumn id="14373" xr3:uid="{7F3319FE-5B82-4F29-8513-73B00A5705BC}" name="Column14349" dataDxfId="2036"/>
    <tableColumn id="14374" xr3:uid="{F8B1EA0C-BB94-41EB-B261-FF368B9046FD}" name="Column14350" dataDxfId="2035"/>
    <tableColumn id="14375" xr3:uid="{5B882FB3-2ECF-4F2A-A492-D71EEC941141}" name="Column14351" dataDxfId="2034"/>
    <tableColumn id="14376" xr3:uid="{010A6F5C-8BFD-4191-A2D6-B08100D3440D}" name="Column14352" dataDxfId="2033"/>
    <tableColumn id="14377" xr3:uid="{9604B480-660A-444F-8660-0D69256BDD10}" name="Column14353" dataDxfId="2032"/>
    <tableColumn id="14378" xr3:uid="{7A9FAB55-BF52-428C-86D0-6B8B67B7C6FC}" name="Column14354" dataDxfId="2031"/>
    <tableColumn id="14379" xr3:uid="{5CE1B518-7FB6-4265-BA8C-E8C3582B91CB}" name="Column14355" dataDxfId="2030"/>
    <tableColumn id="14380" xr3:uid="{3EFBE516-9C2B-46D8-829D-948B80045B8C}" name="Column14356" dataDxfId="2029"/>
    <tableColumn id="14381" xr3:uid="{D294E0EC-FAAF-4D07-AF61-7D54043DF7D0}" name="Column14357" dataDxfId="2028"/>
    <tableColumn id="14382" xr3:uid="{0FAE4157-F664-45E4-8018-A7D708310FAE}" name="Column14358" dataDxfId="2027"/>
    <tableColumn id="14383" xr3:uid="{20507CB3-56AF-45B2-ADE4-7C4D86B7A6B4}" name="Column14359" dataDxfId="2026"/>
    <tableColumn id="14384" xr3:uid="{80431CE2-F67C-44DC-B0F6-C60FE6EF8E27}" name="Column14360" dataDxfId="2025"/>
    <tableColumn id="14385" xr3:uid="{67E84A83-5FC4-4B0A-80F3-41E9B5AA066D}" name="Column14361" dataDxfId="2024"/>
    <tableColumn id="14386" xr3:uid="{D222D0EF-CF7B-4A7F-B82D-D6E178577785}" name="Column14362" dataDxfId="2023"/>
    <tableColumn id="14387" xr3:uid="{BD1E4EA5-50BD-41FA-84CD-1DE79AE61F0B}" name="Column14363" dataDxfId="2022"/>
    <tableColumn id="14388" xr3:uid="{F4D1C04D-0F42-48A8-AEF1-FA9EED6C8BE8}" name="Column14364" dataDxfId="2021"/>
    <tableColumn id="14389" xr3:uid="{BDA45D46-BA7F-4635-AD24-071CE0E08812}" name="Column14365" dataDxfId="2020"/>
    <tableColumn id="14390" xr3:uid="{41BFA47F-2320-4136-B51B-964286766486}" name="Column14366" dataDxfId="2019"/>
    <tableColumn id="14391" xr3:uid="{D22B06AD-985E-47C6-8DA2-10C2E608CD47}" name="Column14367" dataDxfId="2018"/>
    <tableColumn id="14392" xr3:uid="{01B3ADFE-DF88-45F8-A91C-46A937645C0F}" name="Column14368" dataDxfId="2017"/>
    <tableColumn id="14393" xr3:uid="{0A13CF7E-B52B-445F-9A4F-B3C540B4DF3D}" name="Column14369" dataDxfId="2016"/>
    <tableColumn id="14394" xr3:uid="{3BAA860D-1303-46CD-8052-19E19DE89ACA}" name="Column14370" dataDxfId="2015"/>
    <tableColumn id="14395" xr3:uid="{6A71160B-413E-41D2-A687-30E1D64F0AD6}" name="Column14371" dataDxfId="2014"/>
    <tableColumn id="14396" xr3:uid="{5F225A72-0E6D-4A03-922C-0DF528A6AF23}" name="Column14372" dataDxfId="2013"/>
    <tableColumn id="14397" xr3:uid="{6AFFF2F8-A91A-4FA0-919D-022F755CBED3}" name="Column14373" dataDxfId="2012"/>
    <tableColumn id="14398" xr3:uid="{1CD85E07-1520-4361-99E7-FAE7EBF9FF75}" name="Column14374" dataDxfId="2011"/>
    <tableColumn id="14399" xr3:uid="{073746E5-9AB5-4CA5-8DEE-2E5B1560DFE7}" name="Column14375" dataDxfId="2010"/>
    <tableColumn id="14400" xr3:uid="{9B533A63-2350-425A-AA78-87319C8C4D1F}" name="Column14376" dataDxfId="2009"/>
    <tableColumn id="14401" xr3:uid="{65D2778F-49A7-4E2C-B10C-5E444FF919D6}" name="Column14377" dataDxfId="2008"/>
    <tableColumn id="14402" xr3:uid="{5F887558-F78F-41A1-9B78-D62D1CA069DF}" name="Column14378" dataDxfId="2007"/>
    <tableColumn id="14403" xr3:uid="{83195D24-D04C-4BBA-BACB-4DAE7CE37C22}" name="Column14379" dataDxfId="2006"/>
    <tableColumn id="14404" xr3:uid="{56F9B7E3-536F-4A2F-8AF6-FB9128AA5EAA}" name="Column14380" dataDxfId="2005"/>
    <tableColumn id="14405" xr3:uid="{BFB411E5-CD0A-4598-93D7-2D878CCF06A8}" name="Column14381" dataDxfId="2004"/>
    <tableColumn id="14406" xr3:uid="{8FDAA520-9AAB-4626-82AB-0316A02FE516}" name="Column14382" dataDxfId="2003"/>
    <tableColumn id="14407" xr3:uid="{F6453A0C-F292-4C73-BECC-1872AD1CEBF7}" name="Column14383" dataDxfId="2002"/>
    <tableColumn id="14408" xr3:uid="{6A7A79E9-16EA-4BF3-B13F-80CE1C7FA914}" name="Column14384" dataDxfId="2001"/>
    <tableColumn id="14409" xr3:uid="{5DC54E8E-7586-4C41-8090-A9392CFD2673}" name="Column14385" dataDxfId="2000"/>
    <tableColumn id="14410" xr3:uid="{26C1CFC0-D99F-474C-9193-F1C9C34BA205}" name="Column14386" dataDxfId="1999"/>
    <tableColumn id="14411" xr3:uid="{E1FF1407-3F9F-4215-A8E1-6A0690B0A0EA}" name="Column14387" dataDxfId="1998"/>
    <tableColumn id="14412" xr3:uid="{5A2210F8-BF6C-40FD-80CC-D7D5C286CFA2}" name="Column14388" dataDxfId="1997"/>
    <tableColumn id="14413" xr3:uid="{9BB6885D-A39A-4535-937D-6C3D37E226E0}" name="Column14389" dataDxfId="1996"/>
    <tableColumn id="14414" xr3:uid="{A5A41231-DB32-4C0C-AF3B-AE655568977B}" name="Column14390" dataDxfId="1995"/>
    <tableColumn id="14415" xr3:uid="{D3510437-2E5D-496E-AEA5-4E054D283C67}" name="Column14391" dataDxfId="1994"/>
    <tableColumn id="14416" xr3:uid="{73627B92-9CAA-4FE5-96B6-31D1E0B86C7C}" name="Column14392" dataDxfId="1993"/>
    <tableColumn id="14417" xr3:uid="{79B1D651-E225-4A8C-BDF2-210DC25CDB6F}" name="Column14393" dataDxfId="1992"/>
    <tableColumn id="14418" xr3:uid="{8DC158B5-A4B0-4213-A44E-CDA820D03DAD}" name="Column14394" dataDxfId="1991"/>
    <tableColumn id="14419" xr3:uid="{5A880BC2-1FBD-4FF8-8983-4D536F245DBE}" name="Column14395" dataDxfId="1990"/>
    <tableColumn id="14420" xr3:uid="{78535002-3F01-4244-A2CA-4153590A7CF7}" name="Column14396" dataDxfId="1989"/>
    <tableColumn id="14421" xr3:uid="{B15B1F4A-4B87-47E8-AE76-CA1BAB57F715}" name="Column14397" dataDxfId="1988"/>
    <tableColumn id="14422" xr3:uid="{7E276DD5-5E57-4C0B-B248-D6365997D56E}" name="Column14398" dataDxfId="1987"/>
    <tableColumn id="14423" xr3:uid="{85F00B63-7A6F-4818-959B-A0907A73F40F}" name="Column14399" dataDxfId="1986"/>
    <tableColumn id="14424" xr3:uid="{2CB94B6D-3B44-4933-A558-2A4448C772C9}" name="Column14400" dataDxfId="1985"/>
    <tableColumn id="14425" xr3:uid="{3E44133C-440B-4C0A-B2DB-E24223942792}" name="Column14401" dataDxfId="1984"/>
    <tableColumn id="14426" xr3:uid="{E2C6E249-2ED8-43AD-A2DC-B82B8BAF4649}" name="Column14402" dataDxfId="1983"/>
    <tableColumn id="14427" xr3:uid="{E2E4D16F-74F2-4B68-8392-953E7791E04C}" name="Column14403" dataDxfId="1982"/>
    <tableColumn id="14428" xr3:uid="{5F2C3392-F94A-4B1C-BD42-34E6EB14CABB}" name="Column14404" dataDxfId="1981"/>
    <tableColumn id="14429" xr3:uid="{EE02F08C-5A78-4C77-93E2-39A186FD2984}" name="Column14405" dataDxfId="1980"/>
    <tableColumn id="14430" xr3:uid="{124E0DD9-1BC9-4C66-8A19-2230E8AA06C0}" name="Column14406" dataDxfId="1979"/>
    <tableColumn id="14431" xr3:uid="{8D93D204-1F41-4BCC-AC12-63FF77F5F26C}" name="Column14407" dataDxfId="1978"/>
    <tableColumn id="14432" xr3:uid="{F6135B2C-DBE7-46EE-ADC3-F369BA057941}" name="Column14408" dataDxfId="1977"/>
    <tableColumn id="14433" xr3:uid="{D7772944-95D4-458E-BB9E-351D0AD5D36C}" name="Column14409" dataDxfId="1976"/>
    <tableColumn id="14434" xr3:uid="{356D0B21-1922-4968-B769-D80C32923244}" name="Column14410" dataDxfId="1975"/>
    <tableColumn id="14435" xr3:uid="{07921F62-2B96-470F-9210-E796C2A3AB7A}" name="Column14411" dataDxfId="1974"/>
    <tableColumn id="14436" xr3:uid="{6C0BFB28-53E0-4D63-A989-39745D2DE439}" name="Column14412" dataDxfId="1973"/>
    <tableColumn id="14437" xr3:uid="{E4B911A3-0A1A-4F4E-B3E8-E7D65FB61CA8}" name="Column14413" dataDxfId="1972"/>
    <tableColumn id="14438" xr3:uid="{2C06D6A5-D188-4813-A606-05C753D56CD7}" name="Column14414" dataDxfId="1971"/>
    <tableColumn id="14439" xr3:uid="{365C4AA0-4B2C-405B-820F-05AD7395F859}" name="Column14415" dataDxfId="1970"/>
    <tableColumn id="14440" xr3:uid="{2C881B62-C72D-48D3-A1C0-EA3656B7A180}" name="Column14416" dataDxfId="1969"/>
    <tableColumn id="14441" xr3:uid="{CBE01BD5-E508-48DE-8407-BB36F0C59693}" name="Column14417" dataDxfId="1968"/>
    <tableColumn id="14442" xr3:uid="{775363C6-1048-4391-A381-7E3900203038}" name="Column14418" dataDxfId="1967"/>
    <tableColumn id="14443" xr3:uid="{09A4F1B1-ED39-4831-BF34-82716250DF12}" name="Column14419" dataDxfId="1966"/>
    <tableColumn id="14444" xr3:uid="{5491D6F1-D854-4E2C-8D77-3741815DDEA7}" name="Column14420" dataDxfId="1965"/>
    <tableColumn id="14445" xr3:uid="{B4E29C8E-CB67-4FA8-863A-1FB283F3D13F}" name="Column14421" dataDxfId="1964"/>
    <tableColumn id="14446" xr3:uid="{DC8F2BC2-2ABA-4FFA-930D-343E74BD5E59}" name="Column14422" dataDxfId="1963"/>
    <tableColumn id="14447" xr3:uid="{D480ACE0-8174-451A-96EE-8AAFD8AB1D3B}" name="Column14423" dataDxfId="1962"/>
    <tableColumn id="14448" xr3:uid="{EB0501CB-294B-40FB-B725-D779D63F0A78}" name="Column14424" dataDxfId="1961"/>
    <tableColumn id="14449" xr3:uid="{380D849C-9DAA-4A45-8E3F-280447BBCC89}" name="Column14425" dataDxfId="1960"/>
    <tableColumn id="14450" xr3:uid="{8C7CB492-052D-436A-A321-0F3CCE65F834}" name="Column14426" dataDxfId="1959"/>
    <tableColumn id="14451" xr3:uid="{4C626B1A-1F2B-4ADF-9719-ADC21796CF98}" name="Column14427" dataDxfId="1958"/>
    <tableColumn id="14452" xr3:uid="{6B1C14D8-A71A-47D5-B74C-E9CEEB13FD0F}" name="Column14428" dataDxfId="1957"/>
    <tableColumn id="14453" xr3:uid="{01902887-3198-40A8-A204-D07219F61DD5}" name="Column14429" dataDxfId="1956"/>
    <tableColumn id="14454" xr3:uid="{DBEDEBEF-E5C6-469B-BCD9-FA7A748DF731}" name="Column14430" dataDxfId="1955"/>
    <tableColumn id="14455" xr3:uid="{F5C085A2-80AC-415E-AA29-18EA1060958F}" name="Column14431" dataDxfId="1954"/>
    <tableColumn id="14456" xr3:uid="{27BAF72E-E23F-4AE5-A4FB-D507FC4553B5}" name="Column14432" dataDxfId="1953"/>
    <tableColumn id="14457" xr3:uid="{243B3EB1-54EC-42D5-A239-E2B96F41721C}" name="Column14433" dataDxfId="1952"/>
    <tableColumn id="14458" xr3:uid="{658FA686-D06A-4BCF-B302-CFBC000E14C0}" name="Column14434" dataDxfId="1951"/>
    <tableColumn id="14459" xr3:uid="{42EA0FF0-751B-4298-B7DE-ED080CD55D49}" name="Column14435" dataDxfId="1950"/>
    <tableColumn id="14460" xr3:uid="{24BD2F5B-ABCE-4BF1-950F-7C95EB65EC46}" name="Column14436" dataDxfId="1949"/>
    <tableColumn id="14461" xr3:uid="{2E7FA8BD-8B5C-4A64-9894-F00B07B8EAF8}" name="Column14437" dataDxfId="1948"/>
    <tableColumn id="14462" xr3:uid="{788A49C6-2AF8-4572-B0AA-4F92324AB4FD}" name="Column14438" dataDxfId="1947"/>
    <tableColumn id="14463" xr3:uid="{04053303-6EFA-4857-88B4-FC8F3FAAE508}" name="Column14439" dataDxfId="1946"/>
    <tableColumn id="14464" xr3:uid="{0DE01BE9-AA83-4D64-AEE5-AC48556A5099}" name="Column14440" dataDxfId="1945"/>
    <tableColumn id="14465" xr3:uid="{107765D0-DA9C-4298-8F10-46321463CD21}" name="Column14441" dataDxfId="1944"/>
    <tableColumn id="14466" xr3:uid="{F1CCB880-E563-4DE3-A005-4F6EACF7A4F5}" name="Column14442" dataDxfId="1943"/>
    <tableColumn id="14467" xr3:uid="{002D44E6-9DBF-4CAE-B7D3-27F116FB610D}" name="Column14443" dataDxfId="1942"/>
    <tableColumn id="14468" xr3:uid="{571451E8-FEB5-4EFE-8017-03171720856D}" name="Column14444" dataDxfId="1941"/>
    <tableColumn id="14469" xr3:uid="{318C9432-16A6-49A5-8B11-37F7580764FB}" name="Column14445" dataDxfId="1940"/>
    <tableColumn id="14470" xr3:uid="{C5B722B4-7AFB-46E2-93C4-0B3E35DA8A67}" name="Column14446" dataDxfId="1939"/>
    <tableColumn id="14471" xr3:uid="{333A0575-84C6-4B8E-AA74-2CCEDB4F8752}" name="Column14447" dataDxfId="1938"/>
    <tableColumn id="14472" xr3:uid="{3D19DC0E-50B4-4162-B979-1BD1AB053244}" name="Column14448" dataDxfId="1937"/>
    <tableColumn id="14473" xr3:uid="{F451F40C-3B16-41D5-8AC7-01D47D0B1DC9}" name="Column14449" dataDxfId="1936"/>
    <tableColumn id="14474" xr3:uid="{D9C2F5AB-1985-4232-AEE4-AFE8B989513A}" name="Column14450" dataDxfId="1935"/>
    <tableColumn id="14475" xr3:uid="{0262A2D6-42C0-4582-840B-FC489E0D66A0}" name="Column14451" dataDxfId="1934"/>
    <tableColumn id="14476" xr3:uid="{289C88E6-719C-4F8D-A865-070851A9CEE4}" name="Column14452" dataDxfId="1933"/>
    <tableColumn id="14477" xr3:uid="{221957E8-1EB9-4BEE-8EF5-EFDA32F6E632}" name="Column14453" dataDxfId="1932"/>
    <tableColumn id="14478" xr3:uid="{96A97F41-31F2-4F5C-9761-62D0A2CD2371}" name="Column14454" dataDxfId="1931"/>
    <tableColumn id="14479" xr3:uid="{F90D8E3A-F7E6-4F86-8EEB-2F9C9D88A25F}" name="Column14455" dataDxfId="1930"/>
    <tableColumn id="14480" xr3:uid="{143D1363-65C7-432F-8976-C4B911AAB255}" name="Column14456" dataDxfId="1929"/>
    <tableColumn id="14481" xr3:uid="{493053D1-220C-4E2A-B3D9-0CFD40138A07}" name="Column14457" dataDxfId="1928"/>
    <tableColumn id="14482" xr3:uid="{F9AF2D92-9D2A-43EA-8192-CB5E879AA486}" name="Column14458" dataDxfId="1927"/>
    <tableColumn id="14483" xr3:uid="{EB9CED5D-4413-42CD-83BD-CE941C830548}" name="Column14459" dataDxfId="1926"/>
    <tableColumn id="14484" xr3:uid="{0804878E-B675-4886-8206-46273EBABED5}" name="Column14460" dataDxfId="1925"/>
    <tableColumn id="14485" xr3:uid="{F3CCF9E5-9BB8-4C6F-9033-B821A358940E}" name="Column14461" dataDxfId="1924"/>
    <tableColumn id="14486" xr3:uid="{7765A9E4-3B4A-4F31-BD09-BC2AAB5FACA0}" name="Column14462" dataDxfId="1923"/>
    <tableColumn id="14487" xr3:uid="{C59614D1-C7DA-4733-820D-4574D7D5190A}" name="Column14463" dataDxfId="1922"/>
    <tableColumn id="14488" xr3:uid="{2BD8397E-20E9-4CC2-B7DB-B0605661069F}" name="Column14464" dataDxfId="1921"/>
    <tableColumn id="14489" xr3:uid="{483EFAFC-0C95-488E-A3A7-F9B637A7E3CE}" name="Column14465" dataDxfId="1920"/>
    <tableColumn id="14490" xr3:uid="{19C1F08B-32E1-43CD-8325-D9BF6A5A520A}" name="Column14466" dataDxfId="1919"/>
    <tableColumn id="14491" xr3:uid="{2174322C-2F4B-4059-B6A8-E427D68E6215}" name="Column14467" dataDxfId="1918"/>
    <tableColumn id="14492" xr3:uid="{A8399A70-17FC-490B-A5C8-984C7C01C7A5}" name="Column14468" dataDxfId="1917"/>
    <tableColumn id="14493" xr3:uid="{C4669B82-1E82-4B60-BF32-F3BD488DBFCD}" name="Column14469" dataDxfId="1916"/>
    <tableColumn id="14494" xr3:uid="{F9DA9188-F554-4CF0-BCBB-EED2C9D61850}" name="Column14470" dataDxfId="1915"/>
    <tableColumn id="14495" xr3:uid="{1575E8ED-3007-40DA-A148-84F58DB3BAD2}" name="Column14471" dataDxfId="1914"/>
    <tableColumn id="14496" xr3:uid="{AA0855E4-C18A-4A29-B5A6-C5624642BC9B}" name="Column14472" dataDxfId="1913"/>
    <tableColumn id="14497" xr3:uid="{38F9AFE8-B760-4A70-A13F-25A2AB55D375}" name="Column14473" dataDxfId="1912"/>
    <tableColumn id="14498" xr3:uid="{F3600FCF-C7B5-45BF-95EC-CAC9AE492210}" name="Column14474" dataDxfId="1911"/>
    <tableColumn id="14499" xr3:uid="{049F7D9C-F5EE-475E-BF1A-56AC4FFB2DFF}" name="Column14475" dataDxfId="1910"/>
    <tableColumn id="14500" xr3:uid="{CAB742BB-3C73-4B84-BCD3-F6612C6AD1F9}" name="Column14476" dataDxfId="1909"/>
    <tableColumn id="14501" xr3:uid="{AE43D567-8A78-4998-82E7-ECE2F3C34622}" name="Column14477" dataDxfId="1908"/>
    <tableColumn id="14502" xr3:uid="{0A6292BE-2A72-40EC-86F0-EB30416657CA}" name="Column14478" dataDxfId="1907"/>
    <tableColumn id="14503" xr3:uid="{D5ECD565-7900-4DAB-8307-AF023CADEE06}" name="Column14479" dataDxfId="1906"/>
    <tableColumn id="14504" xr3:uid="{68E2356D-26D4-4CC5-8723-B6A2A8B196B1}" name="Column14480" dataDxfId="1905"/>
    <tableColumn id="14505" xr3:uid="{1F754CD7-2334-499E-B34D-BD2E1567A7CF}" name="Column14481" dataDxfId="1904"/>
    <tableColumn id="14506" xr3:uid="{DCA67656-F844-4C61-99D5-5466791428C2}" name="Column14482" dataDxfId="1903"/>
    <tableColumn id="14507" xr3:uid="{88466930-043E-4B5B-8F8B-0FAAA0587D82}" name="Column14483" dataDxfId="1902"/>
    <tableColumn id="14508" xr3:uid="{76B09975-6ED1-40F5-AC20-A43B1D6F7457}" name="Column14484" dataDxfId="1901"/>
    <tableColumn id="14509" xr3:uid="{FDF9EC53-447A-4A55-9012-D1A649CA197D}" name="Column14485" dataDxfId="1900"/>
    <tableColumn id="14510" xr3:uid="{D24FAE2C-5BD5-4431-8F1C-F9868DC870DA}" name="Column14486" dataDxfId="1899"/>
    <tableColumn id="14511" xr3:uid="{080CB52B-57CB-4E41-9025-230576A19C78}" name="Column14487" dataDxfId="1898"/>
    <tableColumn id="14512" xr3:uid="{C6C9B652-17B9-4BAD-BF1C-D8B3389B9A9A}" name="Column14488" dataDxfId="1897"/>
    <tableColumn id="14513" xr3:uid="{42BD69AE-5605-44D9-89B1-69ECD1687540}" name="Column14489" dataDxfId="1896"/>
    <tableColumn id="14514" xr3:uid="{4AD562D7-6ED1-4514-8498-E3AE2A2CB84D}" name="Column14490" dataDxfId="1895"/>
    <tableColumn id="14515" xr3:uid="{B83D3A45-7BF5-4F5B-8C2B-D1BA694C52C7}" name="Column14491" dataDxfId="1894"/>
    <tableColumn id="14516" xr3:uid="{77B249B5-CCCD-419B-BEB9-745E82E59B1F}" name="Column14492" dataDxfId="1893"/>
    <tableColumn id="14517" xr3:uid="{46B5B8A6-C43F-4648-A697-4ACA01CC4644}" name="Column14493" dataDxfId="1892"/>
    <tableColumn id="14518" xr3:uid="{29A75AAA-BDCC-455C-A709-B96F7E5C9750}" name="Column14494" dataDxfId="1891"/>
    <tableColumn id="14519" xr3:uid="{10EE1B66-91FA-4DB8-8C9A-56AF92E95D34}" name="Column14495" dataDxfId="1890"/>
    <tableColumn id="14520" xr3:uid="{B4EFA894-2ECD-4877-B491-47D43CACAE69}" name="Column14496" dataDxfId="1889"/>
    <tableColumn id="14521" xr3:uid="{F7F61F6E-C71E-40DC-9F52-6ACEED04B9DB}" name="Column14497" dataDxfId="1888"/>
    <tableColumn id="14522" xr3:uid="{5C8C89BB-CD07-467B-B301-4AFE85A5D19F}" name="Column14498" dataDxfId="1887"/>
    <tableColumn id="14523" xr3:uid="{4A2CF89B-07F9-427D-BF07-1499107E688D}" name="Column14499" dataDxfId="1886"/>
    <tableColumn id="14524" xr3:uid="{B5B473AB-DF05-4417-A696-DE519810EC0B}" name="Column14500" dataDxfId="1885"/>
    <tableColumn id="14525" xr3:uid="{9A6420D9-276E-46BD-9015-F1CDCAFAB971}" name="Column14501" dataDxfId="1884"/>
    <tableColumn id="14526" xr3:uid="{A720ACFD-3FF4-412C-9C12-8410CAF28F0A}" name="Column14502" dataDxfId="1883"/>
    <tableColumn id="14527" xr3:uid="{D9F234F1-429F-44B4-86CD-0D804D13AC58}" name="Column14503" dataDxfId="1882"/>
    <tableColumn id="14528" xr3:uid="{39FE78BA-6FBD-4DAA-8DD6-9749F1876757}" name="Column14504" dataDxfId="1881"/>
    <tableColumn id="14529" xr3:uid="{453BC197-D840-4447-9DD8-4CACA3C09CF8}" name="Column14505" dataDxfId="1880"/>
    <tableColumn id="14530" xr3:uid="{E589D599-6FD7-4DA8-877F-C9B79ECBA0B7}" name="Column14506" dataDxfId="1879"/>
    <tableColumn id="14531" xr3:uid="{E9DA8D26-F113-4863-BE7C-93D04E782205}" name="Column14507" dataDxfId="1878"/>
    <tableColumn id="14532" xr3:uid="{300186EF-FCB2-4824-AC31-ED2714F5FB35}" name="Column14508" dataDxfId="1877"/>
    <tableColumn id="14533" xr3:uid="{EEEAE36B-751C-494C-A82F-E86F93F40283}" name="Column14509" dataDxfId="1876"/>
    <tableColumn id="14534" xr3:uid="{553D829E-3482-48B6-B7C8-AF8E0363FC56}" name="Column14510" dataDxfId="1875"/>
    <tableColumn id="14535" xr3:uid="{42FBEA6C-6451-47A2-98D9-79F7B9683C45}" name="Column14511" dataDxfId="1874"/>
    <tableColumn id="14536" xr3:uid="{5A39807B-A5D3-47D3-A23C-A2607589BA9E}" name="Column14512" dataDxfId="1873"/>
    <tableColumn id="14537" xr3:uid="{BB250E84-5182-4974-B06C-F988A6609E69}" name="Column14513" dataDxfId="1872"/>
    <tableColumn id="14538" xr3:uid="{87B267AE-8E88-4FD5-8F22-06E2B7653F49}" name="Column14514" dataDxfId="1871"/>
    <tableColumn id="14539" xr3:uid="{0C147D45-6E61-4A8F-BB17-6C32F684BEED}" name="Column14515" dataDxfId="1870"/>
    <tableColumn id="14540" xr3:uid="{27168B83-ED8C-4CB8-9F29-12D98D813770}" name="Column14516" dataDxfId="1869"/>
    <tableColumn id="14541" xr3:uid="{AAD66AC0-C10F-4114-91F8-1DAFCD1D9B95}" name="Column14517" dataDxfId="1868"/>
    <tableColumn id="14542" xr3:uid="{DF542F4A-EF2F-4995-98B6-E3F3A775C6E7}" name="Column14518" dataDxfId="1867"/>
    <tableColumn id="14543" xr3:uid="{6CA9EDAD-AFC9-4499-A8F2-28C4A733339A}" name="Column14519" dataDxfId="1866"/>
    <tableColumn id="14544" xr3:uid="{03589665-6E0D-41AD-9126-F4A2DA33BD11}" name="Column14520" dataDxfId="1865"/>
    <tableColumn id="14545" xr3:uid="{990A6517-30BE-4CDF-A24A-C9DB10D19F53}" name="Column14521" dataDxfId="1864"/>
    <tableColumn id="14546" xr3:uid="{884E03A6-39CD-4781-9818-173A1BE0966B}" name="Column14522" dataDxfId="1863"/>
    <tableColumn id="14547" xr3:uid="{22C11CBA-F735-42FF-BF4D-DB4C173840F5}" name="Column14523" dataDxfId="1862"/>
    <tableColumn id="14548" xr3:uid="{9F2A339D-8D35-4BA7-ADE2-18EE8510CF93}" name="Column14524" dataDxfId="1861"/>
    <tableColumn id="14549" xr3:uid="{B014C5BC-8C19-432F-ABEF-2BFB2F33DB9C}" name="Column14525" dataDxfId="1860"/>
    <tableColumn id="14550" xr3:uid="{BD9C8742-9B32-4544-A33E-B4519E321F77}" name="Column14526" dataDxfId="1859"/>
    <tableColumn id="14551" xr3:uid="{BBD553E2-16CD-4B3A-8E6B-2F445ED3247D}" name="Column14527" dataDxfId="1858"/>
    <tableColumn id="14552" xr3:uid="{668990BB-A324-4311-8956-E148A130C6B2}" name="Column14528" dataDxfId="1857"/>
    <tableColumn id="14553" xr3:uid="{527DD4EF-DA04-4F67-A2B3-FBE1EE4C60D9}" name="Column14529" dataDxfId="1856"/>
    <tableColumn id="14554" xr3:uid="{D22A2ABE-C5DB-4D7C-9DE4-0200F70A8E98}" name="Column14530" dataDxfId="1855"/>
    <tableColumn id="14555" xr3:uid="{60E98DD3-E916-4EFB-B9E9-731BAEAC3B5F}" name="Column14531" dataDxfId="1854"/>
    <tableColumn id="14556" xr3:uid="{16CBB3A9-A630-41B5-A07D-29A537ECF400}" name="Column14532" dataDxfId="1853"/>
    <tableColumn id="14557" xr3:uid="{BEB6473A-7081-404E-B566-F3849EF06981}" name="Column14533" dataDxfId="1852"/>
    <tableColumn id="14558" xr3:uid="{EF6A2F93-B267-46C2-947C-3463623440F8}" name="Column14534" dataDxfId="1851"/>
    <tableColumn id="14559" xr3:uid="{79387D35-5F43-42DE-AD69-D3A81AE01916}" name="Column14535" dataDxfId="1850"/>
    <tableColumn id="14560" xr3:uid="{5199CB69-516E-4CBB-8010-2087B1DF90B8}" name="Column14536" dataDxfId="1849"/>
    <tableColumn id="14561" xr3:uid="{E95142BB-F21C-4EB6-9D1B-6FCB4D23A32E}" name="Column14537" dataDxfId="1848"/>
    <tableColumn id="14562" xr3:uid="{CE237734-F6B0-4E6F-9210-10B46F90F635}" name="Column14538" dataDxfId="1847"/>
    <tableColumn id="14563" xr3:uid="{58A1A1D8-3CA3-4E9A-8A1B-8FF0898398D9}" name="Column14539" dataDxfId="1846"/>
    <tableColumn id="14564" xr3:uid="{555E7ACD-19ED-4EF6-AA2F-D2C7919B0FD9}" name="Column14540" dataDxfId="1845"/>
    <tableColumn id="14565" xr3:uid="{4F9BBFCD-7C30-4FE9-8135-7D84C68508A7}" name="Column14541" dataDxfId="1844"/>
    <tableColumn id="14566" xr3:uid="{FED749A1-8A32-47DA-8112-161B6006DD9D}" name="Column14542" dataDxfId="1843"/>
    <tableColumn id="14567" xr3:uid="{CD89DA26-1DE3-4CB4-B554-B8829A07C443}" name="Column14543" dataDxfId="1842"/>
    <tableColumn id="14568" xr3:uid="{703D679F-1AEC-4665-8D9B-B1FE8820F93C}" name="Column14544" dataDxfId="1841"/>
    <tableColumn id="14569" xr3:uid="{0155BA64-9242-40F7-A30A-5DE0B207DFCF}" name="Column14545" dataDxfId="1840"/>
    <tableColumn id="14570" xr3:uid="{9D965D3D-215C-4BA6-BE79-DABAC9E3E172}" name="Column14546" dataDxfId="1839"/>
    <tableColumn id="14571" xr3:uid="{9FCC0E21-A596-4E7F-A1CF-B9418E0E59A8}" name="Column14547" dataDxfId="1838"/>
    <tableColumn id="14572" xr3:uid="{E80BC6D6-E5C5-4576-AFDB-A8660E6145F1}" name="Column14548" dataDxfId="1837"/>
    <tableColumn id="14573" xr3:uid="{F5D4A96B-450B-4FE4-8E33-B513232FD936}" name="Column14549" dataDxfId="1836"/>
    <tableColumn id="14574" xr3:uid="{08C7A51D-A182-461F-BDCE-8123728F25AA}" name="Column14550" dataDxfId="1835"/>
    <tableColumn id="14575" xr3:uid="{3EC9DE32-F47D-41E5-AFBC-93849322A299}" name="Column14551" dataDxfId="1834"/>
    <tableColumn id="14576" xr3:uid="{DF4133DA-E10E-48C2-9DDC-6BDF66F66B92}" name="Column14552" dataDxfId="1833"/>
    <tableColumn id="14577" xr3:uid="{FF2AD465-C360-46B6-A40D-51919A0F1B98}" name="Column14553" dataDxfId="1832"/>
    <tableColumn id="14578" xr3:uid="{42814755-30D8-406D-A85D-7DCFE0B02B40}" name="Column14554" dataDxfId="1831"/>
    <tableColumn id="14579" xr3:uid="{824D70C4-F88C-48A4-92A8-AD104178F2C7}" name="Column14555" dataDxfId="1830"/>
    <tableColumn id="14580" xr3:uid="{5CEC3341-9549-4E45-97FF-ED56F2BAF841}" name="Column14556" dataDxfId="1829"/>
    <tableColumn id="14581" xr3:uid="{C758B0A2-7D98-462F-8E77-179400873E25}" name="Column14557" dataDxfId="1828"/>
    <tableColumn id="14582" xr3:uid="{91F58EA1-98D2-4097-9F9A-EF306EA78098}" name="Column14558" dataDxfId="1827"/>
    <tableColumn id="14583" xr3:uid="{7F470F45-84F9-4760-A67D-92907943E611}" name="Column14559" dataDxfId="1826"/>
    <tableColumn id="14584" xr3:uid="{96F4B4BD-3E1E-4F38-8937-DD19389667C3}" name="Column14560" dataDxfId="1825"/>
    <tableColumn id="14585" xr3:uid="{9051885D-1D71-4156-BFD4-F75404558D9F}" name="Column14561" dataDxfId="1824"/>
    <tableColumn id="14586" xr3:uid="{C3951895-8B4D-4A86-B609-A3006461E769}" name="Column14562" dataDxfId="1823"/>
    <tableColumn id="14587" xr3:uid="{84AED093-ACAF-4FEE-AA86-A91390F70DB3}" name="Column14563" dataDxfId="1822"/>
    <tableColumn id="14588" xr3:uid="{16B8A269-0C3C-4454-9D20-3E388D7FCE36}" name="Column14564" dataDxfId="1821"/>
    <tableColumn id="14589" xr3:uid="{979B3819-4F0F-4A58-ABE4-ECC64F9F3B8A}" name="Column14565" dataDxfId="1820"/>
    <tableColumn id="14590" xr3:uid="{171776BB-E26B-4DBC-9546-33FA0397C892}" name="Column14566" dataDxfId="1819"/>
    <tableColumn id="14591" xr3:uid="{7994DFC7-291E-47A0-B4D8-F02F68F51345}" name="Column14567" dataDxfId="1818"/>
    <tableColumn id="14592" xr3:uid="{2B895D51-78CB-42C9-91AB-C78BAD14AD64}" name="Column14568" dataDxfId="1817"/>
    <tableColumn id="14593" xr3:uid="{E272B6E6-5185-494E-A980-86FB1A5131D0}" name="Column14569" dataDxfId="1816"/>
    <tableColumn id="14594" xr3:uid="{F4B25473-FDBE-4EE2-AC5A-0A1F2A50AC87}" name="Column14570" dataDxfId="1815"/>
    <tableColumn id="14595" xr3:uid="{241EA1EA-2BF4-468E-96C5-7A69D66A08DB}" name="Column14571" dataDxfId="1814"/>
    <tableColumn id="14596" xr3:uid="{4CC0BEC9-52AA-4D14-BEF3-6C6F52956291}" name="Column14572" dataDxfId="1813"/>
    <tableColumn id="14597" xr3:uid="{8B77BC2C-D73C-48CA-B613-E69AF5466D94}" name="Column14573" dataDxfId="1812"/>
    <tableColumn id="14598" xr3:uid="{FE9F6272-CE4C-46DD-9C79-1A8E22ED0593}" name="Column14574" dataDxfId="1811"/>
    <tableColumn id="14599" xr3:uid="{7D0346DE-46DC-4701-AF5E-22C7EB960220}" name="Column14575" dataDxfId="1810"/>
    <tableColumn id="14600" xr3:uid="{8EA9CB18-6767-488C-B1F4-1DE727BFD0DC}" name="Column14576" dataDxfId="1809"/>
    <tableColumn id="14601" xr3:uid="{7B5D733F-ADC9-43BD-959F-1FA06284C5AD}" name="Column14577" dataDxfId="1808"/>
    <tableColumn id="14602" xr3:uid="{4B83CACD-5C66-4640-9077-23D128144BC1}" name="Column14578" dataDxfId="1807"/>
    <tableColumn id="14603" xr3:uid="{D680720B-12CF-40CE-9448-55996260E245}" name="Column14579" dataDxfId="1806"/>
    <tableColumn id="14604" xr3:uid="{D8ECFAB4-60C6-43D8-B510-072B5C06C578}" name="Column14580" dataDxfId="1805"/>
    <tableColumn id="14605" xr3:uid="{D0C9245B-9BD8-465F-9611-B99F2DFAFA5A}" name="Column14581" dataDxfId="1804"/>
    <tableColumn id="14606" xr3:uid="{EFBE2F02-ADA5-4AAA-865A-3C0754670894}" name="Column14582" dataDxfId="1803"/>
    <tableColumn id="14607" xr3:uid="{4D479ADC-88B7-42EE-8943-C3DFC51450E2}" name="Column14583" dataDxfId="1802"/>
    <tableColumn id="14608" xr3:uid="{E6424F09-8C5E-4E69-BC90-BC8446A89B9A}" name="Column14584" dataDxfId="1801"/>
    <tableColumn id="14609" xr3:uid="{481465F7-7ECE-492C-A10A-AAC09E9BCEF8}" name="Column14585" dataDxfId="1800"/>
    <tableColumn id="14610" xr3:uid="{D9CCF5DB-F13F-450E-AEF6-5C74328685E1}" name="Column14586" dataDxfId="1799"/>
    <tableColumn id="14611" xr3:uid="{F8705555-79F0-4267-9C70-7288225F759C}" name="Column14587" dataDxfId="1798"/>
    <tableColumn id="14612" xr3:uid="{0864CF21-077E-4D7D-AA63-F5DAA7185756}" name="Column14588" dataDxfId="1797"/>
    <tableColumn id="14613" xr3:uid="{845B94BB-D331-4C0E-BA47-33DE81DFF96B}" name="Column14589" dataDxfId="1796"/>
    <tableColumn id="14614" xr3:uid="{E20E6A69-CE9E-4FD4-9A20-D85DD2FC587A}" name="Column14590" dataDxfId="1795"/>
    <tableColumn id="14615" xr3:uid="{05A08E4A-1A8B-492D-A82F-687D0AAC9C50}" name="Column14591" dataDxfId="1794"/>
    <tableColumn id="14616" xr3:uid="{154A1397-0AE1-4AF5-BD3D-EAF427796DD8}" name="Column14592" dataDxfId="1793"/>
    <tableColumn id="14617" xr3:uid="{927EE01C-9FBE-4CF2-A1BA-5B0B82E398B5}" name="Column14593" dataDxfId="1792"/>
    <tableColumn id="14618" xr3:uid="{BEF7FDDD-66B6-41D5-A1F8-19868F8BFC91}" name="Column14594" dataDxfId="1791"/>
    <tableColumn id="14619" xr3:uid="{4EA39F8E-2990-4732-87B6-25464E56D12F}" name="Column14595" dataDxfId="1790"/>
    <tableColumn id="14620" xr3:uid="{4153CD29-7A8D-49AC-90C5-892E3AD14A3D}" name="Column14596" dataDxfId="1789"/>
    <tableColumn id="14621" xr3:uid="{A71E96DE-2434-40EA-8F5F-20DD8C960231}" name="Column14597" dataDxfId="1788"/>
    <tableColumn id="14622" xr3:uid="{5FB2C7C0-C0A4-4BB4-A8BF-43D8F0ED2E27}" name="Column14598" dataDxfId="1787"/>
    <tableColumn id="14623" xr3:uid="{6B5848D8-CCFA-419D-953B-1E2E596A9DA6}" name="Column14599" dataDxfId="1786"/>
    <tableColumn id="14624" xr3:uid="{54A2CBF4-6D2D-4007-9727-01FDE3FC8DDD}" name="Column14600" dataDxfId="1785"/>
    <tableColumn id="14625" xr3:uid="{22393658-E8DE-4767-935A-ACFED7CC31BF}" name="Column14601" dataDxfId="1784"/>
    <tableColumn id="14626" xr3:uid="{24139621-003E-4B89-9EB5-ABBE7F5BB350}" name="Column14602" dataDxfId="1783"/>
    <tableColumn id="14627" xr3:uid="{A8E194E9-FC38-40A9-82CA-851F34C78FC6}" name="Column14603" dataDxfId="1782"/>
    <tableColumn id="14628" xr3:uid="{CEC3A42E-2E9C-437F-B09F-E0E63B72BF8C}" name="Column14604" dataDxfId="1781"/>
    <tableColumn id="14629" xr3:uid="{F9B513C0-6413-41E4-BF12-E729241F09C1}" name="Column14605" dataDxfId="1780"/>
    <tableColumn id="14630" xr3:uid="{6AAE4CBB-D6BD-4B8F-8B10-74D0DCD90AE0}" name="Column14606" dataDxfId="1779"/>
    <tableColumn id="14631" xr3:uid="{C0583EE9-5A57-4ABE-A800-485DF1D14B54}" name="Column14607" dataDxfId="1778"/>
    <tableColumn id="14632" xr3:uid="{C339B11A-8AAC-4BAC-A26C-D0FD1485E8B5}" name="Column14608" dataDxfId="1777"/>
    <tableColumn id="14633" xr3:uid="{10D0E77F-27A0-4AA8-B6C0-FA9868A0C476}" name="Column14609" dataDxfId="1776"/>
    <tableColumn id="14634" xr3:uid="{CF2778A9-7DF1-4903-8776-08F9AD4AB508}" name="Column14610" dataDxfId="1775"/>
    <tableColumn id="14635" xr3:uid="{4F01B9AB-8C45-4FFB-AEF7-7774BB668935}" name="Column14611" dataDxfId="1774"/>
    <tableColumn id="14636" xr3:uid="{CFB78DE9-4A26-454A-BFB3-B547913ECE18}" name="Column14612" dataDxfId="1773"/>
    <tableColumn id="14637" xr3:uid="{A4DC4428-93F0-49BC-A51A-7594F794C0F4}" name="Column14613" dataDxfId="1772"/>
    <tableColumn id="14638" xr3:uid="{90A2A949-B479-49EB-BBBE-E55DD5834B76}" name="Column14614" dataDxfId="1771"/>
    <tableColumn id="14639" xr3:uid="{8C48BF43-7F7D-479D-9D55-BB3AC0E171A0}" name="Column14615" dataDxfId="1770"/>
    <tableColumn id="14640" xr3:uid="{4D98015C-6F07-4C97-AF87-5C72B7A4EC6C}" name="Column14616" dataDxfId="1769"/>
    <tableColumn id="14641" xr3:uid="{D3FB1A76-586F-47BF-8D03-89159AD55BAD}" name="Column14617" dataDxfId="1768"/>
    <tableColumn id="14642" xr3:uid="{E19A2549-F41B-4B28-93C4-5C6B4EBFBEAD}" name="Column14618" dataDxfId="1767"/>
    <tableColumn id="14643" xr3:uid="{34DECBBA-657C-45BC-8D1F-CF8406F5706C}" name="Column14619" dataDxfId="1766"/>
    <tableColumn id="14644" xr3:uid="{19DD4153-A714-466C-817C-79F4C541C480}" name="Column14620" dataDxfId="1765"/>
    <tableColumn id="14645" xr3:uid="{3E2D6844-B3B1-49E9-A502-15A0933F288B}" name="Column14621" dataDxfId="1764"/>
    <tableColumn id="14646" xr3:uid="{4D616EFE-AC3C-4591-80A8-B5498A3173A4}" name="Column14622" dataDxfId="1763"/>
    <tableColumn id="14647" xr3:uid="{7623DEDC-9FDC-4DAD-B043-77C0817446DC}" name="Column14623" dataDxfId="1762"/>
    <tableColumn id="14648" xr3:uid="{4B104731-6A8D-4410-A7B6-97B855C60C57}" name="Column14624" dataDxfId="1761"/>
    <tableColumn id="14649" xr3:uid="{7C95F5FE-67E8-440E-9300-F4BD915F8975}" name="Column14625" dataDxfId="1760"/>
    <tableColumn id="14650" xr3:uid="{24FCD016-6E3D-4D4F-B558-87223FF49828}" name="Column14626" dataDxfId="1759"/>
    <tableColumn id="14651" xr3:uid="{16845BFA-E00D-4D37-B113-4A42E9B8B281}" name="Column14627" dataDxfId="1758"/>
    <tableColumn id="14652" xr3:uid="{9DC2B23B-FD97-4CAA-A8FD-4CE3A6EF055F}" name="Column14628" dataDxfId="1757"/>
    <tableColumn id="14653" xr3:uid="{33341F0F-9444-4AC5-BA3D-9E5F15D79390}" name="Column14629" dataDxfId="1756"/>
    <tableColumn id="14654" xr3:uid="{455B636B-EEC0-43B4-AD35-AB57FBB0ADA7}" name="Column14630" dataDxfId="1755"/>
    <tableColumn id="14655" xr3:uid="{FE22239D-B655-480E-9DB0-BADE2472371A}" name="Column14631" dataDxfId="1754"/>
    <tableColumn id="14656" xr3:uid="{7B31EE85-CCA2-4429-9407-F63D510DDF3B}" name="Column14632" dataDxfId="1753"/>
    <tableColumn id="14657" xr3:uid="{8125074E-6E02-4F23-814F-E3BB039F6E3E}" name="Column14633" dataDxfId="1752"/>
    <tableColumn id="14658" xr3:uid="{10ADCE56-730A-48B6-AF08-B40EA512B815}" name="Column14634" dataDxfId="1751"/>
    <tableColumn id="14659" xr3:uid="{08A8E872-A85F-44F0-AE24-F0D9888EC12E}" name="Column14635" dataDxfId="1750"/>
    <tableColumn id="14660" xr3:uid="{CD51EB69-168C-48B0-8AC1-E67DE65A0057}" name="Column14636" dataDxfId="1749"/>
    <tableColumn id="14661" xr3:uid="{4C585EB8-F706-4172-B654-0A9D8F311181}" name="Column14637" dataDxfId="1748"/>
    <tableColumn id="14662" xr3:uid="{1E54E208-8C3A-45D5-B25D-282DD18E949E}" name="Column14638" dataDxfId="1747"/>
    <tableColumn id="14663" xr3:uid="{4EC9010C-1F97-4BBA-BAF0-526D8E0C8287}" name="Column14639" dataDxfId="1746"/>
    <tableColumn id="14664" xr3:uid="{E7B6831C-E2FD-45AE-82AF-EDAA972B4A13}" name="Column14640" dataDxfId="1745"/>
    <tableColumn id="14665" xr3:uid="{2214358A-72D3-4EBF-A598-90BAFB3F7FED}" name="Column14641" dataDxfId="1744"/>
    <tableColumn id="14666" xr3:uid="{5F415512-E2F0-4607-A64A-D8C0DE7646D7}" name="Column14642" dataDxfId="1743"/>
    <tableColumn id="14667" xr3:uid="{278EE6B4-F412-4815-B7C4-F639A73E1DF2}" name="Column14643" dataDxfId="1742"/>
    <tableColumn id="14668" xr3:uid="{348E523C-6F98-4DB8-B196-AE5F555CC729}" name="Column14644" dataDxfId="1741"/>
    <tableColumn id="14669" xr3:uid="{40B9223C-FEA1-46AE-B6C0-8175DFACB531}" name="Column14645" dataDxfId="1740"/>
    <tableColumn id="14670" xr3:uid="{88274719-1ADB-44B5-B857-72957A538D6F}" name="Column14646" dataDxfId="1739"/>
    <tableColumn id="14671" xr3:uid="{900BD244-921F-44B1-9698-3A897F92BE2E}" name="Column14647" dataDxfId="1738"/>
    <tableColumn id="14672" xr3:uid="{7A851C3E-EFF5-4F65-A9C9-D80C68F617A7}" name="Column14648" dataDxfId="1737"/>
    <tableColumn id="14673" xr3:uid="{B770A55B-93DE-477F-8C94-3A22F2EDE4EA}" name="Column14649" dataDxfId="1736"/>
    <tableColumn id="14674" xr3:uid="{FC7AD1AF-B05C-4C73-ABF0-73B56AFB5AC6}" name="Column14650" dataDxfId="1735"/>
    <tableColumn id="14675" xr3:uid="{3993ECF6-3DB5-481D-B269-CE590B02DEF0}" name="Column14651" dataDxfId="1734"/>
    <tableColumn id="14676" xr3:uid="{E710979A-2E32-43E6-9537-624E4CFC24D8}" name="Column14652" dataDxfId="1733"/>
    <tableColumn id="14677" xr3:uid="{67BE4E76-2272-479B-A46D-57923D5DD136}" name="Column14653" dataDxfId="1732"/>
    <tableColumn id="14678" xr3:uid="{0C40FE57-E109-4AB8-8CC5-A17AC060FD5D}" name="Column14654" dataDxfId="1731"/>
    <tableColumn id="14679" xr3:uid="{F2EB8D8B-D212-43A8-AF10-943F0BE5A5C4}" name="Column14655" dataDxfId="1730"/>
    <tableColumn id="14680" xr3:uid="{128CE0DE-1ED5-4C35-806C-2B9D2168470F}" name="Column14656" dataDxfId="1729"/>
    <tableColumn id="14681" xr3:uid="{93E99113-F144-4DF1-9A63-7DBFC8E26393}" name="Column14657" dataDxfId="1728"/>
    <tableColumn id="14682" xr3:uid="{E4CCC838-7453-4776-90B4-8F44D96988EE}" name="Column14658" dataDxfId="1727"/>
    <tableColumn id="14683" xr3:uid="{59E979A6-D896-4B73-B96D-8CE861497665}" name="Column14659" dataDxfId="1726"/>
    <tableColumn id="14684" xr3:uid="{45544193-6B12-40E6-8AE9-B9B195B7DA54}" name="Column14660" dataDxfId="1725"/>
    <tableColumn id="14685" xr3:uid="{62E8046A-C10F-492E-9ECB-5EECF9DBC25F}" name="Column14661" dataDxfId="1724"/>
    <tableColumn id="14686" xr3:uid="{2D53A4DA-010D-411B-9215-93D3763838D2}" name="Column14662" dataDxfId="1723"/>
    <tableColumn id="14687" xr3:uid="{EFF79D6F-5A2D-4E82-8CA9-6462F9D8C125}" name="Column14663" dataDxfId="1722"/>
    <tableColumn id="14688" xr3:uid="{D4E11D2E-23BF-4B34-95BF-902591615920}" name="Column14664" dataDxfId="1721"/>
    <tableColumn id="14689" xr3:uid="{E5FF0AF0-C9AF-4976-B7EF-3F3741E763B8}" name="Column14665" dataDxfId="1720"/>
    <tableColumn id="14690" xr3:uid="{06BBBB62-0C1F-48FE-B947-640A2D8E9160}" name="Column14666" dataDxfId="1719"/>
    <tableColumn id="14691" xr3:uid="{8C274C6E-3C47-4E67-A2CA-4D270F22C731}" name="Column14667" dataDxfId="1718"/>
    <tableColumn id="14692" xr3:uid="{68C2F2E1-C169-44ED-9E2F-7CF52A90F5B2}" name="Column14668" dataDxfId="1717"/>
    <tableColumn id="14693" xr3:uid="{363EBE70-B758-427E-A57A-7323E1296CCF}" name="Column14669" dataDxfId="1716"/>
    <tableColumn id="14694" xr3:uid="{0CA047F6-0E3B-49F1-A228-E712A3013DC7}" name="Column14670" dataDxfId="1715"/>
    <tableColumn id="14695" xr3:uid="{81C336F8-0577-4AC4-B328-E4A844691E5E}" name="Column14671" dataDxfId="1714"/>
    <tableColumn id="14696" xr3:uid="{4ABC679C-F629-4052-B12C-A985761402CD}" name="Column14672" dataDxfId="1713"/>
    <tableColumn id="14697" xr3:uid="{268127B6-5326-4558-94C9-605E31F28D44}" name="Column14673" dataDxfId="1712"/>
    <tableColumn id="14698" xr3:uid="{FD461430-25A5-484A-85BC-4B66DCF3F89E}" name="Column14674" dataDxfId="1711"/>
    <tableColumn id="14699" xr3:uid="{7E777364-D9A6-49E1-8506-4940623C2719}" name="Column14675" dataDxfId="1710"/>
    <tableColumn id="14700" xr3:uid="{D4527CC5-BE7E-4D26-97F2-BFF44EFD2EBF}" name="Column14676" dataDxfId="1709"/>
    <tableColumn id="14701" xr3:uid="{514A1985-109B-4413-B0A2-F877D91141C8}" name="Column14677" dataDxfId="1708"/>
    <tableColumn id="14702" xr3:uid="{63BDD2D0-B524-4F43-A64D-485A27AEDAAF}" name="Column14678" dataDxfId="1707"/>
    <tableColumn id="14703" xr3:uid="{EAFCA26F-6247-4226-AF40-CCC27B0888AE}" name="Column14679" dataDxfId="1706"/>
    <tableColumn id="14704" xr3:uid="{E37B53BA-7C40-4685-8339-928F7556B662}" name="Column14680" dataDxfId="1705"/>
    <tableColumn id="14705" xr3:uid="{5CDE64F6-8B57-477B-AE2A-6B62145F96A2}" name="Column14681" dataDxfId="1704"/>
    <tableColumn id="14706" xr3:uid="{5BAD38FC-C920-49FF-8FE3-B30F3571A1C3}" name="Column14682" dataDxfId="1703"/>
    <tableColumn id="14707" xr3:uid="{4956B344-0658-4938-9BFB-B6494DFFC551}" name="Column14683" dataDxfId="1702"/>
    <tableColumn id="14708" xr3:uid="{F2A639A8-84B5-4951-B279-BEF778E7FBC8}" name="Column14684" dataDxfId="1701"/>
    <tableColumn id="14709" xr3:uid="{701C02A4-FACB-4CB8-B555-C2092DF39203}" name="Column14685" dataDxfId="1700"/>
    <tableColumn id="14710" xr3:uid="{1397837A-EC93-4A3A-B8C7-4EB69CEB3F35}" name="Column14686" dataDxfId="1699"/>
    <tableColumn id="14711" xr3:uid="{BABC6DA9-BC9C-4F9E-822C-BE28C172CF99}" name="Column14687" dataDxfId="1698"/>
    <tableColumn id="14712" xr3:uid="{A2859334-9B29-4D44-9F76-EE9DE4ED8FAA}" name="Column14688" dataDxfId="1697"/>
    <tableColumn id="14713" xr3:uid="{ACE2B903-EEC2-4399-AD66-59DD8419FA65}" name="Column14689" dataDxfId="1696"/>
    <tableColumn id="14714" xr3:uid="{1B6B9EE7-F8EF-4860-BD70-9F8B30490EDF}" name="Column14690" dataDxfId="1695"/>
    <tableColumn id="14715" xr3:uid="{BB52F1ED-4437-4104-86B9-AC801EE761B6}" name="Column14691" dataDxfId="1694"/>
    <tableColumn id="14716" xr3:uid="{A4D9AB34-5AAE-4395-81E0-2E9EB1928CF8}" name="Column14692" dataDxfId="1693"/>
    <tableColumn id="14717" xr3:uid="{E88D8B3A-2ADF-44EB-BF9A-FE1F2B2F762B}" name="Column14693" dataDxfId="1692"/>
    <tableColumn id="14718" xr3:uid="{3CD724F4-B370-463A-9915-6393FACD535F}" name="Column14694" dataDxfId="1691"/>
    <tableColumn id="14719" xr3:uid="{7C0E1D26-7AFF-44A7-B7EF-B07B4E6C586F}" name="Column14695" dataDxfId="1690"/>
    <tableColumn id="14720" xr3:uid="{2CD57E3D-A2F4-486B-B6D9-BCA176EFD315}" name="Column14696" dataDxfId="1689"/>
    <tableColumn id="14721" xr3:uid="{D90D7F4E-3122-48EC-8DAB-21381F9B4FB5}" name="Column14697" dataDxfId="1688"/>
    <tableColumn id="14722" xr3:uid="{37AC3ADF-0653-4933-A4E6-D574231BF54E}" name="Column14698" dataDxfId="1687"/>
    <tableColumn id="14723" xr3:uid="{EB04916C-B174-4353-BE31-B5B6D7571AE1}" name="Column14699" dataDxfId="1686"/>
    <tableColumn id="14724" xr3:uid="{BE637105-3761-4258-A64E-866C64682529}" name="Column14700" dataDxfId="1685"/>
    <tableColumn id="14725" xr3:uid="{A0885D21-9D2E-4E2A-8754-30281B4DADD3}" name="Column14701" dataDxfId="1684"/>
    <tableColumn id="14726" xr3:uid="{223E358D-9AA0-482A-94BA-5C4DB6EAE124}" name="Column14702" dataDxfId="1683"/>
    <tableColumn id="14727" xr3:uid="{1AC6145C-EA29-4E05-BC95-0D0B04F57602}" name="Column14703" dataDxfId="1682"/>
    <tableColumn id="14728" xr3:uid="{318FE8A1-23C8-41D1-AB5E-F4A02FC3E359}" name="Column14704" dataDxfId="1681"/>
    <tableColumn id="14729" xr3:uid="{077C5D1E-8833-4EF9-83C5-3A581A67EC3B}" name="Column14705" dataDxfId="1680"/>
    <tableColumn id="14730" xr3:uid="{999BE730-B8A5-444D-BC4D-0FBE20B5DFE6}" name="Column14706" dataDxfId="1679"/>
    <tableColumn id="14731" xr3:uid="{566B3453-BEF2-4D9C-856A-F4A9EA037D3B}" name="Column14707" dataDxfId="1678"/>
    <tableColumn id="14732" xr3:uid="{4C171001-8138-4038-8287-A3216F1F1B53}" name="Column14708" dataDxfId="1677"/>
    <tableColumn id="14733" xr3:uid="{85F51EFB-2FAE-4813-A701-B9CCE136A4F8}" name="Column14709" dataDxfId="1676"/>
    <tableColumn id="14734" xr3:uid="{7B0EBC4E-3D1E-4499-B653-AAE7B29526C3}" name="Column14710" dataDxfId="1675"/>
    <tableColumn id="14735" xr3:uid="{FEDAEC89-631A-42C7-A9BB-DC79C8B6DE0A}" name="Column14711" dataDxfId="1674"/>
    <tableColumn id="14736" xr3:uid="{404E4AEC-6E78-45A3-9DAB-74C3C3948C3E}" name="Column14712" dataDxfId="1673"/>
    <tableColumn id="14737" xr3:uid="{E9AE8AF3-446C-4C3B-B904-1AF99CE78C84}" name="Column14713" dataDxfId="1672"/>
    <tableColumn id="14738" xr3:uid="{7BE7F31A-D1C7-4509-8F83-C93C3469B849}" name="Column14714" dataDxfId="1671"/>
    <tableColumn id="14739" xr3:uid="{E9E4AB50-22BC-4C75-80AD-7A257161FD50}" name="Column14715" dataDxfId="1670"/>
    <tableColumn id="14740" xr3:uid="{8D865D2E-74C2-40BF-9DD6-FF4993F162E6}" name="Column14716" dataDxfId="1669"/>
    <tableColumn id="14741" xr3:uid="{48A142EE-A604-42A5-918F-071338B8F657}" name="Column14717" dataDxfId="1668"/>
    <tableColumn id="14742" xr3:uid="{EF10E03A-8119-4687-B306-4B5C38558C2E}" name="Column14718" dataDxfId="1667"/>
    <tableColumn id="14743" xr3:uid="{AB6F5257-26B4-4DA4-A312-21D7C14FF781}" name="Column14719" dataDxfId="1666"/>
    <tableColumn id="14744" xr3:uid="{C98CAC22-3710-417B-9752-01DD396F1E5B}" name="Column14720" dataDxfId="1665"/>
    <tableColumn id="14745" xr3:uid="{34591E85-EB9F-428C-A438-24ADD1884F42}" name="Column14721" dataDxfId="1664"/>
    <tableColumn id="14746" xr3:uid="{B569D650-1120-44AE-A1A6-7C17476776E1}" name="Column14722" dataDxfId="1663"/>
    <tableColumn id="14747" xr3:uid="{400E1820-5E65-4FEC-8114-606D64136868}" name="Column14723" dataDxfId="1662"/>
    <tableColumn id="14748" xr3:uid="{EF7AB198-8D4F-47C3-8373-93AAA3360B55}" name="Column14724" dataDxfId="1661"/>
    <tableColumn id="14749" xr3:uid="{3025FB7E-905C-4768-B3F4-7B8046DDCD1E}" name="Column14725" dataDxfId="1660"/>
    <tableColumn id="14750" xr3:uid="{92060B5B-02BC-4BAC-9E3A-EDDC6F722DDF}" name="Column14726" dataDxfId="1659"/>
    <tableColumn id="14751" xr3:uid="{FC43488B-77E0-4B80-AFB9-23612566D398}" name="Column14727" dataDxfId="1658"/>
    <tableColumn id="14752" xr3:uid="{E12A0983-A687-429F-AC1C-4DBB42F236F8}" name="Column14728" dataDxfId="1657"/>
    <tableColumn id="14753" xr3:uid="{F2AFE1CD-13CB-4D1C-903C-93DDF906AFD5}" name="Column14729" dataDxfId="1656"/>
    <tableColumn id="14754" xr3:uid="{8EF66D05-C79C-4EE1-97AA-13E0C1DD9551}" name="Column14730" dataDxfId="1655"/>
    <tableColumn id="14755" xr3:uid="{8D9FCBE8-F6D6-4149-988D-59795CEEA231}" name="Column14731" dataDxfId="1654"/>
    <tableColumn id="14756" xr3:uid="{54983D95-1952-4D11-85B4-F3471E0A71C6}" name="Column14732" dataDxfId="1653"/>
    <tableColumn id="14757" xr3:uid="{3246C08B-9641-498C-8122-D9CCCE5DC056}" name="Column14733" dataDxfId="1652"/>
    <tableColumn id="14758" xr3:uid="{1630C950-67D4-442A-8D28-D6844C9D3429}" name="Column14734" dataDxfId="1651"/>
    <tableColumn id="14759" xr3:uid="{EB4DD113-F74B-4C47-9420-0463B85A460A}" name="Column14735" dataDxfId="1650"/>
    <tableColumn id="14760" xr3:uid="{9BA6973B-F072-4D5D-8122-AE0727CCCDAE}" name="Column14736" dataDxfId="1649"/>
    <tableColumn id="14761" xr3:uid="{5276D5E3-014F-4122-8B19-C158DF8206E7}" name="Column14737" dataDxfId="1648"/>
    <tableColumn id="14762" xr3:uid="{DEE5AF67-1C6A-44D3-BD6E-6B388DAF92FA}" name="Column14738" dataDxfId="1647"/>
    <tableColumn id="14763" xr3:uid="{EC96D5B8-D777-4F92-8BEF-2A44870464D4}" name="Column14739" dataDxfId="1646"/>
    <tableColumn id="14764" xr3:uid="{C7701E7B-F820-4FC2-B1D4-BC0DABB03FEE}" name="Column14740" dataDxfId="1645"/>
    <tableColumn id="14765" xr3:uid="{C1CBEBB9-9871-45A5-8CC6-8B15D1BC2840}" name="Column14741" dataDxfId="1644"/>
    <tableColumn id="14766" xr3:uid="{02E8BD96-9998-4221-AE65-8DE51AD84E72}" name="Column14742" dataDxfId="1643"/>
    <tableColumn id="14767" xr3:uid="{AC2480A8-E58E-4959-9DD5-625040C33BE9}" name="Column14743" dataDxfId="1642"/>
    <tableColumn id="14768" xr3:uid="{B272436F-071D-4B0B-A8FC-0AEA3CC7F215}" name="Column14744" dataDxfId="1641"/>
    <tableColumn id="14769" xr3:uid="{6288C4AF-BC0F-4607-9DA8-C2041D8A2E88}" name="Column14745" dataDxfId="1640"/>
    <tableColumn id="14770" xr3:uid="{0F19EE24-D253-4E67-B34B-81260758B18A}" name="Column14746" dataDxfId="1639"/>
    <tableColumn id="14771" xr3:uid="{6B962D36-D9F7-49A8-ABC3-5BFC0F29A3E8}" name="Column14747" dataDxfId="1638"/>
    <tableColumn id="14772" xr3:uid="{13831D80-D9F7-45D9-81D6-C2CB0B9118BB}" name="Column14748" dataDxfId="1637"/>
    <tableColumn id="14773" xr3:uid="{F5F98D32-89FF-4423-9C55-5A97F9808D61}" name="Column14749" dataDxfId="1636"/>
    <tableColumn id="14774" xr3:uid="{8ED73FF1-C0F4-4BCE-ADF0-E1BB3FFEDA0A}" name="Column14750" dataDxfId="1635"/>
    <tableColumn id="14775" xr3:uid="{675F697B-C2CB-4114-ADE3-54880957949C}" name="Column14751" dataDxfId="1634"/>
    <tableColumn id="14776" xr3:uid="{D39AF9A4-EDBD-455D-B94E-6A97258B5D65}" name="Column14752" dataDxfId="1633"/>
    <tableColumn id="14777" xr3:uid="{92E44F9A-AA5E-4784-BED4-1DD2A962FCB4}" name="Column14753" dataDxfId="1632"/>
    <tableColumn id="14778" xr3:uid="{F5A80475-F24E-4B2B-82CB-1995CC752277}" name="Column14754" dataDxfId="1631"/>
    <tableColumn id="14779" xr3:uid="{175334A8-9540-4FF8-8274-3177F06B10DB}" name="Column14755" dataDxfId="1630"/>
    <tableColumn id="14780" xr3:uid="{E0F13138-8F5B-4D09-B346-59B6F828E048}" name="Column14756" dataDxfId="1629"/>
    <tableColumn id="14781" xr3:uid="{58168256-88ED-4267-964A-395F3A087805}" name="Column14757" dataDxfId="1628"/>
    <tableColumn id="14782" xr3:uid="{F51D1AC9-602C-4E83-83DC-52A86FA8C6CC}" name="Column14758" dataDxfId="1627"/>
    <tableColumn id="14783" xr3:uid="{D8B5A4D6-76DE-479E-A90B-816DB215BCC2}" name="Column14759" dataDxfId="1626"/>
    <tableColumn id="14784" xr3:uid="{FD563B40-5BA5-464E-A6A9-30D1A2F3BE52}" name="Column14760" dataDxfId="1625"/>
    <tableColumn id="14785" xr3:uid="{A3BFF50A-5D06-4982-84BF-ADF8337CF89A}" name="Column14761" dataDxfId="1624"/>
    <tableColumn id="14786" xr3:uid="{439B5D8C-6ED8-4CC4-9D74-57C5AE5AAAC2}" name="Column14762" dataDxfId="1623"/>
    <tableColumn id="14787" xr3:uid="{1FAEF5C2-98B2-4B74-8CDD-E1DB32D87421}" name="Column14763" dataDxfId="1622"/>
    <tableColumn id="14788" xr3:uid="{461289D2-FC08-470E-A1B0-BE10361AD543}" name="Column14764" dataDxfId="1621"/>
    <tableColumn id="14789" xr3:uid="{61970B9B-0024-454D-8E64-8C63FA796C06}" name="Column14765" dataDxfId="1620"/>
    <tableColumn id="14790" xr3:uid="{48C36752-D923-4902-A6C9-9BD086F454DF}" name="Column14766" dataDxfId="1619"/>
    <tableColumn id="14791" xr3:uid="{E14DC2B7-F74B-4E18-B9DA-86367BD26D8D}" name="Column14767" dataDxfId="1618"/>
    <tableColumn id="14792" xr3:uid="{C7AE35EC-BDC0-491C-9014-C5AB621E29D7}" name="Column14768" dataDxfId="1617"/>
    <tableColumn id="14793" xr3:uid="{84FAB8A4-4407-4A1F-8964-4663B913E8CC}" name="Column14769" dataDxfId="1616"/>
    <tableColumn id="14794" xr3:uid="{389AFBD5-631D-4140-9669-1D9645036D7B}" name="Column14770" dataDxfId="1615"/>
    <tableColumn id="14795" xr3:uid="{AFDBA39C-AA5C-4C07-A9EE-1F4CA8872604}" name="Column14771" dataDxfId="1614"/>
    <tableColumn id="14796" xr3:uid="{29D4C6CB-4DDE-42AC-B3B0-F07C58EFEFFF}" name="Column14772" dataDxfId="1613"/>
    <tableColumn id="14797" xr3:uid="{08F86A8A-D1D1-42F9-83DB-BF97A7D3E567}" name="Column14773" dataDxfId="1612"/>
    <tableColumn id="14798" xr3:uid="{E80414A8-F1E1-427B-B67F-DEBDE3551475}" name="Column14774" dataDxfId="1611"/>
    <tableColumn id="14799" xr3:uid="{9580A225-37B8-42C3-B424-8D5F4225D398}" name="Column14775" dataDxfId="1610"/>
    <tableColumn id="14800" xr3:uid="{A236DA31-DC41-421C-B6B0-1BBDE88972A8}" name="Column14776" dataDxfId="1609"/>
    <tableColumn id="14801" xr3:uid="{8243C6A5-6CDC-48A8-9C28-2E125F37B3C2}" name="Column14777" dataDxfId="1608"/>
    <tableColumn id="14802" xr3:uid="{51FF8D1B-4E2D-4E5A-987B-FF8B02DA779B}" name="Column14778" dataDxfId="1607"/>
    <tableColumn id="14803" xr3:uid="{AF8C6F75-EDAD-4392-9CE4-18B717C847CB}" name="Column14779" dataDxfId="1606"/>
    <tableColumn id="14804" xr3:uid="{33D6F771-B251-451F-82A2-E35A1255DB4E}" name="Column14780" dataDxfId="1605"/>
    <tableColumn id="14805" xr3:uid="{221A3974-B5C0-4E39-BABF-C3CD84256927}" name="Column14781" dataDxfId="1604"/>
    <tableColumn id="14806" xr3:uid="{B031BB8E-4032-4EFE-AF50-C1A461EFFD73}" name="Column14782" dataDxfId="1603"/>
    <tableColumn id="14807" xr3:uid="{A13351F8-EEEE-42F2-8167-5C823A5774D7}" name="Column14783" dataDxfId="1602"/>
    <tableColumn id="14808" xr3:uid="{BC6C49D5-2BFE-4F03-B972-59B4AD8C574D}" name="Column14784" dataDxfId="1601"/>
    <tableColumn id="14809" xr3:uid="{813714CF-C393-49A4-8761-309AC470447B}" name="Column14785" dataDxfId="1600"/>
    <tableColumn id="14810" xr3:uid="{DA043911-C36C-4FF7-BFAF-53B1DDE84970}" name="Column14786" dataDxfId="1599"/>
    <tableColumn id="14811" xr3:uid="{56C864C8-1695-4255-8598-FD5F1E4DDC9C}" name="Column14787" dataDxfId="1598"/>
    <tableColumn id="14812" xr3:uid="{030B94CC-8D37-414D-89D6-83D89648E5A5}" name="Column14788" dataDxfId="1597"/>
    <tableColumn id="14813" xr3:uid="{680847A4-3193-45EF-A4D3-9092F9A83A96}" name="Column14789" dataDxfId="1596"/>
    <tableColumn id="14814" xr3:uid="{3C6B31AF-6947-495D-B147-B58DCF442298}" name="Column14790" dataDxfId="1595"/>
    <tableColumn id="14815" xr3:uid="{F0AD0982-AFAC-4301-8E42-B12EDDB0B5C8}" name="Column14791" dataDxfId="1594"/>
    <tableColumn id="14816" xr3:uid="{E740D43F-DC62-46AE-98DF-703E051AFF2A}" name="Column14792" dataDxfId="1593"/>
    <tableColumn id="14817" xr3:uid="{093E03A3-9559-4AE2-A46B-5DF9416CD4A5}" name="Column14793" dataDxfId="1592"/>
    <tableColumn id="14818" xr3:uid="{1030A817-260F-4C95-9BED-E6AAEBF0DAE7}" name="Column14794" dataDxfId="1591"/>
    <tableColumn id="14819" xr3:uid="{5CC24581-D421-4293-9124-9F1FCBCD21A4}" name="Column14795" dataDxfId="1590"/>
    <tableColumn id="14820" xr3:uid="{B9B57FA5-A55B-4B0A-BC08-74B45E237ACF}" name="Column14796" dataDxfId="1589"/>
    <tableColumn id="14821" xr3:uid="{7B75B112-D66D-4D74-91BE-7E590880C679}" name="Column14797" dataDxfId="1588"/>
    <tableColumn id="14822" xr3:uid="{CD0996FA-912C-461A-8CB4-FB9BEA169C9A}" name="Column14798" dataDxfId="1587"/>
    <tableColumn id="14823" xr3:uid="{58AAA744-56FC-4D3F-AB7B-22C57B7B2C8B}" name="Column14799" dataDxfId="1586"/>
    <tableColumn id="14824" xr3:uid="{5A5A0F44-1E0E-48D8-9E5C-26E492C4EF57}" name="Column14800" dataDxfId="1585"/>
    <tableColumn id="14825" xr3:uid="{7E41A0DC-3997-4E56-BE8E-D157B8DA1468}" name="Column14801" dataDxfId="1584"/>
    <tableColumn id="14826" xr3:uid="{9FDCCF79-F1A4-405F-A950-084CEF48D49E}" name="Column14802" dataDxfId="1583"/>
    <tableColumn id="14827" xr3:uid="{DB8D8557-63FB-4981-A4D8-83D2BD7890C3}" name="Column14803" dataDxfId="1582"/>
    <tableColumn id="14828" xr3:uid="{1F0103A5-DEC4-4240-9B17-1C9EA78CA0B2}" name="Column14804" dataDxfId="1581"/>
    <tableColumn id="14829" xr3:uid="{2F2B15C7-6FD9-48EC-B9B6-92FC3E0B3757}" name="Column14805" dataDxfId="1580"/>
    <tableColumn id="14830" xr3:uid="{7669A901-4E9F-4AC9-8E7A-67E60057D837}" name="Column14806" dataDxfId="1579"/>
    <tableColumn id="14831" xr3:uid="{27601289-2438-4543-B542-3B420DB4872A}" name="Column14807" dataDxfId="1578"/>
    <tableColumn id="14832" xr3:uid="{4007FD84-38C3-4353-9140-DC3769344E38}" name="Column14808" dataDxfId="1577"/>
    <tableColumn id="14833" xr3:uid="{AF278277-6248-402D-9421-9EE2296B26E2}" name="Column14809" dataDxfId="1576"/>
    <tableColumn id="14834" xr3:uid="{C0F231F0-CD3B-48DC-B81A-C91A401AF488}" name="Column14810" dataDxfId="1575"/>
    <tableColumn id="14835" xr3:uid="{E613A8D5-6DC0-4118-B424-8E4872A5B1C2}" name="Column14811" dataDxfId="1574"/>
    <tableColumn id="14836" xr3:uid="{A82A9924-C470-4C92-B043-6A5EFB1A56AE}" name="Column14812" dataDxfId="1573"/>
    <tableColumn id="14837" xr3:uid="{23E2E30E-0497-4923-8152-C54E50863850}" name="Column14813" dataDxfId="1572"/>
    <tableColumn id="14838" xr3:uid="{D4BDD77F-1F6E-45F0-94FB-14A6D938D60F}" name="Column14814" dataDxfId="1571"/>
    <tableColumn id="14839" xr3:uid="{DC0E4B19-948F-406C-B260-6FD66C79FC12}" name="Column14815" dataDxfId="1570"/>
    <tableColumn id="14840" xr3:uid="{DC7923E1-21F0-4CA4-80CB-402A3069AA91}" name="Column14816" dataDxfId="1569"/>
    <tableColumn id="14841" xr3:uid="{DC68B072-8087-45C6-879E-26FB5474FD62}" name="Column14817" dataDxfId="1568"/>
    <tableColumn id="14842" xr3:uid="{0C61C78D-58F1-45C6-B205-DD9AE19AEFD4}" name="Column14818" dataDxfId="1567"/>
    <tableColumn id="14843" xr3:uid="{DFA23C6B-491F-4475-9343-57151D7056D8}" name="Column14819" dataDxfId="1566"/>
    <tableColumn id="14844" xr3:uid="{A6AC6B54-B6C2-4485-A5BB-8204E39C3741}" name="Column14820" dataDxfId="1565"/>
    <tableColumn id="14845" xr3:uid="{509055C5-6799-4052-92AF-78ED8E68C5B2}" name="Column14821" dataDxfId="1564"/>
    <tableColumn id="14846" xr3:uid="{A77415C4-94D9-47F9-AAC0-DBCBCAE7C20B}" name="Column14822" dataDxfId="1563"/>
    <tableColumn id="14847" xr3:uid="{03A9EFBC-8A2A-4A5B-88ED-7F1AAEFF32F0}" name="Column14823" dataDxfId="1562"/>
    <tableColumn id="14848" xr3:uid="{CD772DB1-2922-4065-9567-5FB9D2978F64}" name="Column14824" dataDxfId="1561"/>
    <tableColumn id="14849" xr3:uid="{776EF3A9-78A5-4374-90B3-8795ED56D256}" name="Column14825" dataDxfId="1560"/>
    <tableColumn id="14850" xr3:uid="{02A5D60C-19F5-41F0-A31A-B2185584DA8B}" name="Column14826" dataDxfId="1559"/>
    <tableColumn id="14851" xr3:uid="{EC3BB850-8FAD-4FC4-8474-F14C44E8D7FB}" name="Column14827" dataDxfId="1558"/>
    <tableColumn id="14852" xr3:uid="{3364B600-BD86-4230-8F40-F33AA0967BEC}" name="Column14828" dataDxfId="1557"/>
    <tableColumn id="14853" xr3:uid="{A3E5ED51-281F-4AE7-B3FF-F116050F4E16}" name="Column14829" dataDxfId="1556"/>
    <tableColumn id="14854" xr3:uid="{2DF96CE0-5CD7-48A5-A968-B0E744FBD5EB}" name="Column14830" dataDxfId="1555"/>
    <tableColumn id="14855" xr3:uid="{390071DD-8828-4B37-AE9A-9A0141AF7C07}" name="Column14831" dataDxfId="1554"/>
    <tableColumn id="14856" xr3:uid="{FB88F91F-60BD-4C3B-9AA5-9F3BB93A5743}" name="Column14832" dataDxfId="1553"/>
    <tableColumn id="14857" xr3:uid="{85B5FA06-ADBF-446F-A6D8-D1AE26907B88}" name="Column14833" dataDxfId="1552"/>
    <tableColumn id="14858" xr3:uid="{E70E9F67-15AA-4163-9FB3-09BCE17AACE0}" name="Column14834" dataDxfId="1551"/>
    <tableColumn id="14859" xr3:uid="{65A4C483-0EDD-44D5-9FC0-E2781EEBE18A}" name="Column14835" dataDxfId="1550"/>
    <tableColumn id="14860" xr3:uid="{3BBDA7E0-7953-4E16-80BF-9105D759118F}" name="Column14836" dataDxfId="1549"/>
    <tableColumn id="14861" xr3:uid="{8311DE2E-BDBC-4913-B844-D21F625017C3}" name="Column14837" dataDxfId="1548"/>
    <tableColumn id="14862" xr3:uid="{19B4D2A2-A671-42DF-A774-CD5CA91D19CB}" name="Column14838" dataDxfId="1547"/>
    <tableColumn id="14863" xr3:uid="{AC319B0A-3CA0-4E4D-95A9-8D09B9760FD7}" name="Column14839" dataDxfId="1546"/>
    <tableColumn id="14864" xr3:uid="{214B0F6F-4DCB-4432-B869-30A9C09809E7}" name="Column14840" dataDxfId="1545"/>
    <tableColumn id="14865" xr3:uid="{77E7CDDB-ACA8-4F9E-90BA-928497758A39}" name="Column14841" dataDxfId="1544"/>
    <tableColumn id="14866" xr3:uid="{8E12F0D3-4FFF-4328-B8B1-855D2F26B500}" name="Column14842" dataDxfId="1543"/>
    <tableColumn id="14867" xr3:uid="{31F416CE-7AF6-43FE-A2DF-C43D40061F88}" name="Column14843" dataDxfId="1542"/>
    <tableColumn id="14868" xr3:uid="{C0275973-8135-45D5-BD94-E9AB6FFE0D51}" name="Column14844" dataDxfId="1541"/>
    <tableColumn id="14869" xr3:uid="{33F55E83-BB56-4420-AA50-61E5B1BBF746}" name="Column14845" dataDxfId="1540"/>
    <tableColumn id="14870" xr3:uid="{628C43A1-603D-46B0-9EBF-D005F5D1E591}" name="Column14846" dataDxfId="1539"/>
    <tableColumn id="14871" xr3:uid="{529798F7-C7A8-48C4-8CFE-0074AA2BB6E7}" name="Column14847" dataDxfId="1538"/>
    <tableColumn id="14872" xr3:uid="{C303AE8C-9C61-49EF-A325-2F5B5FDE2A95}" name="Column14848" dataDxfId="1537"/>
    <tableColumn id="14873" xr3:uid="{36B323D4-58F6-42A1-B544-9EC5B4D76FCE}" name="Column14849" dataDxfId="1536"/>
    <tableColumn id="14874" xr3:uid="{C0A6043E-4633-40F8-9034-27DC66DF2E07}" name="Column14850" dataDxfId="1535"/>
    <tableColumn id="14875" xr3:uid="{B6A7720A-21D8-4691-8388-86C9948C3D27}" name="Column14851" dataDxfId="1534"/>
    <tableColumn id="14876" xr3:uid="{2B5F2019-A942-4DC1-A0AC-1D0F22DA9AF4}" name="Column14852" dataDxfId="1533"/>
    <tableColumn id="14877" xr3:uid="{0DDEBD26-494E-4CE0-8F1A-E37DE506BD52}" name="Column14853" dataDxfId="1532"/>
    <tableColumn id="14878" xr3:uid="{BCB02D2E-8244-472B-ACBD-2AA4C7EEA64E}" name="Column14854" dataDxfId="1531"/>
    <tableColumn id="14879" xr3:uid="{419DDC0E-7663-4CCF-81F0-6C976FBFF770}" name="Column14855" dataDxfId="1530"/>
    <tableColumn id="14880" xr3:uid="{872881F8-CFFE-4F7A-9225-A5524B4795F2}" name="Column14856" dataDxfId="1529"/>
    <tableColumn id="14881" xr3:uid="{3EA70BBF-4C54-402D-A2EE-0B2546A036E9}" name="Column14857" dataDxfId="1528"/>
    <tableColumn id="14882" xr3:uid="{D35CC75A-365B-45FC-BA96-83C2182E04D3}" name="Column14858" dataDxfId="1527"/>
    <tableColumn id="14883" xr3:uid="{04BF3406-86D8-463E-B964-9610B7B04E6B}" name="Column14859" dataDxfId="1526"/>
    <tableColumn id="14884" xr3:uid="{CCAA5A6C-A06A-48D2-A0B8-CBBCFAAF7455}" name="Column14860" dataDxfId="1525"/>
    <tableColumn id="14885" xr3:uid="{5935891E-4649-42CB-AB57-84F2DF21F1F7}" name="Column14861" dataDxfId="1524"/>
    <tableColumn id="14886" xr3:uid="{AF44C31C-D534-4D24-9D3E-1689ECB5BF81}" name="Column14862" dataDxfId="1523"/>
    <tableColumn id="14887" xr3:uid="{A60D6568-CBCD-423C-A603-E8B2F145FB5E}" name="Column14863" dataDxfId="1522"/>
    <tableColumn id="14888" xr3:uid="{21F37F93-A8FE-4975-8F0C-D810294FA48D}" name="Column14864" dataDxfId="1521"/>
    <tableColumn id="14889" xr3:uid="{FCE93B06-F31B-4A0E-9073-0EE84E95A602}" name="Column14865" dataDxfId="1520"/>
    <tableColumn id="14890" xr3:uid="{0804205D-5160-4134-9075-52A9A8F6C15E}" name="Column14866" dataDxfId="1519"/>
    <tableColumn id="14891" xr3:uid="{70FDBBC3-7D67-48EE-ACC3-1628D81C120F}" name="Column14867" dataDxfId="1518"/>
    <tableColumn id="14892" xr3:uid="{6A536A9E-D435-4021-800E-7C6A846882F1}" name="Column14868" dataDxfId="1517"/>
    <tableColumn id="14893" xr3:uid="{BF67B1BE-74E5-40AA-B395-BBCFA4646754}" name="Column14869" dataDxfId="1516"/>
    <tableColumn id="14894" xr3:uid="{E35F5F23-98BF-41FE-8361-9893BBA8E427}" name="Column14870" dataDxfId="1515"/>
    <tableColumn id="14895" xr3:uid="{0939A8CA-20D5-409F-AC3C-6906BCC1845B}" name="Column14871" dataDxfId="1514"/>
    <tableColumn id="14896" xr3:uid="{20C0D8FD-068E-4470-98CE-2DC3527404A7}" name="Column14872" dataDxfId="1513"/>
    <tableColumn id="14897" xr3:uid="{3DE24131-A30E-4B2B-B7EB-347A8FB72C72}" name="Column14873" dataDxfId="1512"/>
    <tableColumn id="14898" xr3:uid="{D43E61BB-3DA2-4AC1-8F4D-40E0188E1B45}" name="Column14874" dataDxfId="1511"/>
    <tableColumn id="14899" xr3:uid="{024AB5E9-6F22-45FD-9432-A18EFDEB0685}" name="Column14875" dataDxfId="1510"/>
    <tableColumn id="14900" xr3:uid="{645B944F-F642-4B51-B545-C43849C02863}" name="Column14876" dataDxfId="1509"/>
    <tableColumn id="14901" xr3:uid="{CB92C789-9527-4246-87EB-23113565FEDF}" name="Column14877" dataDxfId="1508"/>
    <tableColumn id="14902" xr3:uid="{F75A3846-522E-4F87-9DD9-9B4786687F50}" name="Column14878" dataDxfId="1507"/>
    <tableColumn id="14903" xr3:uid="{D5B1CFF1-4151-48AE-A97F-E056929DAD2E}" name="Column14879" dataDxfId="1506"/>
    <tableColumn id="14904" xr3:uid="{DC1FF79F-01AF-4056-B06D-74F5B39AFB9B}" name="Column14880" dataDxfId="1505"/>
    <tableColumn id="14905" xr3:uid="{477ED489-F97F-4387-A293-9314DC36B865}" name="Column14881" dataDxfId="1504"/>
    <tableColumn id="14906" xr3:uid="{438EFB26-9417-488B-BA04-90CDEDA4C8EC}" name="Column14882" dataDxfId="1503"/>
    <tableColumn id="14907" xr3:uid="{E2073594-84A1-4171-8860-333F67E850F6}" name="Column14883" dataDxfId="1502"/>
    <tableColumn id="14908" xr3:uid="{4CD52C8C-1F53-48E8-AA5F-9C1693BFCFDE}" name="Column14884" dataDxfId="1501"/>
    <tableColumn id="14909" xr3:uid="{8EEA57A8-6D2A-428B-991C-B2D9067C7D5B}" name="Column14885" dataDxfId="1500"/>
    <tableColumn id="14910" xr3:uid="{8EC55467-2B7E-4D34-9075-206FD43DB517}" name="Column14886" dataDxfId="1499"/>
    <tableColumn id="14911" xr3:uid="{E72342EA-461B-4124-9BF2-F9E69CC5E1BC}" name="Column14887" dataDxfId="1498"/>
    <tableColumn id="14912" xr3:uid="{06B5E638-F7F5-47D5-A9E5-1E7EF162C891}" name="Column14888" dataDxfId="1497"/>
    <tableColumn id="14913" xr3:uid="{EE5AA30F-E3FD-4DDA-90DA-3DB2972F02B1}" name="Column14889" dataDxfId="1496"/>
    <tableColumn id="14914" xr3:uid="{DBB8E46D-CC31-4828-B979-2D855CB0C18C}" name="Column14890" dataDxfId="1495"/>
    <tableColumn id="14915" xr3:uid="{3F986B6F-7056-4139-B85D-836DE6F476D7}" name="Column14891" dataDxfId="1494"/>
    <tableColumn id="14916" xr3:uid="{6129389E-CCDC-4B8F-97B4-CCC8107C2594}" name="Column14892" dataDxfId="1493"/>
    <tableColumn id="14917" xr3:uid="{6112B57A-B4F0-474B-8AE5-0E747B39ECCC}" name="Column14893" dataDxfId="1492"/>
    <tableColumn id="14918" xr3:uid="{9600BC44-113E-483B-9023-5110987F5236}" name="Column14894" dataDxfId="1491"/>
    <tableColumn id="14919" xr3:uid="{9E5E81CD-0BFE-4446-915B-85FD2F585BE9}" name="Column14895" dataDxfId="1490"/>
    <tableColumn id="14920" xr3:uid="{309E27AF-B3B5-40A9-8929-D4CB7B255BFA}" name="Column14896" dataDxfId="1489"/>
    <tableColumn id="14921" xr3:uid="{8EDE6174-B0C3-4E57-9959-7FF9CBAF73A6}" name="Column14897" dataDxfId="1488"/>
    <tableColumn id="14922" xr3:uid="{87065F85-C5A1-47B7-81C3-955AE7311FC9}" name="Column14898" dataDxfId="1487"/>
    <tableColumn id="14923" xr3:uid="{C54D7F47-B863-4B9E-997B-C7AD743712AB}" name="Column14899" dataDxfId="1486"/>
    <tableColumn id="14924" xr3:uid="{0C11AC62-BC44-4954-BA52-27E067A99803}" name="Column14900" dataDxfId="1485"/>
    <tableColumn id="14925" xr3:uid="{8C47D379-A6AA-447B-8D19-EC1CA97DFB6F}" name="Column14901" dataDxfId="1484"/>
    <tableColumn id="14926" xr3:uid="{A7C1F141-39BC-4BB4-ACB5-C85D2F28FFD1}" name="Column14902" dataDxfId="1483"/>
    <tableColumn id="14927" xr3:uid="{AFC79E1C-BBA0-49DD-B3F6-DB23598E6A58}" name="Column14903" dataDxfId="1482"/>
    <tableColumn id="14928" xr3:uid="{FC8A2DCD-E07F-4057-9B9E-D9CB8D269E94}" name="Column14904" dataDxfId="1481"/>
    <tableColumn id="14929" xr3:uid="{317550E3-7438-4173-AA33-60B7FE4F7FE0}" name="Column14905" dataDxfId="1480"/>
    <tableColumn id="14930" xr3:uid="{7DE15E34-BED8-4931-A31E-4198486934F7}" name="Column14906" dataDxfId="1479"/>
    <tableColumn id="14931" xr3:uid="{051940F0-C842-4D23-B431-ED3E71012DEE}" name="Column14907" dataDxfId="1478"/>
    <tableColumn id="14932" xr3:uid="{3A55981E-E258-4827-A927-215AB74BFA69}" name="Column14908" dataDxfId="1477"/>
    <tableColumn id="14933" xr3:uid="{35D6C695-DF37-46E9-9613-E917E9458B65}" name="Column14909" dataDxfId="1476"/>
    <tableColumn id="14934" xr3:uid="{2C57B5B7-34F3-46FB-AF35-6A3282DABDB2}" name="Column14910" dataDxfId="1475"/>
    <tableColumn id="14935" xr3:uid="{F6292201-F838-4037-88E5-06011C2D1359}" name="Column14911" dataDxfId="1474"/>
    <tableColumn id="14936" xr3:uid="{853D2649-9D3C-4764-9FA6-80450B7E2C7B}" name="Column14912" dataDxfId="1473"/>
    <tableColumn id="14937" xr3:uid="{2CFA47D9-AD94-4416-9561-89ECFD7CF8B2}" name="Column14913" dataDxfId="1472"/>
    <tableColumn id="14938" xr3:uid="{0C4C7F79-0AD5-4707-AF20-C5B687A71689}" name="Column14914" dataDxfId="1471"/>
    <tableColumn id="14939" xr3:uid="{CB12AD10-4CCD-492B-B3DF-E1BA90386252}" name="Column14915" dataDxfId="1470"/>
    <tableColumn id="14940" xr3:uid="{B0A970A2-D04D-4967-B27D-867923DA3C1F}" name="Column14916" dataDxfId="1469"/>
    <tableColumn id="14941" xr3:uid="{4C4BA95A-F537-4D17-9AB3-2870FC0DE153}" name="Column14917" dataDxfId="1468"/>
    <tableColumn id="14942" xr3:uid="{4B9ECE4F-9246-4981-B529-93EE8B66CDF0}" name="Column14918" dataDxfId="1467"/>
    <tableColumn id="14943" xr3:uid="{00435D05-66A0-445E-AB68-515DDB16A6B0}" name="Column14919" dataDxfId="1466"/>
    <tableColumn id="14944" xr3:uid="{7DA5C3B1-1D5A-4AF4-888D-59983C6BDDBC}" name="Column14920" dataDxfId="1465"/>
    <tableColumn id="14945" xr3:uid="{5E32C8AF-ADB1-46C3-8EEE-ABB99C0DACB0}" name="Column14921" dataDxfId="1464"/>
    <tableColumn id="14946" xr3:uid="{9042CC17-5F6A-4C1A-9F01-7E290DE4BAE1}" name="Column14922" dataDxfId="1463"/>
    <tableColumn id="14947" xr3:uid="{05B11DBB-0CDD-489D-8BF2-CF5EB67A8DF3}" name="Column14923" dataDxfId="1462"/>
    <tableColumn id="14948" xr3:uid="{6BE8D9CA-B6CE-4AC6-8DC6-017773C38A86}" name="Column14924" dataDxfId="1461"/>
    <tableColumn id="14949" xr3:uid="{2481CC9E-47F2-4DC9-A9B7-7B9EA2BF5B30}" name="Column14925" dataDxfId="1460"/>
    <tableColumn id="14950" xr3:uid="{1A436C29-3ECC-42CD-8414-7DAB4853E23F}" name="Column14926" dataDxfId="1459"/>
    <tableColumn id="14951" xr3:uid="{A6C08461-E293-490D-96E7-683E6796D848}" name="Column14927" dataDxfId="1458"/>
    <tableColumn id="14952" xr3:uid="{DA73E075-5E09-448C-BAC7-677608C7BC1F}" name="Column14928" dataDxfId="1457"/>
    <tableColumn id="14953" xr3:uid="{008A3FE5-C53E-4141-90E3-76213080D10A}" name="Column14929" dataDxfId="1456"/>
    <tableColumn id="14954" xr3:uid="{925F0D78-3921-4013-A969-EC9B33FDECC8}" name="Column14930" dataDxfId="1455"/>
    <tableColumn id="14955" xr3:uid="{C5B84D47-14F6-4C9B-BD70-A32A7C171E9B}" name="Column14931" dataDxfId="1454"/>
    <tableColumn id="14956" xr3:uid="{2148251C-FFF7-4FCD-9A52-9F8A464C7BE2}" name="Column14932" dataDxfId="1453"/>
    <tableColumn id="14957" xr3:uid="{CDCA769A-9D23-484C-9A87-96576BE938CD}" name="Column14933" dataDxfId="1452"/>
    <tableColumn id="14958" xr3:uid="{21C83F04-C986-4F06-82CB-5B106A7C432F}" name="Column14934" dataDxfId="1451"/>
    <tableColumn id="14959" xr3:uid="{3DDD61F9-003A-46F7-B881-403709FF18AC}" name="Column14935" dataDxfId="1450"/>
    <tableColumn id="14960" xr3:uid="{8F786150-92B3-40BF-8651-DEA1E6955FD0}" name="Column14936" dataDxfId="1449"/>
    <tableColumn id="14961" xr3:uid="{6B18E2B0-8B13-4803-BEE6-B271C0C42714}" name="Column14937" dataDxfId="1448"/>
    <tableColumn id="14962" xr3:uid="{01DE552E-919D-4FCA-99D3-FCEDA27E4948}" name="Column14938" dataDxfId="1447"/>
    <tableColumn id="14963" xr3:uid="{FA140C11-63F6-47DD-B9DF-82A71EC5969C}" name="Column14939" dataDxfId="1446"/>
    <tableColumn id="14964" xr3:uid="{9C293525-45BF-4BFA-9E1D-A0FCA78AA446}" name="Column14940" dataDxfId="1445"/>
    <tableColumn id="14965" xr3:uid="{EDF3C39C-D158-4CB0-B353-50E4E8371F51}" name="Column14941" dataDxfId="1444"/>
    <tableColumn id="14966" xr3:uid="{83AD5F82-202F-462A-ADEF-E54D7A28B6E1}" name="Column14942" dataDxfId="1443"/>
    <tableColumn id="14967" xr3:uid="{BFEB7ADD-B489-4707-8A54-F8044394CAC8}" name="Column14943" dataDxfId="1442"/>
    <tableColumn id="14968" xr3:uid="{8DE647AA-6587-4C2B-AF4E-BD135EE67558}" name="Column14944" dataDxfId="1441"/>
    <tableColumn id="14969" xr3:uid="{5FE6607B-9DD2-4E1A-8963-A81F88DDFAC0}" name="Column14945" dataDxfId="1440"/>
    <tableColumn id="14970" xr3:uid="{4AF75E68-7E6E-4567-A83D-36F4B386E4AF}" name="Column14946" dataDxfId="1439"/>
    <tableColumn id="14971" xr3:uid="{178DDD4B-74B9-4453-AF45-7FA5E6E6201A}" name="Column14947" dataDxfId="1438"/>
    <tableColumn id="14972" xr3:uid="{7C7408D3-3D59-4E3D-BBE0-224A06ED8796}" name="Column14948" dataDxfId="1437"/>
    <tableColumn id="14973" xr3:uid="{D81C05F5-E13A-4FDE-9530-5121C00D1A6A}" name="Column14949" dataDxfId="1436"/>
    <tableColumn id="14974" xr3:uid="{44B89E85-11C6-4CB4-A1E9-3DA5EB7E00F8}" name="Column14950" dataDxfId="1435"/>
    <tableColumn id="14975" xr3:uid="{CA62946C-9225-442D-9EE2-A5E5CA7FC433}" name="Column14951" dataDxfId="1434"/>
    <tableColumn id="14976" xr3:uid="{355FEAC8-0605-46E8-858D-A3DA917DBD0D}" name="Column14952" dataDxfId="1433"/>
    <tableColumn id="14977" xr3:uid="{3BB665B7-0CE2-42D4-8672-3E68DFD4850F}" name="Column14953" dataDxfId="1432"/>
    <tableColumn id="14978" xr3:uid="{7A4823CA-EC1D-4C5F-83B4-9F8B45018242}" name="Column14954" dataDxfId="1431"/>
    <tableColumn id="14979" xr3:uid="{7C4AB7E0-187C-4B63-8352-746CAAC56F70}" name="Column14955" dataDxfId="1430"/>
    <tableColumn id="14980" xr3:uid="{EF891352-7FDF-4829-AFF3-C5918C75AA2F}" name="Column14956" dataDxfId="1429"/>
    <tableColumn id="14981" xr3:uid="{8E750068-E3A6-40F2-BDCD-6413345B4021}" name="Column14957" dataDxfId="1428"/>
    <tableColumn id="14982" xr3:uid="{944F28EB-EED4-4356-9916-FDCD9127CDD4}" name="Column14958" dataDxfId="1427"/>
    <tableColumn id="14983" xr3:uid="{F7D6BE38-E5CE-4294-AA2A-C6ED9280F651}" name="Column14959" dataDxfId="1426"/>
    <tableColumn id="14984" xr3:uid="{BA7F07B4-40A8-4D13-B41C-B67938FC5250}" name="Column14960" dataDxfId="1425"/>
    <tableColumn id="14985" xr3:uid="{A31254F2-A20B-42A4-94E7-2B2687264F68}" name="Column14961" dataDxfId="1424"/>
    <tableColumn id="14986" xr3:uid="{94D2DC45-8984-4DAB-9FD6-596EF4198794}" name="Column14962" dataDxfId="1423"/>
    <tableColumn id="14987" xr3:uid="{D0A8F885-AC16-45AE-8B3E-82FFEF2EBF22}" name="Column14963" dataDxfId="1422"/>
    <tableColumn id="14988" xr3:uid="{FD7E362E-A1B0-4F36-A388-6F8D8996982D}" name="Column14964" dataDxfId="1421"/>
    <tableColumn id="14989" xr3:uid="{5C1EF5DF-2181-4E0E-AE45-8A7FECED0F81}" name="Column14965" dataDxfId="1420"/>
    <tableColumn id="14990" xr3:uid="{01908B09-A1F6-42A5-AFBE-898CC521DF02}" name="Column14966" dataDxfId="1419"/>
    <tableColumn id="14991" xr3:uid="{85940E1C-F81F-49AB-B0E1-8FB4F4976F9F}" name="Column14967" dataDxfId="1418"/>
    <tableColumn id="14992" xr3:uid="{DAD4400C-679F-4FD2-8870-F47F04AC6523}" name="Column14968" dataDxfId="1417"/>
    <tableColumn id="14993" xr3:uid="{B46731EE-0FD0-47F2-BB0F-D999C258D467}" name="Column14969" dataDxfId="1416"/>
    <tableColumn id="14994" xr3:uid="{6537DA47-3AFE-4779-B166-571AEAF77DD6}" name="Column14970" dataDxfId="1415"/>
    <tableColumn id="14995" xr3:uid="{361F4C89-6E4E-492F-972F-FE82A5B7E997}" name="Column14971" dataDxfId="1414"/>
    <tableColumn id="14996" xr3:uid="{F298C2AE-DEB9-431F-9B66-F3E1D3743048}" name="Column14972" dataDxfId="1413"/>
    <tableColumn id="14997" xr3:uid="{E81B472E-579B-486F-8481-A8F772DA3343}" name="Column14973" dataDxfId="1412"/>
    <tableColumn id="14998" xr3:uid="{AF176781-188B-45F3-9D82-3EB766A7B132}" name="Column14974" dataDxfId="1411"/>
    <tableColumn id="14999" xr3:uid="{E153BF8B-F615-4930-BC14-7E71152A81E7}" name="Column14975" dataDxfId="1410"/>
    <tableColumn id="15000" xr3:uid="{B7A061AE-D1DC-4310-BA61-2F7492347CA4}" name="Column14976" dataDxfId="1409"/>
    <tableColumn id="15001" xr3:uid="{7CFFEDFA-9849-43AE-8845-D0298E091857}" name="Column14977" dataDxfId="1408"/>
    <tableColumn id="15002" xr3:uid="{2E7328EE-3A6D-4605-9BE2-059C0F6B319B}" name="Column14978" dataDxfId="1407"/>
    <tableColumn id="15003" xr3:uid="{D47CB707-080E-420C-ACD2-0ED9CBB5FDFD}" name="Column14979" dataDxfId="1406"/>
    <tableColumn id="15004" xr3:uid="{B24CA9F4-26E4-4248-9854-7C54BED81E91}" name="Column14980" dataDxfId="1405"/>
    <tableColumn id="15005" xr3:uid="{ACE2058E-CBBB-4B05-9745-4C69900544A4}" name="Column14981" dataDxfId="1404"/>
    <tableColumn id="15006" xr3:uid="{159B05D5-5867-4598-B250-E60C0B60B044}" name="Column14982" dataDxfId="1403"/>
    <tableColumn id="15007" xr3:uid="{82D5207C-40F8-4964-BD35-74DF653EDC2D}" name="Column14983" dataDxfId="1402"/>
    <tableColumn id="15008" xr3:uid="{71A81D18-659F-434A-9D1E-58E41C515028}" name="Column14984" dataDxfId="1401"/>
    <tableColumn id="15009" xr3:uid="{7E938610-4BA4-43C7-AADA-76B5FECF9F81}" name="Column14985" dataDxfId="1400"/>
    <tableColumn id="15010" xr3:uid="{9208AA51-BBAC-49C4-B317-D429C7CDF795}" name="Column14986" dataDxfId="1399"/>
    <tableColumn id="15011" xr3:uid="{759E6150-DA1B-4837-BAE4-657006BAE646}" name="Column14987" dataDxfId="1398"/>
    <tableColumn id="15012" xr3:uid="{D6B064E0-9C29-47C4-A4BB-367D61C1DBD2}" name="Column14988" dataDxfId="1397"/>
    <tableColumn id="15013" xr3:uid="{0E605779-8F98-4902-8357-27C7CC1FB791}" name="Column14989" dataDxfId="1396"/>
    <tableColumn id="15014" xr3:uid="{67FC6EE2-84A6-41DC-A8D2-95D212923524}" name="Column14990" dataDxfId="1395"/>
    <tableColumn id="15015" xr3:uid="{44A73412-7AF3-415F-84FC-B5FB31B62817}" name="Column14991" dataDxfId="1394"/>
    <tableColumn id="15016" xr3:uid="{F4BB3F7C-FC04-4D81-9CF8-6B7F78D3A25E}" name="Column14992" dataDxfId="1393"/>
    <tableColumn id="15017" xr3:uid="{E7D9A394-DBE6-4EAF-B740-0E5FD6F38215}" name="Column14993" dataDxfId="1392"/>
    <tableColumn id="15018" xr3:uid="{8B5C6047-DD7E-44C4-8668-A8D5E1BE4353}" name="Column14994" dataDxfId="1391"/>
    <tableColumn id="15019" xr3:uid="{60D1D951-D845-4034-ABB4-CCD48E18C06D}" name="Column14995" dataDxfId="1390"/>
    <tableColumn id="15020" xr3:uid="{A9225C35-24F1-44D6-BC6A-94304F12F88F}" name="Column14996" dataDxfId="1389"/>
    <tableColumn id="15021" xr3:uid="{5E70E0FE-06A6-4EEB-A3BA-860A53B35B83}" name="Column14997" dataDxfId="1388"/>
    <tableColumn id="15022" xr3:uid="{B6C16DC6-EB17-44F0-8C63-39D1E4C99F97}" name="Column14998" dataDxfId="1387"/>
    <tableColumn id="15023" xr3:uid="{95919B2D-27AF-41F1-8013-B77324821690}" name="Column14999" dataDxfId="1386"/>
    <tableColumn id="15024" xr3:uid="{39A2BA3A-5B6E-46FE-BE30-80E2D67F634C}" name="Column15000" dataDxfId="1385"/>
    <tableColumn id="15025" xr3:uid="{209C97E5-A1EF-4922-A13A-5380E2C96763}" name="Column15001" dataDxfId="1384"/>
    <tableColumn id="15026" xr3:uid="{D5144D06-BC62-459A-A625-A47DEB18C2E6}" name="Column15002" dataDxfId="1383"/>
    <tableColumn id="15027" xr3:uid="{117A43B6-C0B4-4C6E-96F0-5B7473F1EA79}" name="Column15003" dataDxfId="1382"/>
    <tableColumn id="15028" xr3:uid="{D8E97115-1CAF-47E8-A3CB-30D8D4BA4B94}" name="Column15004" dataDxfId="1381"/>
    <tableColumn id="15029" xr3:uid="{D09BDE67-7F53-4493-9709-68E70D436C5A}" name="Column15005" dataDxfId="1380"/>
    <tableColumn id="15030" xr3:uid="{220C8956-351E-4766-B059-D016A559D81E}" name="Column15006" dataDxfId="1379"/>
    <tableColumn id="15031" xr3:uid="{1DBDD65B-9CB5-419F-9C4C-C77E25E17855}" name="Column15007" dataDxfId="1378"/>
    <tableColumn id="15032" xr3:uid="{1AEF2A49-E402-4D75-A3AF-54E82AFAB4B0}" name="Column15008" dataDxfId="1377"/>
    <tableColumn id="15033" xr3:uid="{506A197D-5710-464B-878E-AD6DCF9BF4F7}" name="Column15009" dataDxfId="1376"/>
    <tableColumn id="15034" xr3:uid="{244C054F-EE69-4187-9B0F-627799175903}" name="Column15010" dataDxfId="1375"/>
    <tableColumn id="15035" xr3:uid="{5E691C18-2AF4-447F-92F3-FF332D978EBF}" name="Column15011" dataDxfId="1374"/>
    <tableColumn id="15036" xr3:uid="{64BBBA4E-707E-4C59-A3D1-2DA8B851E1DE}" name="Column15012" dataDxfId="1373"/>
    <tableColumn id="15037" xr3:uid="{B8929E99-4FF3-4B91-A640-F181619DAF1A}" name="Column15013" dataDxfId="1372"/>
    <tableColumn id="15038" xr3:uid="{1D983D61-7470-4A4C-9221-54F9CC506A27}" name="Column15014" dataDxfId="1371"/>
    <tableColumn id="15039" xr3:uid="{0C464334-CD76-4F85-9C1F-D0D304BCE360}" name="Column15015" dataDxfId="1370"/>
    <tableColumn id="15040" xr3:uid="{18FFEDAB-A6F6-443F-B248-2C95752257E3}" name="Column15016" dataDxfId="1369"/>
    <tableColumn id="15041" xr3:uid="{B67CE9A4-9AB9-4F1A-B22E-4937B3161AC7}" name="Column15017" dataDxfId="1368"/>
    <tableColumn id="15042" xr3:uid="{A4E91778-64DD-48A8-A2C3-3DBCA99151A5}" name="Column15018" dataDxfId="1367"/>
    <tableColumn id="15043" xr3:uid="{E15FF2AB-C6EE-4E93-97C5-223D7570AB01}" name="Column15019" dataDxfId="1366"/>
    <tableColumn id="15044" xr3:uid="{CBC255B3-DE80-4984-87FF-3D1FCE442649}" name="Column15020" dataDxfId="1365"/>
    <tableColumn id="15045" xr3:uid="{399D7A09-7AB4-474B-B033-E891CE2ACE25}" name="Column15021" dataDxfId="1364"/>
    <tableColumn id="15046" xr3:uid="{331B1EDB-C8B2-4CA4-AD73-0501AAFF7D2B}" name="Column15022" dataDxfId="1363"/>
    <tableColumn id="15047" xr3:uid="{956D8CEC-AB82-4CC2-BDE5-39086C4BE4C7}" name="Column15023" dataDxfId="1362"/>
    <tableColumn id="15048" xr3:uid="{80C5EE20-53E3-45DF-A505-A069FA26F127}" name="Column15024" dataDxfId="1361"/>
    <tableColumn id="15049" xr3:uid="{D8C1B248-7EBE-4491-AC5A-64BAD6CD9E9C}" name="Column15025" dataDxfId="1360"/>
    <tableColumn id="15050" xr3:uid="{6352AD73-274F-449D-92BA-A3CBC88E7BD7}" name="Column15026" dataDxfId="1359"/>
    <tableColumn id="15051" xr3:uid="{1EDD3443-2766-4676-8D85-67C92B3EE3B9}" name="Column15027" dataDxfId="1358"/>
    <tableColumn id="15052" xr3:uid="{884862BC-285A-4542-A9CA-B73C670818AD}" name="Column15028" dataDxfId="1357"/>
    <tableColumn id="15053" xr3:uid="{753D1926-3D61-4BA0-855E-B74A5E347E1C}" name="Column15029" dataDxfId="1356"/>
    <tableColumn id="15054" xr3:uid="{84232AF9-DCEA-4D17-B060-264C764A74F5}" name="Column15030" dataDxfId="1355"/>
    <tableColumn id="15055" xr3:uid="{F2BF4A36-594F-4DD8-B498-0CBBA8E5956B}" name="Column15031" dataDxfId="1354"/>
    <tableColumn id="15056" xr3:uid="{82B08667-0B83-463B-A786-775F264735DF}" name="Column15032" dataDxfId="1353"/>
    <tableColumn id="15057" xr3:uid="{6B3D8DE7-6855-4353-A9CD-C6C718C68095}" name="Column15033" dataDxfId="1352"/>
    <tableColumn id="15058" xr3:uid="{993C68D5-4EAB-48B5-BDA6-CB7E395439D6}" name="Column15034" dataDxfId="1351"/>
    <tableColumn id="15059" xr3:uid="{2FF6787E-E188-42D1-A6C3-A42EA85A2DD2}" name="Column15035" dataDxfId="1350"/>
    <tableColumn id="15060" xr3:uid="{B78BD719-5D80-4A11-883F-C9418271F019}" name="Column15036" dataDxfId="1349"/>
    <tableColumn id="15061" xr3:uid="{BCC8E1E5-459B-484D-9141-AA1CD487221F}" name="Column15037" dataDxfId="1348"/>
    <tableColumn id="15062" xr3:uid="{3D326188-640F-4495-9910-D7CDE161D921}" name="Column15038" dataDxfId="1347"/>
    <tableColumn id="15063" xr3:uid="{81848513-21FA-4E7A-86AE-C04B9D7F4C64}" name="Column15039" dataDxfId="1346"/>
    <tableColumn id="15064" xr3:uid="{2A93E502-CC72-4619-A2BD-9499CC013CB6}" name="Column15040" dataDxfId="1345"/>
    <tableColumn id="15065" xr3:uid="{1B92CE55-4787-4BD9-B947-ADDB29B6483C}" name="Column15041" dataDxfId="1344"/>
    <tableColumn id="15066" xr3:uid="{6B3AD8F8-CD39-498D-884E-DE8FF91ED09D}" name="Column15042" dataDxfId="1343"/>
    <tableColumn id="15067" xr3:uid="{E4459DDC-E0A7-49D4-9DC9-5D28BFCC7971}" name="Column15043" dataDxfId="1342"/>
    <tableColumn id="15068" xr3:uid="{CECAE617-7F0E-40ED-A072-CEA59A657DED}" name="Column15044" dataDxfId="1341"/>
    <tableColumn id="15069" xr3:uid="{357E4F18-A174-41FA-80C9-E1DCD160CDCB}" name="Column15045" dataDxfId="1340"/>
    <tableColumn id="15070" xr3:uid="{7D23BB27-162A-435A-987A-CAE2C724538A}" name="Column15046" dataDxfId="1339"/>
    <tableColumn id="15071" xr3:uid="{A882BE42-4044-4624-928B-77F3299B64D2}" name="Column15047" dataDxfId="1338"/>
    <tableColumn id="15072" xr3:uid="{206944BA-5E0A-48EE-9753-D642503F008B}" name="Column15048" dataDxfId="1337"/>
    <tableColumn id="15073" xr3:uid="{FC541B4D-7F59-4BFD-9FEA-5A0B4E37D9F5}" name="Column15049" dataDxfId="1336"/>
    <tableColumn id="15074" xr3:uid="{45776260-2386-4026-8A71-8336D41D4029}" name="Column15050" dataDxfId="1335"/>
    <tableColumn id="15075" xr3:uid="{140838EF-9D2B-459B-A73B-93D0A6515CAA}" name="Column15051" dataDxfId="1334"/>
    <tableColumn id="15076" xr3:uid="{59184DD8-DD5F-495B-B5FE-F9082AE35362}" name="Column15052" dataDxfId="1333"/>
    <tableColumn id="15077" xr3:uid="{9BCB40E8-3803-44EE-86A7-61A55D89EF51}" name="Column15053" dataDxfId="1332"/>
    <tableColumn id="15078" xr3:uid="{9C396EE8-DAC0-42AA-AA57-3A1EF18E6606}" name="Column15054" dataDxfId="1331"/>
    <tableColumn id="15079" xr3:uid="{BA054A83-1ABC-42C2-AD5D-CCBDDC1B46B1}" name="Column15055" dataDxfId="1330"/>
    <tableColumn id="15080" xr3:uid="{FD0B64DC-0757-430E-AD23-74C6273B6431}" name="Column15056" dataDxfId="1329"/>
    <tableColumn id="15081" xr3:uid="{C595A256-73BB-4254-9AA4-B0817D683CBB}" name="Column15057" dataDxfId="1328"/>
    <tableColumn id="15082" xr3:uid="{FE445961-33AE-4F0A-BB7E-3416B31EA0DB}" name="Column15058" dataDxfId="1327"/>
    <tableColumn id="15083" xr3:uid="{7E76FB82-91EB-4D2D-A4DB-251BFC7964BC}" name="Column15059" dataDxfId="1326"/>
    <tableColumn id="15084" xr3:uid="{167180D5-644B-439B-92EC-77902206E90D}" name="Column15060" dataDxfId="1325"/>
    <tableColumn id="15085" xr3:uid="{BB182765-3A10-481A-8172-632906B2DB5B}" name="Column15061" dataDxfId="1324"/>
    <tableColumn id="15086" xr3:uid="{6A08C72D-63F3-4B51-896A-43B94476B8DB}" name="Column15062" dataDxfId="1323"/>
    <tableColumn id="15087" xr3:uid="{A084F579-897C-4AE7-826D-FAC3C649FDF3}" name="Column15063" dataDxfId="1322"/>
    <tableColumn id="15088" xr3:uid="{877DAC4E-1E1C-45C0-9786-9C1A5046CED9}" name="Column15064" dataDxfId="1321"/>
    <tableColumn id="15089" xr3:uid="{56F450D5-5386-45E6-8A74-BEF87FD2BCDA}" name="Column15065" dataDxfId="1320"/>
    <tableColumn id="15090" xr3:uid="{1D7337AE-ECDD-4D9A-87F5-D0A3D10A653D}" name="Column15066" dataDxfId="1319"/>
    <tableColumn id="15091" xr3:uid="{F6AF64C3-DE3B-424D-A828-B55321BE8F89}" name="Column15067" dataDxfId="1318"/>
    <tableColumn id="15092" xr3:uid="{EF73FA97-F59D-4CDD-9948-665BD7DF2EDE}" name="Column15068" dataDxfId="1317"/>
    <tableColumn id="15093" xr3:uid="{25C74B1B-718D-4E3F-84C7-53FEFD3FE3E7}" name="Column15069" dataDxfId="1316"/>
    <tableColumn id="15094" xr3:uid="{C8F15EB6-EED2-4DE0-82F9-843EE77A17E2}" name="Column15070" dataDxfId="1315"/>
    <tableColumn id="15095" xr3:uid="{D8CEA3D3-8B70-4328-B75F-D455351161AD}" name="Column15071" dataDxfId="1314"/>
    <tableColumn id="15096" xr3:uid="{5D554B3F-510C-48D5-9906-70DCE0308CCC}" name="Column15072" dataDxfId="1313"/>
    <tableColumn id="15097" xr3:uid="{9B7A45F2-EF74-4774-B24C-0DDC1ECEE1E9}" name="Column15073" dataDxfId="1312"/>
    <tableColumn id="15098" xr3:uid="{189D0138-8F6E-4604-BC58-F9A0E9D98DD5}" name="Column15074" dataDxfId="1311"/>
    <tableColumn id="15099" xr3:uid="{EBCF734F-916F-4855-9783-173B3DE31E03}" name="Column15075" dataDxfId="1310"/>
    <tableColumn id="15100" xr3:uid="{95E0990F-FC50-4197-A628-8BE71F61BA43}" name="Column15076" dataDxfId="1309"/>
    <tableColumn id="15101" xr3:uid="{5222BCDF-2940-49D4-9B90-F5CE24E9E32E}" name="Column15077" dataDxfId="1308"/>
    <tableColumn id="15102" xr3:uid="{AD220A90-FEB1-4B5E-917D-FC75D8811030}" name="Column15078" dataDxfId="1307"/>
    <tableColumn id="15103" xr3:uid="{31146866-B83B-4A08-AEC1-6BBDC81CB86B}" name="Column15079" dataDxfId="1306"/>
    <tableColumn id="15104" xr3:uid="{B8CE3505-258A-42FB-A92B-DD267A1CC3A9}" name="Column15080" dataDxfId="1305"/>
    <tableColumn id="15105" xr3:uid="{9AB5C5CB-E829-49D1-B3D6-BAB06268CACB}" name="Column15081" dataDxfId="1304"/>
    <tableColumn id="15106" xr3:uid="{DF0530A3-33C4-4891-87CF-17D8B7F66013}" name="Column15082" dataDxfId="1303"/>
    <tableColumn id="15107" xr3:uid="{CF2F7ABB-7A13-4634-A7B9-68EAEBE1E25C}" name="Column15083" dataDxfId="1302"/>
    <tableColumn id="15108" xr3:uid="{0949F15E-B8AB-4342-A8FB-7D6608647FC4}" name="Column15084" dataDxfId="1301"/>
    <tableColumn id="15109" xr3:uid="{C98D4C95-BFF0-4AEB-BC88-CF52256857D1}" name="Column15085" dataDxfId="1300"/>
    <tableColumn id="15110" xr3:uid="{AEF157E0-5F4B-4A83-A804-A4B92670E376}" name="Column15086" dataDxfId="1299"/>
    <tableColumn id="15111" xr3:uid="{4EC45B57-B82C-460C-A7BB-BF57640B5701}" name="Column15087" dataDxfId="1298"/>
    <tableColumn id="15112" xr3:uid="{210DEFC5-5E87-497A-9A51-B424ED6E2CC7}" name="Column15088" dataDxfId="1297"/>
    <tableColumn id="15113" xr3:uid="{331CAFC2-B6BD-497A-9743-2224D4211EF4}" name="Column15089" dataDxfId="1296"/>
    <tableColumn id="15114" xr3:uid="{CF47DE10-9BEE-4D79-A117-5F2C1795492A}" name="Column15090" dataDxfId="1295"/>
    <tableColumn id="15115" xr3:uid="{15B9C529-D0F3-41A1-994B-08C1D6DCF362}" name="Column15091" dataDxfId="1294"/>
    <tableColumn id="15116" xr3:uid="{59C793F4-AB0D-4A02-B310-E67653EF89FE}" name="Column15092" dataDxfId="1293"/>
    <tableColumn id="15117" xr3:uid="{CBC4230A-637B-4DE6-BFF0-F22A47BA2D49}" name="Column15093" dataDxfId="1292"/>
    <tableColumn id="15118" xr3:uid="{3F66FF7C-432F-4FBE-B7AA-E43638766DD5}" name="Column15094" dataDxfId="1291"/>
    <tableColumn id="15119" xr3:uid="{D7C28B5C-FAE0-4B85-8CE4-95449EBB2A02}" name="Column15095" dataDxfId="1290"/>
    <tableColumn id="15120" xr3:uid="{305DF6F1-537A-418E-ABEE-F4133C82DB68}" name="Column15096" dataDxfId="1289"/>
    <tableColumn id="15121" xr3:uid="{EB9C188A-7D02-4422-B0B0-54626CA8F2D4}" name="Column15097" dataDxfId="1288"/>
    <tableColumn id="15122" xr3:uid="{8020A6B8-F9F3-4C4E-8AC3-05F47BD16FE8}" name="Column15098" dataDxfId="1287"/>
    <tableColumn id="15123" xr3:uid="{909CF338-AE8E-4CA6-9721-5B3DA28C67D2}" name="Column15099" dataDxfId="1286"/>
    <tableColumn id="15124" xr3:uid="{057817B6-8D3B-470C-8E1D-DCC73FE059A4}" name="Column15100" dataDxfId="1285"/>
    <tableColumn id="15125" xr3:uid="{BD233FFA-F07E-4F56-8EB8-E1167FBAD106}" name="Column15101" dataDxfId="1284"/>
    <tableColumn id="15126" xr3:uid="{C3492C1B-0AB8-4B24-AC44-F596A05615FF}" name="Column15102" dataDxfId="1283"/>
    <tableColumn id="15127" xr3:uid="{62E5344B-8D2A-4B2D-BE1C-ECB96D39E364}" name="Column15103" dataDxfId="1282"/>
    <tableColumn id="15128" xr3:uid="{5236381D-BB79-4BA7-83C2-DD48F62E5DF6}" name="Column15104" dataDxfId="1281"/>
    <tableColumn id="15129" xr3:uid="{7ECA954A-4422-411E-AAD0-5D9C7A8ACAA6}" name="Column15105" dataDxfId="1280"/>
    <tableColumn id="15130" xr3:uid="{84CCB58F-3862-42BB-AC72-CBAF038165D3}" name="Column15106" dataDxfId="1279"/>
    <tableColumn id="15131" xr3:uid="{CC74550E-76F9-400B-BE4B-B1B1BBE756F7}" name="Column15107" dataDxfId="1278"/>
    <tableColumn id="15132" xr3:uid="{B3D73E30-7FC9-4183-9CDE-69A669039EFD}" name="Column15108" dataDxfId="1277"/>
    <tableColumn id="15133" xr3:uid="{1087661A-B486-4307-8BF5-BC73B4596B8E}" name="Column15109" dataDxfId="1276"/>
    <tableColumn id="15134" xr3:uid="{5416B750-A364-4124-9441-0592D49CB353}" name="Column15110" dataDxfId="1275"/>
    <tableColumn id="15135" xr3:uid="{7637EE74-A87C-45CC-A4BC-3399B9A45923}" name="Column15111" dataDxfId="1274"/>
    <tableColumn id="15136" xr3:uid="{FC583E46-5226-4910-8D15-79EC2A2E1949}" name="Column15112" dataDxfId="1273"/>
    <tableColumn id="15137" xr3:uid="{47EA8475-53E1-480F-B56F-125ED71A6C82}" name="Column15113" dataDxfId="1272"/>
    <tableColumn id="15138" xr3:uid="{6F6DE5D4-F126-433E-9154-AD1CA1E3D4E2}" name="Column15114" dataDxfId="1271"/>
    <tableColumn id="15139" xr3:uid="{E4EAB832-30B4-453A-BDEC-4204226EEBAF}" name="Column15115" dataDxfId="1270"/>
    <tableColumn id="15140" xr3:uid="{42654756-F340-4F19-9BAB-22EDB5E7105D}" name="Column15116" dataDxfId="1269"/>
    <tableColumn id="15141" xr3:uid="{8410A6C4-008D-4218-8FC1-9F4C4994A7FE}" name="Column15117" dataDxfId="1268"/>
    <tableColumn id="15142" xr3:uid="{231C3F33-0AFC-42EB-AEED-3782386F7024}" name="Column15118" dataDxfId="1267"/>
    <tableColumn id="15143" xr3:uid="{B30E2EEE-6750-4188-B507-A29F1B1FA0AB}" name="Column15119" dataDxfId="1266"/>
    <tableColumn id="15144" xr3:uid="{4D5F5481-9A85-45A6-B47F-9165610D8228}" name="Column15120" dataDxfId="1265"/>
    <tableColumn id="15145" xr3:uid="{7B67376E-8D04-47E5-810C-1F34B107B80D}" name="Column15121" dataDxfId="1264"/>
    <tableColumn id="15146" xr3:uid="{36C92F53-CB08-463E-9549-CE5E2BD4D415}" name="Column15122" dataDxfId="1263"/>
    <tableColumn id="15147" xr3:uid="{F9EB47BD-4759-45C3-B27A-85C92BFD4414}" name="Column15123" dataDxfId="1262"/>
    <tableColumn id="15148" xr3:uid="{427527A9-B972-4790-8C91-D8D3718DAFB0}" name="Column15124" dataDxfId="1261"/>
    <tableColumn id="15149" xr3:uid="{B34954B0-CA0F-4E16-A0E8-A99451C4B277}" name="Column15125" dataDxfId="1260"/>
    <tableColumn id="15150" xr3:uid="{970D3295-2561-420B-AAA6-20B7E5B0FB89}" name="Column15126" dataDxfId="1259"/>
    <tableColumn id="15151" xr3:uid="{4A935D8B-57FE-4DDE-8ED2-EFEAEEC38ABB}" name="Column15127" dataDxfId="1258"/>
    <tableColumn id="15152" xr3:uid="{D34211D9-C65B-4984-B5B6-78A5B70E8874}" name="Column15128" dataDxfId="1257"/>
    <tableColumn id="15153" xr3:uid="{AE42D1F4-6778-466C-81ED-202B4C564EC2}" name="Column15129" dataDxfId="1256"/>
    <tableColumn id="15154" xr3:uid="{AC20A540-9581-4DFE-A7EC-18751C8BD993}" name="Column15130" dataDxfId="1255"/>
    <tableColumn id="15155" xr3:uid="{660BCE0F-4950-4AE9-B02A-24EDA8BF2D86}" name="Column15131" dataDxfId="1254"/>
    <tableColumn id="15156" xr3:uid="{7DDC48CD-87B6-4DC3-8F5C-8C7A67AB3B70}" name="Column15132" dataDxfId="1253"/>
    <tableColumn id="15157" xr3:uid="{B6E3BE1D-2545-4C21-9976-F55AB65F6A9D}" name="Column15133" dataDxfId="1252"/>
    <tableColumn id="15158" xr3:uid="{964BFA72-D9B9-44F4-B43B-9F92727B7952}" name="Column15134" dataDxfId="1251"/>
    <tableColumn id="15159" xr3:uid="{195874F7-A918-4661-AB17-839F21FD85AA}" name="Column15135" dataDxfId="1250"/>
    <tableColumn id="15160" xr3:uid="{8DC53693-F40B-416B-A277-F088B09F40EC}" name="Column15136" dataDxfId="1249"/>
    <tableColumn id="15161" xr3:uid="{F6B699EB-A760-4E3E-A506-977121BA43A2}" name="Column15137" dataDxfId="1248"/>
    <tableColumn id="15162" xr3:uid="{EDE2E854-20CC-475B-81CB-A6A384484018}" name="Column15138" dataDxfId="1247"/>
    <tableColumn id="15163" xr3:uid="{CD0487A9-FB50-4B71-8C1C-CD8434384F44}" name="Column15139" dataDxfId="1246"/>
    <tableColumn id="15164" xr3:uid="{1931BB93-6AA1-40D8-B7FA-D87BD45E7435}" name="Column15140" dataDxfId="1245"/>
    <tableColumn id="15165" xr3:uid="{3418389A-EEDE-4D86-899E-7C0182C8FA0F}" name="Column15141" dataDxfId="1244"/>
    <tableColumn id="15166" xr3:uid="{0EB24EF0-AD2B-4272-A002-9D3E727C08AF}" name="Column15142" dataDxfId="1243"/>
    <tableColumn id="15167" xr3:uid="{BC664970-BB25-44D0-A6B6-BE4B25EAA541}" name="Column15143" dataDxfId="1242"/>
    <tableColumn id="15168" xr3:uid="{051B158D-A4E3-4B83-9662-FA2396479BD0}" name="Column15144" dataDxfId="1241"/>
    <tableColumn id="15169" xr3:uid="{6E87C7BA-B313-4102-A46E-FD9D2DA235A7}" name="Column15145" dataDxfId="1240"/>
    <tableColumn id="15170" xr3:uid="{1501E01D-22AD-42D7-AE25-6A50E9C1DF2D}" name="Column15146" dataDxfId="1239"/>
    <tableColumn id="15171" xr3:uid="{D8D10A6B-9942-4B69-B896-4670CD3D263E}" name="Column15147" dataDxfId="1238"/>
    <tableColumn id="15172" xr3:uid="{5C199291-CD1F-484C-90E3-632470685B5D}" name="Column15148" dataDxfId="1237"/>
    <tableColumn id="15173" xr3:uid="{14D43075-F8FA-4AA4-96F2-889ABA8A4177}" name="Column15149" dataDxfId="1236"/>
    <tableColumn id="15174" xr3:uid="{2971C39A-AE52-4385-AC07-6616AC5932C2}" name="Column15150" dataDxfId="1235"/>
    <tableColumn id="15175" xr3:uid="{D7F1A740-F933-4512-A665-DC764A19FA1B}" name="Column15151" dataDxfId="1234"/>
    <tableColumn id="15176" xr3:uid="{86ED2FE4-5B80-48D8-937E-74F4AA7B026F}" name="Column15152" dataDxfId="1233"/>
    <tableColumn id="15177" xr3:uid="{F118D2B2-647D-42E4-90DA-594FD5A98E9B}" name="Column15153" dataDxfId="1232"/>
    <tableColumn id="15178" xr3:uid="{3DAA9667-CA5D-496C-8B14-5204A567C662}" name="Column15154" dataDxfId="1231"/>
    <tableColumn id="15179" xr3:uid="{7435ABBD-0BC4-40C9-B567-384C1BF78150}" name="Column15155" dataDxfId="1230"/>
    <tableColumn id="15180" xr3:uid="{CBE57033-9361-4A5A-9051-FEB4074B27A0}" name="Column15156" dataDxfId="1229"/>
    <tableColumn id="15181" xr3:uid="{FFA54EA6-83B6-4304-BC80-86EBCCE8870F}" name="Column15157" dataDxfId="1228"/>
    <tableColumn id="15182" xr3:uid="{06B13667-2753-4A22-BC4E-F2A7B871D76C}" name="Column15158" dataDxfId="1227"/>
    <tableColumn id="15183" xr3:uid="{F9384150-3395-42FC-8BF5-79D2BDF2B8AB}" name="Column15159" dataDxfId="1226"/>
    <tableColumn id="15184" xr3:uid="{6C5F0F28-8FBE-4F94-B9E8-C748DD96317E}" name="Column15160" dataDxfId="1225"/>
    <tableColumn id="15185" xr3:uid="{6FD7CFE8-3BD9-4EAA-8BA6-94FEDCB18BC8}" name="Column15161" dataDxfId="1224"/>
    <tableColumn id="15186" xr3:uid="{6225FCD2-54D5-4729-85C3-9EE236A47D9C}" name="Column15162" dataDxfId="1223"/>
    <tableColumn id="15187" xr3:uid="{35339C18-28A4-4277-A70D-5EA70AF689F1}" name="Column15163" dataDxfId="1222"/>
    <tableColumn id="15188" xr3:uid="{C1DDDE89-8538-4A38-8649-B888CBCF813E}" name="Column15164" dataDxfId="1221"/>
    <tableColumn id="15189" xr3:uid="{D6BA06B8-1B5E-4CA9-AD37-06546AC9FF17}" name="Column15165" dataDxfId="1220"/>
    <tableColumn id="15190" xr3:uid="{2318DDA4-D585-4B89-831D-8E7B84C9CE0E}" name="Column15166" dataDxfId="1219"/>
    <tableColumn id="15191" xr3:uid="{7DF69577-8C47-4FEE-9C31-AC01456D34FF}" name="Column15167" dataDxfId="1218"/>
    <tableColumn id="15192" xr3:uid="{EB2ABD74-7973-4542-8788-A84CC6021CB9}" name="Column15168" dataDxfId="1217"/>
    <tableColumn id="15193" xr3:uid="{6EB32216-27CE-4383-84EE-71F70E8BD8C6}" name="Column15169" dataDxfId="1216"/>
    <tableColumn id="15194" xr3:uid="{09FD3B66-5780-4DC3-B745-662892E3120D}" name="Column15170" dataDxfId="1215"/>
    <tableColumn id="15195" xr3:uid="{F8402DF8-9267-4800-B082-0BC6FB8055CC}" name="Column15171" dataDxfId="1214"/>
    <tableColumn id="15196" xr3:uid="{2FB3DFE9-12F9-420F-935F-17A76DB7D0B4}" name="Column15172" dataDxfId="1213"/>
    <tableColumn id="15197" xr3:uid="{E84E0E2C-4A10-4BEE-ADB4-EBFB07C8227D}" name="Column15173" dataDxfId="1212"/>
    <tableColumn id="15198" xr3:uid="{C1E143D0-E1BF-4F9E-8652-53526C19A6F3}" name="Column15174" dataDxfId="1211"/>
    <tableColumn id="15199" xr3:uid="{90C75C72-71D4-434F-AF74-236AE33F787A}" name="Column15175" dataDxfId="1210"/>
    <tableColumn id="15200" xr3:uid="{49286D39-A67C-4925-B61B-B33242C11FB4}" name="Column15176" dataDxfId="1209"/>
    <tableColumn id="15201" xr3:uid="{2FB24784-55EF-48E7-94DC-D85F64B8875E}" name="Column15177" dataDxfId="1208"/>
    <tableColumn id="15202" xr3:uid="{901FBDE2-41B3-4A67-B052-518AE9762756}" name="Column15178" dataDxfId="1207"/>
    <tableColumn id="15203" xr3:uid="{10EBF7ED-7109-4D09-92C5-4F4D2E60FA3F}" name="Column15179" dataDxfId="1206"/>
    <tableColumn id="15204" xr3:uid="{432C8FF8-57EB-44AB-B0BA-30B3A8762859}" name="Column15180" dataDxfId="1205"/>
    <tableColumn id="15205" xr3:uid="{EB552C72-63ED-4448-B765-0C2900C1F3D5}" name="Column15181" dataDxfId="1204"/>
    <tableColumn id="15206" xr3:uid="{8693EF35-DA4D-44E1-AB97-B3DE6BACDBD5}" name="Column15182" dataDxfId="1203"/>
    <tableColumn id="15207" xr3:uid="{56EAA72B-E82F-4750-9D57-3F79EB8968CD}" name="Column15183" dataDxfId="1202"/>
    <tableColumn id="15208" xr3:uid="{AAD6D5B8-DD96-4A49-9680-C0B45E7A4DB5}" name="Column15184" dataDxfId="1201"/>
    <tableColumn id="15209" xr3:uid="{6E2CC85C-22B0-4DD4-9BBA-A27B206AA308}" name="Column15185" dataDxfId="1200"/>
    <tableColumn id="15210" xr3:uid="{B8D1522E-F35D-4498-9627-9B1644962E14}" name="Column15186" dataDxfId="1199"/>
    <tableColumn id="15211" xr3:uid="{E36FC093-32A6-416C-A77B-1CD4A1890C0A}" name="Column15187" dataDxfId="1198"/>
    <tableColumn id="15212" xr3:uid="{7F81A4D4-8699-4D36-9C7B-A938B3612D6F}" name="Column15188" dataDxfId="1197"/>
    <tableColumn id="15213" xr3:uid="{044C1A0F-EE33-4B48-BB59-47132D9A8DB6}" name="Column15189" dataDxfId="1196"/>
    <tableColumn id="15214" xr3:uid="{7FC51E2B-0516-4315-92B4-03CFF28F9A37}" name="Column15190" dataDxfId="1195"/>
    <tableColumn id="15215" xr3:uid="{658E2F29-F2AE-4AEB-923D-0B3E2ED38E2A}" name="Column15191" dataDxfId="1194"/>
    <tableColumn id="15216" xr3:uid="{27020192-47AC-420B-82AE-A947EEF32469}" name="Column15192" dataDxfId="1193"/>
    <tableColumn id="15217" xr3:uid="{E61F6548-A99A-41A2-9C82-1C252612CFB9}" name="Column15193" dataDxfId="1192"/>
    <tableColumn id="15218" xr3:uid="{687CE4B4-C9F1-45F4-8F88-B6F33D83EFC1}" name="Column15194" dataDxfId="1191"/>
    <tableColumn id="15219" xr3:uid="{F350647B-56CE-4B65-94F8-CD50368D89A1}" name="Column15195" dataDxfId="1190"/>
    <tableColumn id="15220" xr3:uid="{DF2E9C76-1A6E-40A4-93EF-75549002CFC9}" name="Column15196" dataDxfId="1189"/>
    <tableColumn id="15221" xr3:uid="{23BC3E19-2C02-402A-950B-F517007B2C49}" name="Column15197" dataDxfId="1188"/>
    <tableColumn id="15222" xr3:uid="{967E30A2-CC1F-4606-809A-DEC55BD20E8D}" name="Column15198" dataDxfId="1187"/>
    <tableColumn id="15223" xr3:uid="{8355CD4F-8A81-4946-8279-56AFBB7201A5}" name="Column15199" dataDxfId="1186"/>
    <tableColumn id="15224" xr3:uid="{439E288F-D86E-4686-ACD3-A858F393850F}" name="Column15200" dataDxfId="1185"/>
    <tableColumn id="15225" xr3:uid="{4F72B99E-3439-4B71-93BE-1BB173973612}" name="Column15201" dataDxfId="1184"/>
    <tableColumn id="15226" xr3:uid="{A13A79BC-28F4-43AF-AD43-5285B95DC386}" name="Column15202" dataDxfId="1183"/>
    <tableColumn id="15227" xr3:uid="{564B772A-A330-48FE-8F1C-A5E5F5C8A5FD}" name="Column15203" dataDxfId="1182"/>
    <tableColumn id="15228" xr3:uid="{005C90D0-4284-418E-81C4-7CC09CFC533B}" name="Column15204" dataDxfId="1181"/>
    <tableColumn id="15229" xr3:uid="{A813494D-DCB0-4342-9EE0-CEEA87240E88}" name="Column15205" dataDxfId="1180"/>
    <tableColumn id="15230" xr3:uid="{F0FF0554-4ADB-4E87-A4C6-DC234B91F56E}" name="Column15206" dataDxfId="1179"/>
    <tableColumn id="15231" xr3:uid="{B8AF3FD3-1B31-48BF-A7C6-3A1B3214AE1C}" name="Column15207" dataDxfId="1178"/>
    <tableColumn id="15232" xr3:uid="{4BDEF6D5-596E-4BB3-A8E2-18900FD25C1A}" name="Column15208" dataDxfId="1177"/>
    <tableColumn id="15233" xr3:uid="{2D267DA2-8C2C-4137-AA6A-078F60AE9AEA}" name="Column15209" dataDxfId="1176"/>
    <tableColumn id="15234" xr3:uid="{4AB52C42-025F-4790-9BE2-931583BF6A7A}" name="Column15210" dataDxfId="1175"/>
    <tableColumn id="15235" xr3:uid="{61A8AE7C-9867-4FB7-BC50-063FCE30DFA4}" name="Column15211" dataDxfId="1174"/>
    <tableColumn id="15236" xr3:uid="{753FB1A0-717A-412B-A954-AC306D80D612}" name="Column15212" dataDxfId="1173"/>
    <tableColumn id="15237" xr3:uid="{40C69D75-305D-4AE7-BD52-26F27CE6312F}" name="Column15213" dataDxfId="1172"/>
    <tableColumn id="15238" xr3:uid="{9BC69533-77FE-4932-B732-588422605FBB}" name="Column15214" dataDxfId="1171"/>
    <tableColumn id="15239" xr3:uid="{094A8AFE-E5B2-4D0B-8728-6B9A132697FA}" name="Column15215" dataDxfId="1170"/>
    <tableColumn id="15240" xr3:uid="{A2815EB5-AF02-4738-B19B-F0E6BCA19C9B}" name="Column15216" dataDxfId="1169"/>
    <tableColumn id="15241" xr3:uid="{8783F59C-954F-4FC3-A2CC-1E4EAAD49F98}" name="Column15217" dataDxfId="1168"/>
    <tableColumn id="15242" xr3:uid="{27C2D181-C88B-4131-B4F5-A80286A9AAA9}" name="Column15218" dataDxfId="1167"/>
    <tableColumn id="15243" xr3:uid="{A4DAB183-8EF4-45BA-B7E8-511DA44B3B22}" name="Column15219" dataDxfId="1166"/>
    <tableColumn id="15244" xr3:uid="{5A105928-DE9C-4C25-9CAC-76521C0E8D62}" name="Column15220" dataDxfId="1165"/>
    <tableColumn id="15245" xr3:uid="{4153AA2F-9F5F-44C7-AE46-B65799352136}" name="Column15221" dataDxfId="1164"/>
    <tableColumn id="15246" xr3:uid="{AF9FE28A-6AF9-4B12-BFF5-E45F0FCD7674}" name="Column15222" dataDxfId="1163"/>
    <tableColumn id="15247" xr3:uid="{049C18F6-0AC7-4B20-B988-C1208FDCA56A}" name="Column15223" dataDxfId="1162"/>
    <tableColumn id="15248" xr3:uid="{D0F6C3F3-3362-411D-A6A8-C901EC9B1CED}" name="Column15224" dataDxfId="1161"/>
    <tableColumn id="15249" xr3:uid="{633DDDBF-F024-4DE1-B5A9-2EA84FC81DCA}" name="Column15225" dataDxfId="1160"/>
    <tableColumn id="15250" xr3:uid="{F65A0AE2-C73B-4977-83B4-4C42DF934835}" name="Column15226" dataDxfId="1159"/>
    <tableColumn id="15251" xr3:uid="{88C3F8F4-4CB3-49F7-97C8-D1CFC33ADF8A}" name="Column15227" dataDxfId="1158"/>
    <tableColumn id="15252" xr3:uid="{EBDDF093-8E0D-4B12-B71F-990F245F485D}" name="Column15228" dataDxfId="1157"/>
    <tableColumn id="15253" xr3:uid="{65024C8B-3BCA-474C-9DD3-E7E87E382375}" name="Column15229" dataDxfId="1156"/>
    <tableColumn id="15254" xr3:uid="{C56E4C27-7E7A-4851-BA64-185049A2C19F}" name="Column15230" dataDxfId="1155"/>
    <tableColumn id="15255" xr3:uid="{F106F314-56C7-459D-8830-6C67D7415A69}" name="Column15231" dataDxfId="1154"/>
    <tableColumn id="15256" xr3:uid="{D21A40FB-08FB-4825-9F0E-82E4A0A75792}" name="Column15232" dataDxfId="1153"/>
    <tableColumn id="15257" xr3:uid="{FA4542BF-E5CA-430F-94FC-D81EB96414B6}" name="Column15233" dataDxfId="1152"/>
    <tableColumn id="15258" xr3:uid="{2C48944C-AACF-4E28-AF6E-AC8007DD2CE2}" name="Column15234" dataDxfId="1151"/>
    <tableColumn id="15259" xr3:uid="{60E9CE3F-FDB7-4A8A-8D27-6DF48557778A}" name="Column15235" dataDxfId="1150"/>
    <tableColumn id="15260" xr3:uid="{EA8E2861-1806-4756-9F01-BC40D357C866}" name="Column15236" dataDxfId="1149"/>
    <tableColumn id="15261" xr3:uid="{83E7B512-5A8C-45A0-B0D1-7960ECAF3E67}" name="Column15237" dataDxfId="1148"/>
    <tableColumn id="15262" xr3:uid="{61DAF56C-040F-4FD2-9F29-2A2E14E0B10C}" name="Column15238" dataDxfId="1147"/>
    <tableColumn id="15263" xr3:uid="{3E478C87-3C93-4688-9A90-43C7610A23D7}" name="Column15239" dataDxfId="1146"/>
    <tableColumn id="15264" xr3:uid="{9BD1FEE8-A84F-4B39-BEBF-ABFEFB2CF0A2}" name="Column15240" dataDxfId="1145"/>
    <tableColumn id="15265" xr3:uid="{7C9A813C-759A-4931-BCE5-FE73BE22A782}" name="Column15241" dataDxfId="1144"/>
    <tableColumn id="15266" xr3:uid="{F0911AFA-E9A8-4C58-BE8B-70D9B41CB98C}" name="Column15242" dataDxfId="1143"/>
    <tableColumn id="15267" xr3:uid="{7DEA4F73-0732-4CDA-80CB-B97AE5B93838}" name="Column15243" dataDxfId="1142"/>
    <tableColumn id="15268" xr3:uid="{BA0FF6B6-46DF-4B56-8100-232AA0EE036D}" name="Column15244" dataDxfId="1141"/>
    <tableColumn id="15269" xr3:uid="{A617D978-8839-4669-92A4-CE7383DE14E1}" name="Column15245" dataDxfId="1140"/>
    <tableColumn id="15270" xr3:uid="{9552B1E6-41C8-46B1-A0E3-01DC7BB910B4}" name="Column15246" dataDxfId="1139"/>
    <tableColumn id="15271" xr3:uid="{2036F9A9-674B-4E92-B30B-4FA59A0832F1}" name="Column15247" dataDxfId="1138"/>
    <tableColumn id="15272" xr3:uid="{E366EB97-27AE-4B99-9422-E9B72EFA7530}" name="Column15248" dataDxfId="1137"/>
    <tableColumn id="15273" xr3:uid="{6C227E05-1097-4F56-935F-AE5C049A68F1}" name="Column15249" dataDxfId="1136"/>
    <tableColumn id="15274" xr3:uid="{AA679FA8-E248-47F0-B2A9-1C347CE1E03B}" name="Column15250" dataDxfId="1135"/>
    <tableColumn id="15275" xr3:uid="{B3E5A1DC-66B9-4EBA-BD60-6CA54D730213}" name="Column15251" dataDxfId="1134"/>
    <tableColumn id="15276" xr3:uid="{B8B67CCC-2B8D-4689-A29D-5E8AA9A18795}" name="Column15252" dataDxfId="1133"/>
    <tableColumn id="15277" xr3:uid="{82D75949-BAED-4064-A430-4AF55ED8F0B8}" name="Column15253" dataDxfId="1132"/>
    <tableColumn id="15278" xr3:uid="{5D128B36-AC47-4423-A9D5-36C5DF83AE0E}" name="Column15254" dataDxfId="1131"/>
    <tableColumn id="15279" xr3:uid="{97E669FF-97BF-4E24-94BE-72A3FE3D286B}" name="Column15255" dataDxfId="1130"/>
    <tableColumn id="15280" xr3:uid="{808C8583-692D-499F-A06C-EAD3C336D325}" name="Column15256" dataDxfId="1129"/>
    <tableColumn id="15281" xr3:uid="{D4E7A093-2E6A-42CD-9E30-93CA3B29BBC5}" name="Column15257" dataDxfId="1128"/>
    <tableColumn id="15282" xr3:uid="{C453D581-9AFA-44A8-8B16-B9C2E2D1B955}" name="Column15258" dataDxfId="1127"/>
    <tableColumn id="15283" xr3:uid="{B4297B4A-CF0A-4AAD-A3F5-FEE3C8858CA1}" name="Column15259" dataDxfId="1126"/>
    <tableColumn id="15284" xr3:uid="{9DEA38C8-3463-4769-9BCC-B21784E214F2}" name="Column15260" dataDxfId="1125"/>
    <tableColumn id="15285" xr3:uid="{A8DC917F-BD19-435B-B893-9E0C6E1EC1A0}" name="Column15261" dataDxfId="1124"/>
    <tableColumn id="15286" xr3:uid="{02757758-ED90-4A3E-A85D-D09CB33B63F8}" name="Column15262" dataDxfId="1123"/>
    <tableColumn id="15287" xr3:uid="{E1ACCD00-768A-4C88-BE0E-0E23659B3BDB}" name="Column15263" dataDxfId="1122"/>
    <tableColumn id="15288" xr3:uid="{68FA99B9-4FA7-4EAE-AAEE-65EAF8775B9E}" name="Column15264" dataDxfId="1121"/>
    <tableColumn id="15289" xr3:uid="{C9098D8F-9C12-42B9-A257-796F6D94BED1}" name="Column15265" dataDxfId="1120"/>
    <tableColumn id="15290" xr3:uid="{F5C74AE4-C09A-4202-95D8-571D9B3B24CC}" name="Column15266" dataDxfId="1119"/>
    <tableColumn id="15291" xr3:uid="{53017E5C-B0BF-45AC-B6B7-4AB483B6671E}" name="Column15267" dataDxfId="1118"/>
    <tableColumn id="15292" xr3:uid="{E0F70F00-ED3C-4693-BE81-5A26A9D2D1CF}" name="Column15268" dataDxfId="1117"/>
    <tableColumn id="15293" xr3:uid="{E53F4146-6AA4-4406-8111-BF3BAA017578}" name="Column15269" dataDxfId="1116"/>
    <tableColumn id="15294" xr3:uid="{FB8C6049-32C4-40E2-B937-CB803DD87FA8}" name="Column15270" dataDxfId="1115"/>
    <tableColumn id="15295" xr3:uid="{3595715E-C5DA-4147-B339-0855325312D5}" name="Column15271" dataDxfId="1114"/>
    <tableColumn id="15296" xr3:uid="{41E5591A-EB8A-4F8F-B520-98DBFA0446AF}" name="Column15272" dataDxfId="1113"/>
    <tableColumn id="15297" xr3:uid="{7D155C64-7755-4EAF-A6B9-C07F5BC5710E}" name="Column15273" dataDxfId="1112"/>
    <tableColumn id="15298" xr3:uid="{B48ED9BA-90CA-48BA-9848-931C28CAD060}" name="Column15274" dataDxfId="1111"/>
    <tableColumn id="15299" xr3:uid="{4941DEE2-2664-4027-A7A3-90A22E9956B7}" name="Column15275" dataDxfId="1110"/>
    <tableColumn id="15300" xr3:uid="{57366EE0-C282-4F4D-88DC-5D39ABC47A99}" name="Column15276" dataDxfId="1109"/>
    <tableColumn id="15301" xr3:uid="{E3CE80E4-7D04-4C9F-AAB1-C98389903321}" name="Column15277" dataDxfId="1108"/>
    <tableColumn id="15302" xr3:uid="{9BC7AB3C-56F5-4825-8260-9B81A7E516AF}" name="Column15278" dataDxfId="1107"/>
    <tableColumn id="15303" xr3:uid="{4C8C29B4-A541-4BCB-B9DF-076F5FC6A2DA}" name="Column15279" dataDxfId="1106"/>
    <tableColumn id="15304" xr3:uid="{403C92E7-5CFD-43A2-B203-E4509A643445}" name="Column15280" dataDxfId="1105"/>
    <tableColumn id="15305" xr3:uid="{5B7D0DE7-0977-44D4-A20E-023614B82735}" name="Column15281" dataDxfId="1104"/>
    <tableColumn id="15306" xr3:uid="{44662F82-E4BC-4320-87E3-77A7033688E3}" name="Column15282" dataDxfId="1103"/>
    <tableColumn id="15307" xr3:uid="{6600C381-0D18-4BE4-9B94-29A727AE41E9}" name="Column15283" dataDxfId="1102"/>
    <tableColumn id="15308" xr3:uid="{1B3F0C8C-75DD-44C9-A369-AE23CB775FF2}" name="Column15284" dataDxfId="1101"/>
    <tableColumn id="15309" xr3:uid="{3AA7BFDC-92C2-47CD-806D-2B5CAD1F7CD1}" name="Column15285" dataDxfId="1100"/>
    <tableColumn id="15310" xr3:uid="{E6E8DBCD-8CFD-4F9D-A24F-B476DA47ABC4}" name="Column15286" dataDxfId="1099"/>
    <tableColumn id="15311" xr3:uid="{B9D6BF62-CA79-48FB-9229-B0A946ED4837}" name="Column15287" dataDxfId="1098"/>
    <tableColumn id="15312" xr3:uid="{1DB5074A-BAE3-4717-BC95-A95B9F0FFE1A}" name="Column15288" dataDxfId="1097"/>
    <tableColumn id="15313" xr3:uid="{2C05BE57-F36A-4036-9D3E-097B885174D0}" name="Column15289" dataDxfId="1096"/>
    <tableColumn id="15314" xr3:uid="{8D707129-9B59-43C4-8234-BC4BB7DBA287}" name="Column15290" dataDxfId="1095"/>
    <tableColumn id="15315" xr3:uid="{BB6E4F9A-360D-42A0-BF46-C7C403B5B2D7}" name="Column15291" dataDxfId="1094"/>
    <tableColumn id="15316" xr3:uid="{C07F7A4C-6008-443D-8B2B-4810BE7DB47B}" name="Column15292" dataDxfId="1093"/>
    <tableColumn id="15317" xr3:uid="{3878D6D6-E9AB-402B-BDFB-498FF423C36F}" name="Column15293" dataDxfId="1092"/>
    <tableColumn id="15318" xr3:uid="{D81DDA11-5DE3-4C18-AE1B-11DAB66D2857}" name="Column15294" dataDxfId="1091"/>
    <tableColumn id="15319" xr3:uid="{558B3A15-F707-4DCE-886F-9E04A9F90CEA}" name="Column15295" dataDxfId="1090"/>
    <tableColumn id="15320" xr3:uid="{E423A38F-E601-4D4B-860F-43DA01A9B80C}" name="Column15296" dataDxfId="1089"/>
    <tableColumn id="15321" xr3:uid="{930F6842-2E27-4A54-A728-39850D6B3F8C}" name="Column15297" dataDxfId="1088"/>
    <tableColumn id="15322" xr3:uid="{0BBB5118-1322-4079-B6DE-340E3182216E}" name="Column15298" dataDxfId="1087"/>
    <tableColumn id="15323" xr3:uid="{C8570FDF-B02C-4AAD-AB7F-CB30854FA89A}" name="Column15299" dataDxfId="1086"/>
    <tableColumn id="15324" xr3:uid="{1D0BB0AE-39A9-4381-B6A3-AB4AA790B260}" name="Column15300" dataDxfId="1085"/>
    <tableColumn id="15325" xr3:uid="{450C6B96-5358-4C09-940C-0302C1B0B07F}" name="Column15301" dataDxfId="1084"/>
    <tableColumn id="15326" xr3:uid="{CDE7A38E-9545-4EC1-A70C-322F360AD7D4}" name="Column15302" dataDxfId="1083"/>
    <tableColumn id="15327" xr3:uid="{AB8D0C70-8ABD-45F2-86BE-60186474CF8D}" name="Column15303" dataDxfId="1082"/>
    <tableColumn id="15328" xr3:uid="{511D3CCD-3C0E-4CC8-B9A6-3E805FFD8C99}" name="Column15304" dataDxfId="1081"/>
    <tableColumn id="15329" xr3:uid="{86CCB6EB-57FC-4D0A-B1A3-046CA072D344}" name="Column15305" dataDxfId="1080"/>
    <tableColumn id="15330" xr3:uid="{029D49A9-9C71-45E2-B13E-B3961499BCC2}" name="Column15306" dataDxfId="1079"/>
    <tableColumn id="15331" xr3:uid="{3D43C425-325D-4FBD-970C-F7E8D4A33902}" name="Column15307" dataDxfId="1078"/>
    <tableColumn id="15332" xr3:uid="{91A2AC32-538F-4FC4-92CE-F50B2978F2FE}" name="Column15308" dataDxfId="1077"/>
    <tableColumn id="15333" xr3:uid="{A484D9FA-70CE-4A9C-A4B6-9287B7BC888B}" name="Column15309" dataDxfId="1076"/>
    <tableColumn id="15334" xr3:uid="{D5E4D957-4854-4A7D-BA49-F317B4CD4793}" name="Column15310" dataDxfId="1075"/>
    <tableColumn id="15335" xr3:uid="{A84F35C4-67D8-4003-946E-4BD79074AD8E}" name="Column15311" dataDxfId="1074"/>
    <tableColumn id="15336" xr3:uid="{D4611F8B-A89D-48AD-9987-A4157F3C8283}" name="Column15312" dataDxfId="1073"/>
    <tableColumn id="15337" xr3:uid="{6C6F4F4A-CB4A-4BF7-86CA-DE0204635B7F}" name="Column15313" dataDxfId="1072"/>
    <tableColumn id="15338" xr3:uid="{FEF0A700-FB42-40A9-B354-13C24A4AD979}" name="Column15314" dataDxfId="1071"/>
    <tableColumn id="15339" xr3:uid="{E4F88C95-DA67-40E2-8AEE-6EAA0D31DFA1}" name="Column15315" dataDxfId="1070"/>
    <tableColumn id="15340" xr3:uid="{4B4F5934-CCC9-4CA2-9878-5463BD11AEA8}" name="Column15316" dataDxfId="1069"/>
    <tableColumn id="15341" xr3:uid="{BCF0AE14-2F6E-4EBC-9A9C-F1B2DC1B664C}" name="Column15317" dataDxfId="1068"/>
    <tableColumn id="15342" xr3:uid="{3ED0DD94-E9EA-40C9-9133-2C490EE92D49}" name="Column15318" dataDxfId="1067"/>
    <tableColumn id="15343" xr3:uid="{3180C951-AF15-4110-AA4B-4D2CC1C843E5}" name="Column15319" dataDxfId="1066"/>
    <tableColumn id="15344" xr3:uid="{062F9A60-A5E5-4535-82E4-00FC84035F11}" name="Column15320" dataDxfId="1065"/>
    <tableColumn id="15345" xr3:uid="{FE3E7702-0842-406A-92F5-BAE66367D00A}" name="Column15321" dataDxfId="1064"/>
    <tableColumn id="15346" xr3:uid="{E64E85A5-99EC-4037-B22A-CEAC1EA89463}" name="Column15322" dataDxfId="1063"/>
    <tableColumn id="15347" xr3:uid="{65480548-96F7-4D92-A9E2-15A86F65F922}" name="Column15323" dataDxfId="1062"/>
    <tableColumn id="15348" xr3:uid="{A76F4B95-6043-4EED-8327-F6A656EE9097}" name="Column15324" dataDxfId="1061"/>
    <tableColumn id="15349" xr3:uid="{66E21E32-3C11-4696-83C5-82216C62BFEC}" name="Column15325" dataDxfId="1060"/>
    <tableColumn id="15350" xr3:uid="{C02753C8-2364-465E-919B-6E504BF3447A}" name="Column15326" dataDxfId="1059"/>
    <tableColumn id="15351" xr3:uid="{E8023CAB-E0EB-4ED8-A0AC-5EFFCD570684}" name="Column15327" dataDxfId="1058"/>
    <tableColumn id="15352" xr3:uid="{637C0508-ABAC-4B83-A842-229A4703B309}" name="Column15328" dataDxfId="1057"/>
    <tableColumn id="15353" xr3:uid="{811A6E22-0264-4CE4-9D50-657F276C9990}" name="Column15329" dataDxfId="1056"/>
    <tableColumn id="15354" xr3:uid="{FABD6E6B-A870-4483-AC18-94BB002EE81D}" name="Column15330" dataDxfId="1055"/>
    <tableColumn id="15355" xr3:uid="{0A5F064E-C66B-4523-B999-DC50F091D77D}" name="Column15331" dataDxfId="1054"/>
    <tableColumn id="15356" xr3:uid="{FD512778-6E26-4556-AA7C-5DF5823C1CDF}" name="Column15332" dataDxfId="1053"/>
    <tableColumn id="15357" xr3:uid="{10CEDE7F-A0CB-4FC2-ACD7-FA1FF361F2BC}" name="Column15333" dataDxfId="1052"/>
    <tableColumn id="15358" xr3:uid="{7E8D6749-B5BC-47AB-A03B-5C3B60E49E8D}" name="Column15334" dataDxfId="1051"/>
    <tableColumn id="15359" xr3:uid="{637720A6-2249-4E9C-AEC2-C73AE357A771}" name="Column15335" dataDxfId="1050"/>
    <tableColumn id="15360" xr3:uid="{7664A618-C4B4-478A-AF49-12983A5051AA}" name="Column15336" dataDxfId="1049"/>
    <tableColumn id="15361" xr3:uid="{E8B6D111-FA6C-4135-BBFB-4ACA8663E666}" name="Column15337" dataDxfId="1048"/>
    <tableColumn id="15362" xr3:uid="{C15BD471-E888-423A-8AC6-5F5A922DFFD7}" name="Column15338" dataDxfId="1047"/>
    <tableColumn id="15363" xr3:uid="{DA26D414-D26E-424B-8CCB-138C75EE20EA}" name="Column15339" dataDxfId="1046"/>
    <tableColumn id="15364" xr3:uid="{F98D58F9-3CD3-4ABE-B7DF-2E8B29C9916F}" name="Column15340" dataDxfId="1045"/>
    <tableColumn id="15365" xr3:uid="{6B53A76B-E2AB-4E8B-98AF-C7CFD8F013C1}" name="Column15341" dataDxfId="1044"/>
    <tableColumn id="15366" xr3:uid="{8EA3D6AA-2BB6-41F3-883B-CC3ABD7F3914}" name="Column15342" dataDxfId="1043"/>
    <tableColumn id="15367" xr3:uid="{4A895778-9674-4B07-8340-3D11CB0A030D}" name="Column15343" dataDxfId="1042"/>
    <tableColumn id="15368" xr3:uid="{C0F1AEBE-37F7-48BC-B13C-C2AE1D00786C}" name="Column15344" dataDxfId="1041"/>
    <tableColumn id="15369" xr3:uid="{F032A628-90FA-4768-A5F6-32A2CA6B9855}" name="Column15345" dataDxfId="1040"/>
    <tableColumn id="15370" xr3:uid="{6508E2C1-0E38-4ADE-B1EA-670F97FF7B6D}" name="Column15346" dataDxfId="1039"/>
    <tableColumn id="15371" xr3:uid="{5AE91E3C-E272-400A-AC2A-DE6635ED63C7}" name="Column15347" dataDxfId="1038"/>
    <tableColumn id="15372" xr3:uid="{98C0098A-AFDE-4152-A806-33639D5EFB58}" name="Column15348" dataDxfId="1037"/>
    <tableColumn id="15373" xr3:uid="{2A15A216-6540-4FBF-A77C-9576E072863B}" name="Column15349" dataDxfId="1036"/>
    <tableColumn id="15374" xr3:uid="{AC96300B-BE28-481F-ABF1-2633478C4F8A}" name="Column15350" dataDxfId="1035"/>
    <tableColumn id="15375" xr3:uid="{3BD47146-5059-43B3-84ED-9E7D519E538B}" name="Column15351" dataDxfId="1034"/>
    <tableColumn id="15376" xr3:uid="{503B55F7-B56D-49F6-A494-A9E505E7E178}" name="Column15352" dataDxfId="1033"/>
    <tableColumn id="15377" xr3:uid="{7D26A092-A1E5-4C3C-9232-9B490D332D1B}" name="Column15353" dataDxfId="1032"/>
    <tableColumn id="15378" xr3:uid="{623C60BD-E178-460B-9599-2204EED6C7AE}" name="Column15354" dataDxfId="1031"/>
    <tableColumn id="15379" xr3:uid="{030923FF-FE60-4BA9-A03F-90800BC2422D}" name="Column15355" dataDxfId="1030"/>
    <tableColumn id="15380" xr3:uid="{B4EE33B1-31F1-4F89-8863-EA43CB4E8780}" name="Column15356" dataDxfId="1029"/>
    <tableColumn id="15381" xr3:uid="{D5CAD4B3-B04E-4896-A398-4E442D023B32}" name="Column15357" dataDxfId="1028"/>
    <tableColumn id="15382" xr3:uid="{5A6BB9EC-34EF-41B2-952F-BD2C56F2C2D0}" name="Column15358" dataDxfId="1027"/>
    <tableColumn id="15383" xr3:uid="{5C64568E-0632-4150-B631-F617DA1467F4}" name="Column15359" dataDxfId="1026"/>
    <tableColumn id="15384" xr3:uid="{9FF74811-714E-47DD-AF22-A66EB16941BB}" name="Column15360" dataDxfId="1025"/>
    <tableColumn id="15385" xr3:uid="{A2D6DB2F-4B0E-487D-9DEB-1EC928D78B23}" name="Column15361" dataDxfId="1024"/>
    <tableColumn id="15386" xr3:uid="{3C19B1F2-298B-46AB-BA39-D99F20F4B0F9}" name="Column15362" dataDxfId="1023"/>
    <tableColumn id="15387" xr3:uid="{D79C3216-9DD1-41E7-82F3-496F45A8719B}" name="Column15363" dataDxfId="1022"/>
    <tableColumn id="15388" xr3:uid="{D079D757-C204-40B6-AAAF-FB6362A8D747}" name="Column15364" dataDxfId="1021"/>
    <tableColumn id="15389" xr3:uid="{B02E3A7B-3B52-4D22-9454-10E520BEF5BE}" name="Column15365" dataDxfId="1020"/>
    <tableColumn id="15390" xr3:uid="{DE7169B7-4E0D-4B62-8D90-096B60C934CF}" name="Column15366" dataDxfId="1019"/>
    <tableColumn id="15391" xr3:uid="{853F17C7-E6C2-47FF-8DF2-27F32472BD0F}" name="Column15367" dataDxfId="1018"/>
    <tableColumn id="15392" xr3:uid="{F6BCD513-A531-470A-8B11-CFA4686BED3F}" name="Column15368" dataDxfId="1017"/>
    <tableColumn id="15393" xr3:uid="{82B2914D-2A51-451C-98FC-553920DF9C00}" name="Column15369" dataDxfId="1016"/>
    <tableColumn id="15394" xr3:uid="{EEE8725D-CD59-4640-9D80-C83C1264F7C1}" name="Column15370" dataDxfId="1015"/>
    <tableColumn id="15395" xr3:uid="{162DA8CD-657E-402D-B8EC-7C30DC98B56E}" name="Column15371" dataDxfId="1014"/>
    <tableColumn id="15396" xr3:uid="{BEAF85FF-5C72-44EB-9241-4315FC1682C5}" name="Column15372" dataDxfId="1013"/>
    <tableColumn id="15397" xr3:uid="{A4B83748-E667-4D6A-85C2-8FE373100770}" name="Column15373" dataDxfId="1012"/>
    <tableColumn id="15398" xr3:uid="{8E297D4D-32DA-4ED8-A193-6D1EAE148A3F}" name="Column15374" dataDxfId="1011"/>
    <tableColumn id="15399" xr3:uid="{2B395462-0DC8-430A-B55B-A1085D048290}" name="Column15375" dataDxfId="1010"/>
    <tableColumn id="15400" xr3:uid="{93BC912F-D6B6-44BA-9300-08A6FE4D025D}" name="Column15376" dataDxfId="1009"/>
    <tableColumn id="15401" xr3:uid="{2EC92DC9-32A1-40F8-96D6-8D52C23B301B}" name="Column15377" dataDxfId="1008"/>
    <tableColumn id="15402" xr3:uid="{3E3A1482-E33E-465C-B082-347E6B1FA506}" name="Column15378" dataDxfId="1007"/>
    <tableColumn id="15403" xr3:uid="{3FF7FD2C-830D-4B8B-8C26-C8E54CC75181}" name="Column15379" dataDxfId="1006"/>
    <tableColumn id="15404" xr3:uid="{C005003D-53A1-4BBE-A597-A68B36E8FD46}" name="Column15380" dataDxfId="1005"/>
    <tableColumn id="15405" xr3:uid="{F1AD547F-6BC9-42BF-8B5F-B8EEBD19392D}" name="Column15381" dataDxfId="1004"/>
    <tableColumn id="15406" xr3:uid="{9F6C360E-1953-49F2-8D13-583DA2633321}" name="Column15382" dataDxfId="1003"/>
    <tableColumn id="15407" xr3:uid="{093FACB1-72A4-4420-9C84-3F5272F7B26A}" name="Column15383" dataDxfId="1002"/>
    <tableColumn id="15408" xr3:uid="{EB52E31F-0FCB-42D1-8D98-8628EB3B9474}" name="Column15384" dataDxfId="1001"/>
    <tableColumn id="15409" xr3:uid="{7513CD7C-AB49-4C0C-A1E7-0FECD8AE1E64}" name="Column15385" dataDxfId="1000"/>
    <tableColumn id="15410" xr3:uid="{D41C0144-EDAD-4F5F-A243-613213413ED6}" name="Column15386" dataDxfId="999"/>
    <tableColumn id="15411" xr3:uid="{CBA7DD1B-4BDA-4212-BD4F-C52F8F8FDE80}" name="Column15387" dataDxfId="998"/>
    <tableColumn id="15412" xr3:uid="{AD030A9F-265C-4C81-B0AF-F86F8E2D02EC}" name="Column15388" dataDxfId="997"/>
    <tableColumn id="15413" xr3:uid="{39D8E654-5205-4BE2-8F8F-7324A78E7732}" name="Column15389" dataDxfId="996"/>
    <tableColumn id="15414" xr3:uid="{ACA381F0-3F0A-4E32-A434-80E116FDA8F9}" name="Column15390" dataDxfId="995"/>
    <tableColumn id="15415" xr3:uid="{0F98831F-4684-4505-80C5-DE9414C45E7D}" name="Column15391" dataDxfId="994"/>
    <tableColumn id="15416" xr3:uid="{D7AAEA60-FC8B-4725-B3A2-710BFF09667B}" name="Column15392" dataDxfId="993"/>
    <tableColumn id="15417" xr3:uid="{ACEFB9FE-64CA-4DC1-8EF3-E4462832BBC3}" name="Column15393" dataDxfId="992"/>
    <tableColumn id="15418" xr3:uid="{C81C6E26-8845-4C2D-BE2F-453716A63661}" name="Column15394" dataDxfId="991"/>
    <tableColumn id="15419" xr3:uid="{87BF196F-216D-4E5F-B369-45BB03FE3D95}" name="Column15395" dataDxfId="990"/>
    <tableColumn id="15420" xr3:uid="{79CB9189-27D3-4EEE-BD8A-752510CD716A}" name="Column15396" dataDxfId="989"/>
    <tableColumn id="15421" xr3:uid="{1E4B2AD1-9196-45C8-ACCE-F38490732FC1}" name="Column15397" dataDxfId="988"/>
    <tableColumn id="15422" xr3:uid="{F8637CFE-8BA2-44AE-93E9-82A01F4CBC00}" name="Column15398" dataDxfId="987"/>
    <tableColumn id="15423" xr3:uid="{BFE13F06-60CE-4086-9B40-95E918A859ED}" name="Column15399" dataDxfId="986"/>
    <tableColumn id="15424" xr3:uid="{34430655-EF61-4B63-9CD1-7A991A0D84D6}" name="Column15400" dataDxfId="985"/>
    <tableColumn id="15425" xr3:uid="{CFA40FDF-ED0D-49C7-8E57-3B5FEC2FDB9B}" name="Column15401" dataDxfId="984"/>
    <tableColumn id="15426" xr3:uid="{3E20E8A7-2752-46BA-8214-10E0FDE6177A}" name="Column15402" dataDxfId="983"/>
    <tableColumn id="15427" xr3:uid="{2C48767E-3362-4286-9683-924CABAFF0BD}" name="Column15403" dataDxfId="982"/>
    <tableColumn id="15428" xr3:uid="{0CD92B9F-308B-4F7D-A079-78D6ADEA5C69}" name="Column15404" dataDxfId="981"/>
    <tableColumn id="15429" xr3:uid="{73148462-ECD7-4280-B202-9ABA078BFD9D}" name="Column15405" dataDxfId="980"/>
    <tableColumn id="15430" xr3:uid="{50C88A29-5727-497E-9115-C6AB98096BEA}" name="Column15406" dataDxfId="979"/>
    <tableColumn id="15431" xr3:uid="{A5B839A6-F554-4202-BB5A-077383085F35}" name="Column15407" dataDxfId="978"/>
    <tableColumn id="15432" xr3:uid="{F09D4CB7-AC7C-4B77-999B-7901E013A0DE}" name="Column15408" dataDxfId="977"/>
    <tableColumn id="15433" xr3:uid="{B5C4C895-E520-44E4-99CC-1CA566B43B0A}" name="Column15409" dataDxfId="976"/>
    <tableColumn id="15434" xr3:uid="{449C9576-4015-40CE-8E67-8F66258CADB5}" name="Column15410" dataDxfId="975"/>
    <tableColumn id="15435" xr3:uid="{5965BF76-BA6F-4472-896F-C9EC63FE5BE9}" name="Column15411" dataDxfId="974"/>
    <tableColumn id="15436" xr3:uid="{008A8B3E-0791-458E-A401-C0B5484C02E3}" name="Column15412" dataDxfId="973"/>
    <tableColumn id="15437" xr3:uid="{F058C2B0-E32B-4C82-A05C-01CFE004980B}" name="Column15413" dataDxfId="972"/>
    <tableColumn id="15438" xr3:uid="{47F594A3-EE42-46ED-B914-8A369DD17162}" name="Column15414" dataDxfId="971"/>
    <tableColumn id="15439" xr3:uid="{46313739-A1A4-442B-9580-D7E7DEEBEC0B}" name="Column15415" dataDxfId="970"/>
    <tableColumn id="15440" xr3:uid="{101A29EF-4FC0-4E71-B4C4-C05DEA4E6E68}" name="Column15416" dataDxfId="969"/>
    <tableColumn id="15441" xr3:uid="{3631ECBB-AFF8-475B-B4ED-62EF34AFB0FF}" name="Column15417" dataDxfId="968"/>
    <tableColumn id="15442" xr3:uid="{CD9F3361-2FB2-4715-976B-30E45877F3A3}" name="Column15418" dataDxfId="967"/>
    <tableColumn id="15443" xr3:uid="{9DE97C63-FEA7-4073-A747-352D3AE1A688}" name="Column15419" dataDxfId="966"/>
    <tableColumn id="15444" xr3:uid="{AEFF9C7B-F2D1-49E8-B57E-6BD97D0E4CAC}" name="Column15420" dataDxfId="965"/>
    <tableColumn id="15445" xr3:uid="{175AEEA6-DD72-4634-AC33-09717AB2B445}" name="Column15421" dataDxfId="964"/>
    <tableColumn id="15446" xr3:uid="{45347C6B-A436-4872-AB6E-355B1E2178A6}" name="Column15422" dataDxfId="963"/>
    <tableColumn id="15447" xr3:uid="{1905B412-70BB-4B04-A0AA-750F3A1C7BC2}" name="Column15423" dataDxfId="962"/>
    <tableColumn id="15448" xr3:uid="{40F4DC07-E454-458E-B0ED-9C2E97B986CC}" name="Column15424" dataDxfId="961"/>
    <tableColumn id="15449" xr3:uid="{4E73A0F7-32B9-462A-8CD5-E2E4BF520C88}" name="Column15425" dataDxfId="960"/>
    <tableColumn id="15450" xr3:uid="{8DAE5FD9-886D-4C15-892C-0E79F5C4696F}" name="Column15426" dataDxfId="959"/>
    <tableColumn id="15451" xr3:uid="{237E5103-0791-427B-9F4B-B08C1E2F7685}" name="Column15427" dataDxfId="958"/>
    <tableColumn id="15452" xr3:uid="{0CFB4727-A790-476D-BC20-D4629F7501FA}" name="Column15428" dataDxfId="957"/>
    <tableColumn id="15453" xr3:uid="{74503581-2417-4437-B404-16F278A8D037}" name="Column15429" dataDxfId="956"/>
    <tableColumn id="15454" xr3:uid="{8C518454-F4CE-41DE-A895-420BD0748112}" name="Column15430" dataDxfId="955"/>
    <tableColumn id="15455" xr3:uid="{292F72A8-5154-4EB3-B1EB-E0E4FE1A8581}" name="Column15431" dataDxfId="954"/>
    <tableColumn id="15456" xr3:uid="{BE63F864-6B76-4E25-BCA0-B8B13A916152}" name="Column15432" dataDxfId="953"/>
    <tableColumn id="15457" xr3:uid="{928BFEDD-410E-47F5-A093-BCC78B85FC7D}" name="Column15433" dataDxfId="952"/>
    <tableColumn id="15458" xr3:uid="{C7D1EF0C-7767-4799-A5D8-E5119FDE8449}" name="Column15434" dataDxfId="951"/>
    <tableColumn id="15459" xr3:uid="{5FDC5904-6BA5-46B8-897A-26363F49561B}" name="Column15435" dataDxfId="950"/>
    <tableColumn id="15460" xr3:uid="{5031377E-1FFB-4F89-8D7C-B30F24C161A5}" name="Column15436" dataDxfId="949"/>
    <tableColumn id="15461" xr3:uid="{177FC33E-A691-4696-8E39-2DBF829BBEB0}" name="Column15437" dataDxfId="948"/>
    <tableColumn id="15462" xr3:uid="{681C5273-6962-4EAA-91C9-3E11CC7EECAD}" name="Column15438" dataDxfId="947"/>
    <tableColumn id="15463" xr3:uid="{86AFFE98-327F-4ED4-BBA1-2F1A9B3180D1}" name="Column15439" dataDxfId="946"/>
    <tableColumn id="15464" xr3:uid="{BD59BF02-7555-41AD-B5D6-61F819616947}" name="Column15440" dataDxfId="945"/>
    <tableColumn id="15465" xr3:uid="{BEC84BC5-9522-4BB1-815D-9DDB3600393B}" name="Column15441" dataDxfId="944"/>
    <tableColumn id="15466" xr3:uid="{F8DE9315-DEA7-42B2-9C38-8B66A289C29A}" name="Column15442" dataDxfId="943"/>
    <tableColumn id="15467" xr3:uid="{254264FE-5B13-4140-BFE1-6DEE91FEF81B}" name="Column15443" dataDxfId="942"/>
    <tableColumn id="15468" xr3:uid="{022242DF-FAFE-4C00-BA18-E6D0848E3DB6}" name="Column15444" dataDxfId="941"/>
    <tableColumn id="15469" xr3:uid="{D0C6EBDA-3943-4C78-BA58-E579EC6C2B80}" name="Column15445" dataDxfId="940"/>
    <tableColumn id="15470" xr3:uid="{D238AB39-DF80-4321-990F-93D49126A441}" name="Column15446" dataDxfId="939"/>
    <tableColumn id="15471" xr3:uid="{9B666D17-E6A0-4E91-AC99-924DE8381DFF}" name="Column15447" dataDxfId="938"/>
    <tableColumn id="15472" xr3:uid="{74E4E352-952E-4A18-A0EB-7CC93CAEA3AA}" name="Column15448" dataDxfId="937"/>
    <tableColumn id="15473" xr3:uid="{DA34AE26-0C05-48C2-9916-38B2C34E44D7}" name="Column15449" dataDxfId="936"/>
    <tableColumn id="15474" xr3:uid="{5224201D-8042-4323-B632-1D9967075D2D}" name="Column15450" dataDxfId="935"/>
    <tableColumn id="15475" xr3:uid="{361AA115-A166-4209-B503-8D204B3AF819}" name="Column15451" dataDxfId="934"/>
    <tableColumn id="15476" xr3:uid="{5AB60A47-8A93-4F90-99BD-F2BE890BC3E3}" name="Column15452" dataDxfId="933"/>
    <tableColumn id="15477" xr3:uid="{2BA91329-E236-4378-981C-5A813AED45C4}" name="Column15453" dataDxfId="932"/>
    <tableColumn id="15478" xr3:uid="{032D424E-DF1E-4CB1-8A0A-4AA210D41DD8}" name="Column15454" dataDxfId="931"/>
    <tableColumn id="15479" xr3:uid="{DD39F898-5637-445C-BCB3-ED4B0138840A}" name="Column15455" dataDxfId="930"/>
    <tableColumn id="15480" xr3:uid="{7ED6BCB7-6F84-4C74-AD8D-882B4B318548}" name="Column15456" dataDxfId="929"/>
    <tableColumn id="15481" xr3:uid="{34B831DD-6172-4A16-BCC3-CF8740CE0F9E}" name="Column15457" dataDxfId="928"/>
    <tableColumn id="15482" xr3:uid="{EDFE1BC2-E9D9-4225-88BC-AA10361F85AE}" name="Column15458" dataDxfId="927"/>
    <tableColumn id="15483" xr3:uid="{4FA183A2-044C-4A9C-BCEF-68D29879E0B3}" name="Column15459" dataDxfId="926"/>
    <tableColumn id="15484" xr3:uid="{E34B1BA8-1A3C-4DC0-9509-061308726DF1}" name="Column15460" dataDxfId="925"/>
    <tableColumn id="15485" xr3:uid="{D46B6516-5F65-4574-8393-EB69F16790FA}" name="Column15461" dataDxfId="924"/>
    <tableColumn id="15486" xr3:uid="{08B7D457-8471-449E-BE03-795FE9E8C875}" name="Column15462" dataDxfId="923"/>
    <tableColumn id="15487" xr3:uid="{0B79652D-309A-4BA2-848A-64B6DFF6E061}" name="Column15463" dataDxfId="922"/>
    <tableColumn id="15488" xr3:uid="{829AD786-584A-430F-A010-2FC107B09B89}" name="Column15464" dataDxfId="921"/>
    <tableColumn id="15489" xr3:uid="{17948F92-B18F-4549-B236-65D5DC46441D}" name="Column15465" dataDxfId="920"/>
    <tableColumn id="15490" xr3:uid="{B5CC644B-8A4F-479F-A40A-80ADCB19B863}" name="Column15466" dataDxfId="919"/>
    <tableColumn id="15491" xr3:uid="{F68A2AF8-C47C-4B2E-B760-EE2F7E1279AD}" name="Column15467" dataDxfId="918"/>
    <tableColumn id="15492" xr3:uid="{26025852-EAAE-45AB-82A3-6F5BBA79D23F}" name="Column15468" dataDxfId="917"/>
    <tableColumn id="15493" xr3:uid="{FCCF324E-49E3-49A6-A0F7-BC4784534700}" name="Column15469" dataDxfId="916"/>
    <tableColumn id="15494" xr3:uid="{572E1AC7-B4DF-4873-8592-37B27BD0C98A}" name="Column15470" dataDxfId="915"/>
    <tableColumn id="15495" xr3:uid="{DD4E6214-0248-4C85-BF1A-27D1C2AEB7C9}" name="Column15471" dataDxfId="914"/>
    <tableColumn id="15496" xr3:uid="{62BC875D-50C6-4E48-A272-230177BD0560}" name="Column15472" dataDxfId="913"/>
    <tableColumn id="15497" xr3:uid="{9DA060D1-A2DB-40DA-9827-B149747917CE}" name="Column15473" dataDxfId="912"/>
    <tableColumn id="15498" xr3:uid="{62F936AC-566F-4A1A-A85C-3A58C5D7399E}" name="Column15474" dataDxfId="911"/>
    <tableColumn id="15499" xr3:uid="{4C8600E0-5B9F-4751-8D05-90EEC9E867D5}" name="Column15475" dataDxfId="910"/>
    <tableColumn id="15500" xr3:uid="{552AD723-A8EC-4309-B200-712D83F0DE67}" name="Column15476" dataDxfId="909"/>
    <tableColumn id="15501" xr3:uid="{819B2378-7C10-4FD7-B3BF-0F2E5F7AE2CE}" name="Column15477" dataDxfId="908"/>
    <tableColumn id="15502" xr3:uid="{14501F03-30D1-4810-8ED0-FF9C44685C46}" name="Column15478" dataDxfId="907"/>
    <tableColumn id="15503" xr3:uid="{FC91E886-DCB3-4E5D-85D4-C1ADAC674B4D}" name="Column15479" dataDxfId="906"/>
    <tableColumn id="15504" xr3:uid="{12B16F22-81A8-4343-A249-2AA48081DC3C}" name="Column15480" dataDxfId="905"/>
    <tableColumn id="15505" xr3:uid="{F9B17026-26AD-4975-A16D-E076AC47F7B1}" name="Column15481" dataDxfId="904"/>
    <tableColumn id="15506" xr3:uid="{D7864DF2-38CD-48C3-B019-C7111DC7299D}" name="Column15482" dataDxfId="903"/>
    <tableColumn id="15507" xr3:uid="{E42B6A47-C128-4A9B-ABC5-2ADBD58A5791}" name="Column15483" dataDxfId="902"/>
    <tableColumn id="15508" xr3:uid="{944B8034-B369-48E9-80C0-A48B4610813A}" name="Column15484" dataDxfId="901"/>
    <tableColumn id="15509" xr3:uid="{D96AB2E6-51BB-4786-80BC-6B55AD707980}" name="Column15485" dataDxfId="900"/>
    <tableColumn id="15510" xr3:uid="{2E686402-8820-471C-9E2A-1EDE66D1707B}" name="Column15486" dataDxfId="899"/>
    <tableColumn id="15511" xr3:uid="{07079BE1-BA62-4A8C-A54D-9AD167B0A96C}" name="Column15487" dataDxfId="898"/>
    <tableColumn id="15512" xr3:uid="{BF030CB2-FDDD-410C-A975-3ADB0441AE3B}" name="Column15488" dataDxfId="897"/>
    <tableColumn id="15513" xr3:uid="{D744680A-1E91-466F-A532-1F456223B146}" name="Column15489" dataDxfId="896"/>
    <tableColumn id="15514" xr3:uid="{BF8EE299-1F0B-45A5-B9B4-DB05C50EC025}" name="Column15490" dataDxfId="895"/>
    <tableColumn id="15515" xr3:uid="{D99860AD-C97E-43C2-96A5-296BFAD63825}" name="Column15491" dataDxfId="894"/>
    <tableColumn id="15516" xr3:uid="{153C00F3-16B1-4AFE-B214-7D5580992BC3}" name="Column15492" dataDxfId="893"/>
    <tableColumn id="15517" xr3:uid="{1CCBEA46-0326-42C0-B502-E9668EE85E22}" name="Column15493" dataDxfId="892"/>
    <tableColumn id="15518" xr3:uid="{5EE1B894-5723-4327-BE26-157CDA3243B8}" name="Column15494" dataDxfId="891"/>
    <tableColumn id="15519" xr3:uid="{8F49F825-0622-40CB-84E9-7F497FC374FF}" name="Column15495" dataDxfId="890"/>
    <tableColumn id="15520" xr3:uid="{C6FD07E8-0DFC-4F15-AA18-4AE329F49743}" name="Column15496" dataDxfId="889"/>
    <tableColumn id="15521" xr3:uid="{D5607084-E5D6-4D53-A026-ECCE936430D8}" name="Column15497" dataDxfId="888"/>
    <tableColumn id="15522" xr3:uid="{891986AE-AD62-4F4E-B298-33E093995EDD}" name="Column15498" dataDxfId="887"/>
    <tableColumn id="15523" xr3:uid="{605AD3A1-0736-4FFC-9C07-0EDCBC0C8215}" name="Column15499" dataDxfId="886"/>
    <tableColumn id="15524" xr3:uid="{FE3C24D2-8A38-4D7D-8670-584482BCFFB3}" name="Column15500" dataDxfId="885"/>
    <tableColumn id="15525" xr3:uid="{6AD54B34-BC1F-485B-8569-B09AADB2BE36}" name="Column15501" dataDxfId="884"/>
    <tableColumn id="15526" xr3:uid="{4D1A1887-F1E8-462A-A06C-7AAAA8C4C911}" name="Column15502" dataDxfId="883"/>
    <tableColumn id="15527" xr3:uid="{36FA45A5-A318-4B0A-A7F3-C8E653DA1E3C}" name="Column15503" dataDxfId="882"/>
    <tableColumn id="15528" xr3:uid="{5A7C90F5-ECCE-48C9-AFA0-6292E72263F8}" name="Column15504" dataDxfId="881"/>
    <tableColumn id="15529" xr3:uid="{D349ABA8-5C6D-4D5F-BAC4-3677C05DBE9B}" name="Column15505" dataDxfId="880"/>
    <tableColumn id="15530" xr3:uid="{21EB5AD6-6D68-42EF-8530-9CBBB60B1352}" name="Column15506" dataDxfId="879"/>
    <tableColumn id="15531" xr3:uid="{CE61DC82-1074-42F5-B37B-695DFBA9E117}" name="Column15507" dataDxfId="878"/>
    <tableColumn id="15532" xr3:uid="{C4665BEF-B15D-4032-97A3-811E0B261AB3}" name="Column15508" dataDxfId="877"/>
    <tableColumn id="15533" xr3:uid="{133EBE9D-A1B2-4D4E-92F0-89231E61815A}" name="Column15509" dataDxfId="876"/>
    <tableColumn id="15534" xr3:uid="{998BAD4F-2F79-49D9-9AB3-163BDE74A10B}" name="Column15510" dataDxfId="875"/>
    <tableColumn id="15535" xr3:uid="{5432971F-8B8A-48A6-AF42-57EBD6B9F400}" name="Column15511" dataDxfId="874"/>
    <tableColumn id="15536" xr3:uid="{EAD0C5EF-5BB7-45B9-A612-2AB6A8923246}" name="Column15512" dataDxfId="873"/>
    <tableColumn id="15537" xr3:uid="{6DF9CEED-0A46-4AA2-A15B-91C07B40C991}" name="Column15513" dataDxfId="872"/>
    <tableColumn id="15538" xr3:uid="{4517CD86-5F08-4A9B-BE16-B9108DBB4E00}" name="Column15514" dataDxfId="871"/>
    <tableColumn id="15539" xr3:uid="{D477AF4D-66CF-4A21-A5DA-6E5C29A5676B}" name="Column15515" dataDxfId="870"/>
    <tableColumn id="15540" xr3:uid="{65E9DFFC-DCB9-4A6F-9BD3-B4627B913B36}" name="Column15516" dataDxfId="869"/>
    <tableColumn id="15541" xr3:uid="{392E6290-A072-49C8-9867-B487D0AAF2CC}" name="Column15517" dataDxfId="868"/>
    <tableColumn id="15542" xr3:uid="{39203D94-FDA8-43FC-8CE2-C49ED2CB3A35}" name="Column15518" dataDxfId="867"/>
    <tableColumn id="15543" xr3:uid="{20CED994-0DAC-4189-B807-912F9743DE87}" name="Column15519" dataDxfId="866"/>
    <tableColumn id="15544" xr3:uid="{AD9C791C-6DFD-41B0-B94C-B662D71ADBF5}" name="Column15520" dataDxfId="865"/>
    <tableColumn id="15545" xr3:uid="{62AB8485-4BBB-4843-8259-BE037F1183A4}" name="Column15521" dataDxfId="864"/>
    <tableColumn id="15546" xr3:uid="{50CAFAC8-DF89-4041-9293-B58DF3862683}" name="Column15522" dataDxfId="863"/>
    <tableColumn id="15547" xr3:uid="{5B4A1705-F2AE-464A-8C34-39713A261D47}" name="Column15523" dataDxfId="862"/>
    <tableColumn id="15548" xr3:uid="{9A3F7FFC-ADB1-40C6-9B47-6E277A1ADC90}" name="Column15524" dataDxfId="861"/>
    <tableColumn id="15549" xr3:uid="{52815F61-8B6F-415E-BE96-FE58CED1C29D}" name="Column15525" dataDxfId="860"/>
    <tableColumn id="15550" xr3:uid="{D4389F8B-C459-4410-A965-21411FFC8A28}" name="Column15526" dataDxfId="859"/>
    <tableColumn id="15551" xr3:uid="{83589A5E-C4AB-4356-A68B-E57BC2C22F7E}" name="Column15527" dataDxfId="858"/>
    <tableColumn id="15552" xr3:uid="{DE1849DF-4926-4ADD-801D-FF73B431F388}" name="Column15528" dataDxfId="857"/>
    <tableColumn id="15553" xr3:uid="{7C579B43-4182-4D39-9D1A-43662E139655}" name="Column15529" dataDxfId="856"/>
    <tableColumn id="15554" xr3:uid="{85AAB7AE-DE61-4212-891A-48A3236B63A3}" name="Column15530" dataDxfId="855"/>
    <tableColumn id="15555" xr3:uid="{A30AB0B1-E0DA-44B6-B895-FC37A8711C4B}" name="Column15531" dataDxfId="854"/>
    <tableColumn id="15556" xr3:uid="{0EC3A9F4-C9E1-46C3-AF22-1CDAF2758A28}" name="Column15532" dataDxfId="853"/>
    <tableColumn id="15557" xr3:uid="{50CE60D8-2CF4-4B29-A554-1EA9ACE3F4D0}" name="Column15533" dataDxfId="852"/>
    <tableColumn id="15558" xr3:uid="{8DA77099-3705-41FC-814C-2099B54C60F4}" name="Column15534" dataDxfId="851"/>
    <tableColumn id="15559" xr3:uid="{D608AE79-65BF-4B25-8592-97EBD323DF7E}" name="Column15535" dataDxfId="850"/>
    <tableColumn id="15560" xr3:uid="{9E82A1A4-3A2D-4966-AE03-C338B7F4060B}" name="Column15536" dataDxfId="849"/>
    <tableColumn id="15561" xr3:uid="{03777EA8-17A7-45EF-A294-A9F59ACF6AAA}" name="Column15537" dataDxfId="848"/>
    <tableColumn id="15562" xr3:uid="{9B3C7C27-59AE-4B91-B2F7-A610C3D9DAB9}" name="Column15538" dataDxfId="847"/>
    <tableColumn id="15563" xr3:uid="{2312037C-53C4-4D67-88C6-9350775E7536}" name="Column15539" dataDxfId="846"/>
    <tableColumn id="15564" xr3:uid="{621A9B32-40AF-4009-B7D8-5C41B45E61C0}" name="Column15540" dataDxfId="845"/>
    <tableColumn id="15565" xr3:uid="{B150AF24-5709-4D79-95E9-D5DD384DB107}" name="Column15541" dataDxfId="844"/>
    <tableColumn id="15566" xr3:uid="{AF1A2138-6FBE-4C3F-BF90-1E72BADB1D1C}" name="Column15542" dataDxfId="843"/>
    <tableColumn id="15567" xr3:uid="{25AA087F-A9B2-4179-A6DB-DD045E8155B0}" name="Column15543" dataDxfId="842"/>
    <tableColumn id="15568" xr3:uid="{EA462C3E-F690-4BBC-916A-59170F51816D}" name="Column15544" dataDxfId="841"/>
    <tableColumn id="15569" xr3:uid="{2C2EB251-EAE1-4420-8341-53403EDA9F51}" name="Column15545" dataDxfId="840"/>
    <tableColumn id="15570" xr3:uid="{E4180D88-014C-4B07-9173-5327CAB1DB78}" name="Column15546" dataDxfId="839"/>
    <tableColumn id="15571" xr3:uid="{5FA2FA74-584E-4D49-B8A9-448C68C71BB5}" name="Column15547" dataDxfId="838"/>
    <tableColumn id="15572" xr3:uid="{4ADE300C-FFA6-45ED-8130-A6D7DAB6C0EE}" name="Column15548" dataDxfId="837"/>
    <tableColumn id="15573" xr3:uid="{F3B46C10-F4D1-4C58-B496-6196AE593FAD}" name="Column15549" dataDxfId="836"/>
    <tableColumn id="15574" xr3:uid="{820E5664-33A0-4195-B7BC-9319595C16DF}" name="Column15550" dataDxfId="835"/>
    <tableColumn id="15575" xr3:uid="{BB39FCEB-DA5C-4BBB-BA4B-039954B484C6}" name="Column15551" dataDxfId="834"/>
    <tableColumn id="15576" xr3:uid="{6D7FA1D8-0F7A-499B-B81A-43AFF76B1818}" name="Column15552" dataDxfId="833"/>
    <tableColumn id="15577" xr3:uid="{BAB038C9-F1CE-4D9F-AB9C-FDA3A057025F}" name="Column15553" dataDxfId="832"/>
    <tableColumn id="15578" xr3:uid="{C2C3F343-BE84-4C83-B9BF-9F214D9BABF4}" name="Column15554" dataDxfId="831"/>
    <tableColumn id="15579" xr3:uid="{8FBC18C2-669F-4DF0-B9D2-7521060710F9}" name="Column15555" dataDxfId="830"/>
    <tableColumn id="15580" xr3:uid="{79B666ED-C2D4-46B0-80D4-73ED91F80ACA}" name="Column15556" dataDxfId="829"/>
    <tableColumn id="15581" xr3:uid="{5DCFF14D-6A0E-4F64-8BD8-C5A788A482E4}" name="Column15557" dataDxfId="828"/>
    <tableColumn id="15582" xr3:uid="{607C2E5E-D1BF-4AFD-8E0D-1373DC4BAC9A}" name="Column15558" dataDxfId="827"/>
    <tableColumn id="15583" xr3:uid="{A1072915-94C2-4B91-8396-3E206076893C}" name="Column15559" dataDxfId="826"/>
    <tableColumn id="15584" xr3:uid="{1448E976-8371-4184-8BAB-457E0190F7A2}" name="Column15560" dataDxfId="825"/>
    <tableColumn id="15585" xr3:uid="{A5886618-8485-4C4B-A97F-F7E96024E8EE}" name="Column15561" dataDxfId="824"/>
    <tableColumn id="15586" xr3:uid="{B2D16C04-C0D8-4367-8EAF-FBC957E072D7}" name="Column15562" dataDxfId="823"/>
    <tableColumn id="15587" xr3:uid="{120FEA9E-8826-4AEE-A358-635D6DE420F4}" name="Column15563" dataDxfId="822"/>
    <tableColumn id="15588" xr3:uid="{D26610F3-A47F-4FF1-9BBB-721C474BC1FA}" name="Column15564" dataDxfId="821"/>
    <tableColumn id="15589" xr3:uid="{7DA850E1-222B-4135-AB57-66BFAEE729FA}" name="Column15565" dataDxfId="820"/>
    <tableColumn id="15590" xr3:uid="{2ACCABD0-278A-4526-838E-7E87D719D1C9}" name="Column15566" dataDxfId="819"/>
    <tableColumn id="15591" xr3:uid="{73E4E325-A473-40D8-AA4D-EBF777D139D4}" name="Column15567" dataDxfId="818"/>
    <tableColumn id="15592" xr3:uid="{F1F2787C-08DF-4F75-90B1-7534B0864BB4}" name="Column15568" dataDxfId="817"/>
    <tableColumn id="15593" xr3:uid="{2443EECF-2985-4DA6-8E37-F7EC99A8F33D}" name="Column15569" dataDxfId="816"/>
    <tableColumn id="15594" xr3:uid="{10E7DF67-F13D-4728-923E-CCB2B0481520}" name="Column15570" dataDxfId="815"/>
    <tableColumn id="15595" xr3:uid="{7CEAD49F-1948-4C13-85BD-3EB10776FDB9}" name="Column15571" dataDxfId="814"/>
    <tableColumn id="15596" xr3:uid="{A7D76590-2693-45C3-B631-0A86BED0411D}" name="Column15572" dataDxfId="813"/>
    <tableColumn id="15597" xr3:uid="{DF67AB9C-9AE6-4784-BAA8-926B4EC9C11A}" name="Column15573" dataDxfId="812"/>
    <tableColumn id="15598" xr3:uid="{59E7BF96-A44F-4E88-A517-72EE9CCC7BAC}" name="Column15574" dataDxfId="811"/>
    <tableColumn id="15599" xr3:uid="{FFDC2F56-E77A-4764-8EAD-FFD8162E9F85}" name="Column15575" dataDxfId="810"/>
    <tableColumn id="15600" xr3:uid="{66E75291-CDF9-48A1-8F9E-640DF99D19D3}" name="Column15576" dataDxfId="809"/>
    <tableColumn id="15601" xr3:uid="{A6A894F3-A37C-4E8C-941D-FB54A9E5F9ED}" name="Column15577" dataDxfId="808"/>
    <tableColumn id="15602" xr3:uid="{76BA9E41-19B2-4BF5-9F50-DDE7BEF48505}" name="Column15578" dataDxfId="807"/>
    <tableColumn id="15603" xr3:uid="{2EE019B7-13B9-4CA4-AF0F-6A6B91A3DF0B}" name="Column15579" dataDxfId="806"/>
    <tableColumn id="15604" xr3:uid="{4A905F22-0B2E-4727-B60A-566682B9B26E}" name="Column15580" dataDxfId="805"/>
    <tableColumn id="15605" xr3:uid="{E112DF87-94D2-44F1-8A67-23AEA40F3978}" name="Column15581" dataDxfId="804"/>
    <tableColumn id="15606" xr3:uid="{1DCDCABF-CC9F-4235-9D2E-EF41B63AA43F}" name="Column15582" dataDxfId="803"/>
    <tableColumn id="15607" xr3:uid="{400C804D-D6D2-4F3F-B1E9-857C0DE8DDF2}" name="Column15583" dataDxfId="802"/>
    <tableColumn id="15608" xr3:uid="{384E2D73-F228-4891-B6DA-5E8BB161E1EC}" name="Column15584" dataDxfId="801"/>
    <tableColumn id="15609" xr3:uid="{C5F886CB-5914-41E5-80F6-37F6563A00FE}" name="Column15585" dataDxfId="800"/>
    <tableColumn id="15610" xr3:uid="{278A176B-9E3D-471E-88C3-DA56AC45CEAD}" name="Column15586" dataDxfId="799"/>
    <tableColumn id="15611" xr3:uid="{0662A26F-16DA-454B-AFF0-131EBA5841BF}" name="Column15587" dataDxfId="798"/>
    <tableColumn id="15612" xr3:uid="{D6D6048A-8C7C-4DB9-8AA2-8331532FFE8B}" name="Column15588" dataDxfId="797"/>
    <tableColumn id="15613" xr3:uid="{FB50BEB7-D649-44EB-B9B9-87B143C451B0}" name="Column15589" dataDxfId="796"/>
    <tableColumn id="15614" xr3:uid="{B058175D-7318-4AE4-AE8A-C60BD373B951}" name="Column15590" dataDxfId="795"/>
    <tableColumn id="15615" xr3:uid="{D36DD5FE-2491-48ED-B227-443B995DB8C6}" name="Column15591" dataDxfId="794"/>
    <tableColumn id="15616" xr3:uid="{968CD952-D9B7-4190-81EE-22DA47C0FC2B}" name="Column15592" dataDxfId="793"/>
    <tableColumn id="15617" xr3:uid="{AB2E1C18-2AF0-48C8-A602-4265FDD8E5D2}" name="Column15593" dataDxfId="792"/>
    <tableColumn id="15618" xr3:uid="{6EF0B4A1-4DB6-44D8-A6E6-66E2CF9C6DF0}" name="Column15594" dataDxfId="791"/>
    <tableColumn id="15619" xr3:uid="{4E50653C-E4D4-4DEC-83BD-A8E0D8AE1E18}" name="Column15595" dataDxfId="790"/>
    <tableColumn id="15620" xr3:uid="{4A534F60-5C01-4681-BDC4-939883F80F57}" name="Column15596" dataDxfId="789"/>
    <tableColumn id="15621" xr3:uid="{DB67A2D4-ECB6-47DD-BADB-EE7C0369584F}" name="Column15597" dataDxfId="788"/>
    <tableColumn id="15622" xr3:uid="{C30E1687-8B7E-4DA3-82A3-F4EE5224CA3A}" name="Column15598" dataDxfId="787"/>
    <tableColumn id="15623" xr3:uid="{BA74B7F3-BD92-49AD-B4D3-E4EA7617A6A9}" name="Column15599" dataDxfId="786"/>
    <tableColumn id="15624" xr3:uid="{A03D8BB1-C6EF-42CA-8E35-1AC8427B3F76}" name="Column15600" dataDxfId="785"/>
    <tableColumn id="15625" xr3:uid="{C7F536E6-FB08-4CCD-89ED-F9CEE4F23052}" name="Column15601" dataDxfId="784"/>
    <tableColumn id="15626" xr3:uid="{58023887-B77D-4381-9DA0-884B9F4BA194}" name="Column15602" dataDxfId="783"/>
    <tableColumn id="15627" xr3:uid="{B91DBD4F-E0AB-4C35-ACCD-E1E8B68B3882}" name="Column15603" dataDxfId="782"/>
    <tableColumn id="15628" xr3:uid="{F0E49998-C933-4BAE-9921-3B0848ADA51D}" name="Column15604" dataDxfId="781"/>
    <tableColumn id="15629" xr3:uid="{66CDCCB0-E49A-40F3-BEED-06D969FA14F0}" name="Column15605" dataDxfId="780"/>
    <tableColumn id="15630" xr3:uid="{92ED4091-D870-4891-9538-E2E838635EC4}" name="Column15606" dataDxfId="779"/>
    <tableColumn id="15631" xr3:uid="{412BB6FA-0678-45FB-AEE6-14B3FD7C510D}" name="Column15607" dataDxfId="778"/>
    <tableColumn id="15632" xr3:uid="{765C5E3F-A7E3-470C-8DD1-8BF633923E65}" name="Column15608" dataDxfId="777"/>
    <tableColumn id="15633" xr3:uid="{B0F1F308-896F-4448-8D43-65A63679E72B}" name="Column15609" dataDxfId="776"/>
    <tableColumn id="15634" xr3:uid="{EB07D94B-1387-494A-9382-B92756233E5C}" name="Column15610" dataDxfId="775"/>
    <tableColumn id="15635" xr3:uid="{8D7A31FA-B4E2-47A0-895D-74BBF0C4D10A}" name="Column15611" dataDxfId="774"/>
    <tableColumn id="15636" xr3:uid="{DFA0BF04-381B-423F-9C6D-56B67110277D}" name="Column15612" dataDxfId="773"/>
    <tableColumn id="15637" xr3:uid="{13EF8E4E-2D48-46E6-A7A2-7A94A51FFCF8}" name="Column15613" dataDxfId="772"/>
    <tableColumn id="15638" xr3:uid="{D6D90297-91DB-44BF-AA9F-A55DF5B47BCD}" name="Column15614" dataDxfId="771"/>
    <tableColumn id="15639" xr3:uid="{955A6DF4-A37C-4D1A-B166-D0EE2ABB1274}" name="Column15615" dataDxfId="770"/>
    <tableColumn id="15640" xr3:uid="{2EFF7A53-454C-49D0-AD6B-3F5E0CBC4730}" name="Column15616" dataDxfId="769"/>
    <tableColumn id="15641" xr3:uid="{0BB83D0D-D4A0-46A8-A35C-388828650311}" name="Column15617" dataDxfId="768"/>
    <tableColumn id="15642" xr3:uid="{651045FB-A8EF-4783-9A1C-8C1A7911B098}" name="Column15618" dataDxfId="767"/>
    <tableColumn id="15643" xr3:uid="{FBDA5D9F-92D8-45DF-A4D4-F13BFFED9E33}" name="Column15619" dataDxfId="766"/>
    <tableColumn id="15644" xr3:uid="{7095DC6E-6EF4-4F9C-B541-E181976577B3}" name="Column15620" dataDxfId="765"/>
    <tableColumn id="15645" xr3:uid="{89FD37F3-790F-46F8-BE72-E8DC67847CC1}" name="Column15621" dataDxfId="764"/>
    <tableColumn id="15646" xr3:uid="{E632EB5E-A5B0-4C5E-8962-000C3C804301}" name="Column15622" dataDxfId="763"/>
    <tableColumn id="15647" xr3:uid="{C82A56AD-D229-4A74-908D-271E2EAF10F0}" name="Column15623" dataDxfId="762"/>
    <tableColumn id="15648" xr3:uid="{81BBD99D-E142-4DB8-A020-47A75D0401AD}" name="Column15624" dataDxfId="761"/>
    <tableColumn id="15649" xr3:uid="{22011C45-4D70-4B02-B064-7950D876FB7E}" name="Column15625" dataDxfId="760"/>
    <tableColumn id="15650" xr3:uid="{828D940E-89F7-4FFF-92EF-31259465AD53}" name="Column15626" dataDxfId="759"/>
    <tableColumn id="15651" xr3:uid="{B695F651-D280-4F6D-B450-D3D6F7A756CE}" name="Column15627" dataDxfId="758"/>
    <tableColumn id="15652" xr3:uid="{8DA058EF-B0A4-476E-AA2B-6FFF8A152863}" name="Column15628" dataDxfId="757"/>
    <tableColumn id="15653" xr3:uid="{D42754B7-63F4-470C-9032-469C652FAACB}" name="Column15629" dataDxfId="756"/>
    <tableColumn id="15654" xr3:uid="{F449B99D-F166-4D40-BD1D-A6989F6541D2}" name="Column15630" dataDxfId="755"/>
    <tableColumn id="15655" xr3:uid="{2E90B8D8-BF14-441E-A255-FAAAD1ACFDB7}" name="Column15631" dataDxfId="754"/>
    <tableColumn id="15656" xr3:uid="{FD940102-CE4A-4F8F-90A2-1C4140A47496}" name="Column15632" dataDxfId="753"/>
    <tableColumn id="15657" xr3:uid="{560B16C8-03F8-400F-99E7-1F8E6588568D}" name="Column15633" dataDxfId="752"/>
    <tableColumn id="15658" xr3:uid="{B1674134-4420-4C69-A30E-948A901C2810}" name="Column15634" dataDxfId="751"/>
    <tableColumn id="15659" xr3:uid="{B77C4485-D461-4AD8-ABB4-02CF67E86AE0}" name="Column15635" dataDxfId="750"/>
    <tableColumn id="15660" xr3:uid="{363CDCA5-CEF6-4F1A-9CFE-B820EDD30DD8}" name="Column15636" dataDxfId="749"/>
    <tableColumn id="15661" xr3:uid="{10148CA5-8B3E-4E9D-824D-F435D11E580C}" name="Column15637" dataDxfId="748"/>
    <tableColumn id="15662" xr3:uid="{E439E9B7-4B9C-4B63-8824-B28AC1E8E111}" name="Column15638" dataDxfId="747"/>
    <tableColumn id="15663" xr3:uid="{6F9CC04C-1C6B-4898-9712-C08CCDF72256}" name="Column15639" dataDxfId="746"/>
    <tableColumn id="15664" xr3:uid="{E0C651D6-C3FA-470B-9F15-00EFEC97CC20}" name="Column15640" dataDxfId="745"/>
    <tableColumn id="15665" xr3:uid="{A4C541BD-0C49-4735-8D72-308212F185E0}" name="Column15641" dataDxfId="744"/>
    <tableColumn id="15666" xr3:uid="{9EAA46C0-9B71-402C-9F2C-2E5BFD286427}" name="Column15642" dataDxfId="743"/>
    <tableColumn id="15667" xr3:uid="{E58E6A3C-54E1-4671-B188-81D52EF20A55}" name="Column15643" dataDxfId="742"/>
    <tableColumn id="15668" xr3:uid="{0C045E0D-6022-41F1-B566-D973CC298D26}" name="Column15644" dataDxfId="741"/>
    <tableColumn id="15669" xr3:uid="{4B8A83B6-18A9-459A-91D7-A32BC88C31A1}" name="Column15645" dataDxfId="740"/>
    <tableColumn id="15670" xr3:uid="{C3C3285E-43D0-46DA-83BD-526D7784ADB2}" name="Column15646" dataDxfId="739"/>
    <tableColumn id="15671" xr3:uid="{FAD44E3D-2A72-4C4C-A531-B20203388758}" name="Column15647" dataDxfId="738"/>
    <tableColumn id="15672" xr3:uid="{DF8CDC44-01FE-466B-915E-A3E4AE5C5F14}" name="Column15648" dataDxfId="737"/>
    <tableColumn id="15673" xr3:uid="{6382AE01-CFC3-4713-BC43-E439A545B8DB}" name="Column15649" dataDxfId="736"/>
    <tableColumn id="15674" xr3:uid="{B12E2CEB-D5BE-4D6C-A5DE-95F43FD844C6}" name="Column15650" dataDxfId="735"/>
    <tableColumn id="15675" xr3:uid="{8A3C1B10-DD48-4DB6-BAF2-9BFC7CF0B446}" name="Column15651" dataDxfId="734"/>
    <tableColumn id="15676" xr3:uid="{257227D0-8400-4E5E-A74C-380B51B8010E}" name="Column15652" dataDxfId="733"/>
    <tableColumn id="15677" xr3:uid="{4C1AD66F-198A-4CB0-966D-42CEFDB15388}" name="Column15653" dataDxfId="732"/>
    <tableColumn id="15678" xr3:uid="{1B571459-77B1-45F1-998E-450ACCD39E2D}" name="Column15654" dataDxfId="731"/>
    <tableColumn id="15679" xr3:uid="{8BD24E52-A735-4BE5-963F-7CFCCB7AF8D0}" name="Column15655" dataDxfId="730"/>
    <tableColumn id="15680" xr3:uid="{E025D91B-134A-406E-996A-FE5469CDFC45}" name="Column15656" dataDxfId="729"/>
    <tableColumn id="15681" xr3:uid="{21A9ED0D-937C-41F0-A4E2-11A18955ABD7}" name="Column15657" dataDxfId="728"/>
    <tableColumn id="15682" xr3:uid="{7CB1A0B1-F6C0-4D0A-9BAA-83C8D43184CB}" name="Column15658" dataDxfId="727"/>
    <tableColumn id="15683" xr3:uid="{CD0ECDCC-140D-478E-B8C5-1F8530F911AF}" name="Column15659" dataDxfId="726"/>
    <tableColumn id="15684" xr3:uid="{7771E20B-F48E-47BD-82B9-F01E018E35F3}" name="Column15660" dataDxfId="725"/>
    <tableColumn id="15685" xr3:uid="{B4640B0E-5A17-4AC9-BE05-EE7EBB50C460}" name="Column15661" dataDxfId="724"/>
    <tableColumn id="15686" xr3:uid="{2C9E1AB9-C726-4DBB-9767-8BC30A7E3FA9}" name="Column15662" dataDxfId="723"/>
    <tableColumn id="15687" xr3:uid="{CAE1EAF1-0A36-436F-9864-2126E17DA743}" name="Column15663" dataDxfId="722"/>
    <tableColumn id="15688" xr3:uid="{8DE0FDDA-B400-4321-B0EB-71396898AD64}" name="Column15664" dataDxfId="721"/>
    <tableColumn id="15689" xr3:uid="{32EBF6B8-D210-4A45-99EC-0C07E48C3FC4}" name="Column15665" dataDxfId="720"/>
    <tableColumn id="15690" xr3:uid="{2E52D00F-7E33-499E-A2BB-26EA58C06DAF}" name="Column15666" dataDxfId="719"/>
    <tableColumn id="15691" xr3:uid="{CC487E74-AA97-4CA9-B7A1-25245E414C30}" name="Column15667" dataDxfId="718"/>
    <tableColumn id="15692" xr3:uid="{DCFA0800-E93D-449D-87F2-9DD41C1AAD22}" name="Column15668" dataDxfId="717"/>
    <tableColumn id="15693" xr3:uid="{8E4FEFD9-94C2-43F2-B617-9704CBFC2BAA}" name="Column15669" dataDxfId="716"/>
    <tableColumn id="15694" xr3:uid="{D0552EEF-246E-45C9-AF43-6782428E23BE}" name="Column15670" dataDxfId="715"/>
    <tableColumn id="15695" xr3:uid="{2DB53268-F848-479D-94D1-863C99243057}" name="Column15671" dataDxfId="714"/>
    <tableColumn id="15696" xr3:uid="{260FD254-D562-4B4B-BCB6-AE9544F7EE4E}" name="Column15672" dataDxfId="713"/>
    <tableColumn id="15697" xr3:uid="{18C5A2D1-CDFD-4B96-BE2E-D13307FB66AB}" name="Column15673" dataDxfId="712"/>
    <tableColumn id="15698" xr3:uid="{ECCB22AA-20BC-4009-9C06-5D767032AD31}" name="Column15674" dataDxfId="711"/>
    <tableColumn id="15699" xr3:uid="{634DC3D7-B24A-4B8D-9B43-11BF6367A4CB}" name="Column15675" dataDxfId="710"/>
    <tableColumn id="15700" xr3:uid="{B98B1179-FB3F-4A7A-A4A9-848E29E49502}" name="Column15676" dataDxfId="709"/>
    <tableColumn id="15701" xr3:uid="{A6FDD75B-EAC8-4726-B449-CB6F79364B39}" name="Column15677" dataDxfId="708"/>
    <tableColumn id="15702" xr3:uid="{165AFD2D-5064-4119-9760-BAA2BD9FD31C}" name="Column15678" dataDxfId="707"/>
    <tableColumn id="15703" xr3:uid="{30C3AD5A-CD68-45DF-B33A-17F0AE94E21E}" name="Column15679" dataDxfId="706"/>
    <tableColumn id="15704" xr3:uid="{D69FD259-897D-4481-9584-0FA25EFF1956}" name="Column15680" dataDxfId="705"/>
    <tableColumn id="15705" xr3:uid="{6E9A8940-3757-40ED-B97C-AA628A6B0E1A}" name="Column15681" dataDxfId="704"/>
    <tableColumn id="15706" xr3:uid="{B81B2BDE-F599-47B8-B1BD-F632B0B0AC5E}" name="Column15682" dataDxfId="703"/>
    <tableColumn id="15707" xr3:uid="{143B80DE-9784-4E12-B244-D03CA75B4467}" name="Column15683" dataDxfId="702"/>
    <tableColumn id="15708" xr3:uid="{D3048EA9-91BA-4BA3-8B94-AE6596DEB996}" name="Column15684" dataDxfId="701"/>
    <tableColumn id="15709" xr3:uid="{2DAAE854-58CA-4B2F-931B-D5BC44C65CDA}" name="Column15685" dataDxfId="700"/>
    <tableColumn id="15710" xr3:uid="{84691B97-AAF4-4162-BC3F-9EDF5CBB1F05}" name="Column15686" dataDxfId="699"/>
    <tableColumn id="15711" xr3:uid="{9E489BB3-E0DD-43EE-B235-0CDFECAD5450}" name="Column15687" dataDxfId="698"/>
    <tableColumn id="15712" xr3:uid="{0FC3C598-8C2D-4D6C-BBE9-F704FA89CDB1}" name="Column15688" dataDxfId="697"/>
    <tableColumn id="15713" xr3:uid="{49ACBDF3-0F0D-408B-AEB5-346D793612D4}" name="Column15689" dataDxfId="696"/>
    <tableColumn id="15714" xr3:uid="{AA564F42-95BD-490D-A0E3-2E53E7D0D587}" name="Column15690" dataDxfId="695"/>
    <tableColumn id="15715" xr3:uid="{0064B26F-B8D6-44B7-B671-D646594462F7}" name="Column15691" dataDxfId="694"/>
    <tableColumn id="15716" xr3:uid="{FC843174-E580-4B46-BB5C-CDC430A7476C}" name="Column15692" dataDxfId="693"/>
    <tableColumn id="15717" xr3:uid="{961940F0-5D42-4521-A72C-270CB5ED0412}" name="Column15693" dataDxfId="692"/>
    <tableColumn id="15718" xr3:uid="{690E5196-E404-4E84-A8FC-07C727955D6B}" name="Column15694" dataDxfId="691"/>
    <tableColumn id="15719" xr3:uid="{00CF18C0-251E-4B6C-BECC-659AF1433B82}" name="Column15695" dataDxfId="690"/>
    <tableColumn id="15720" xr3:uid="{317539E7-5AD8-47D8-A44B-41BC3915ACF2}" name="Column15696" dataDxfId="689"/>
    <tableColumn id="15721" xr3:uid="{F705C7C8-FEC5-4858-9A55-CBEA8A360DB9}" name="Column15697" dataDxfId="688"/>
    <tableColumn id="15722" xr3:uid="{65667F1F-34C7-4E8D-8250-C3EA8FB0798F}" name="Column15698" dataDxfId="687"/>
    <tableColumn id="15723" xr3:uid="{0F2D2A8B-9D75-452B-A026-9FCFEF1A334B}" name="Column15699" dataDxfId="686"/>
    <tableColumn id="15724" xr3:uid="{82DD4889-EBEE-4C8A-BD6C-0FCEAEEE52D6}" name="Column15700" dataDxfId="685"/>
    <tableColumn id="15725" xr3:uid="{E383529C-7E8F-45FE-9DD1-ACE4C5120843}" name="Column15701" dataDxfId="684"/>
    <tableColumn id="15726" xr3:uid="{8530D1F1-C723-41CA-8231-6BCA3E0577CB}" name="Column15702" dataDxfId="683"/>
    <tableColumn id="15727" xr3:uid="{48968EB7-304E-42DA-8FDF-E85DBDFE41CD}" name="Column15703" dataDxfId="682"/>
    <tableColumn id="15728" xr3:uid="{E493D4C8-E8D1-4666-8E9E-440200F2AC7F}" name="Column15704" dataDxfId="681"/>
    <tableColumn id="15729" xr3:uid="{5471DACE-8D68-4F23-B43E-DEE8650CBD80}" name="Column15705" dataDxfId="680"/>
    <tableColumn id="15730" xr3:uid="{D12E2623-49CD-4E28-8AA1-AD16ABC9F12D}" name="Column15706" dataDxfId="679"/>
    <tableColumn id="15731" xr3:uid="{BD9847CC-E647-47BF-9455-7915883AB965}" name="Column15707" dataDxfId="678"/>
    <tableColumn id="15732" xr3:uid="{315F601F-804B-458F-9254-23C4E35895BA}" name="Column15708" dataDxfId="677"/>
    <tableColumn id="15733" xr3:uid="{51D386D4-96F9-40F9-A238-75438CDED810}" name="Column15709" dataDxfId="676"/>
    <tableColumn id="15734" xr3:uid="{11739E89-5F8B-4CAE-8EF4-98D3891A3F3B}" name="Column15710" dataDxfId="675"/>
    <tableColumn id="15735" xr3:uid="{471A1944-B2EA-4940-83C6-91B558EB387D}" name="Column15711" dataDxfId="674"/>
    <tableColumn id="15736" xr3:uid="{716BC045-48C4-4E9E-873D-92C4265D70E8}" name="Column15712" dataDxfId="673"/>
    <tableColumn id="15737" xr3:uid="{08D9C821-7640-4D6F-B4AD-A805A18865EF}" name="Column15713" dataDxfId="672"/>
    <tableColumn id="15738" xr3:uid="{A2434D81-2A84-4E53-B3E4-19C9FBAE7709}" name="Column15714" dataDxfId="671"/>
    <tableColumn id="15739" xr3:uid="{E474B0EB-605D-468C-949D-4623868918AC}" name="Column15715" dataDxfId="670"/>
    <tableColumn id="15740" xr3:uid="{BA1BC809-1DAE-40C3-8576-782A0BBB554A}" name="Column15716" dataDxfId="669"/>
    <tableColumn id="15741" xr3:uid="{12905E71-6ACC-4D26-82CD-21B28BB41CFC}" name="Column15717" dataDxfId="668"/>
    <tableColumn id="15742" xr3:uid="{DD5E0DA3-ADBB-4DB7-A4C6-857F02E4675B}" name="Column15718" dataDxfId="667"/>
    <tableColumn id="15743" xr3:uid="{E9FC2784-0BE5-4435-9F35-D87B253A07D8}" name="Column15719" dataDxfId="666"/>
    <tableColumn id="15744" xr3:uid="{689C19AD-7B6A-4DE4-BDBF-CE7C01764C66}" name="Column15720" dataDxfId="665"/>
    <tableColumn id="15745" xr3:uid="{41CA8C9F-215A-4A62-B59E-02F929F6C519}" name="Column15721" dataDxfId="664"/>
    <tableColumn id="15746" xr3:uid="{F217A507-337F-4B35-809C-429BF773D693}" name="Column15722" dataDxfId="663"/>
    <tableColumn id="15747" xr3:uid="{E954DA1B-045D-4FE0-8475-1EBEFBA4E87A}" name="Column15723" dataDxfId="662"/>
    <tableColumn id="15748" xr3:uid="{9242EB1D-F628-48B6-AB5F-0B7975456FD7}" name="Column15724" dataDxfId="661"/>
    <tableColumn id="15749" xr3:uid="{29468467-77F9-4AB0-8196-948AEDCB7F78}" name="Column15725" dataDxfId="660"/>
    <tableColumn id="15750" xr3:uid="{B5A93AE7-141B-4E7F-B2D3-A78DE34904EA}" name="Column15726" dataDxfId="659"/>
    <tableColumn id="15751" xr3:uid="{99B18D8B-3D7F-4E3B-8506-399279DE654B}" name="Column15727" dataDxfId="658"/>
    <tableColumn id="15752" xr3:uid="{48FBE690-94C7-4A6C-B551-210CF26A821E}" name="Column15728" dataDxfId="657"/>
    <tableColumn id="15753" xr3:uid="{A984888E-E376-4A73-8A44-D437ECD080A8}" name="Column15729" dataDxfId="656"/>
    <tableColumn id="15754" xr3:uid="{7438491E-E616-4699-B0FA-A95FD927961A}" name="Column15730" dataDxfId="655"/>
    <tableColumn id="15755" xr3:uid="{F11FE2B5-0DE0-4E01-80AC-A167B21D981F}" name="Column15731" dataDxfId="654"/>
    <tableColumn id="15756" xr3:uid="{14320D19-1F70-469F-B6E8-4341E1A9B2BF}" name="Column15732" dataDxfId="653"/>
    <tableColumn id="15757" xr3:uid="{92DCAC43-AF7A-4B2B-9CFA-C8716CE139FE}" name="Column15733" dataDxfId="652"/>
    <tableColumn id="15758" xr3:uid="{B683D946-C473-43BA-8241-782C15320FD1}" name="Column15734" dataDxfId="651"/>
    <tableColumn id="15759" xr3:uid="{8960DEEF-48F6-4FC0-9D4B-CA0ABF7BD18F}" name="Column15735" dataDxfId="650"/>
    <tableColumn id="15760" xr3:uid="{B47AA707-985E-41D9-8BDD-57AA31B89B0B}" name="Column15736" dataDxfId="649"/>
    <tableColumn id="15761" xr3:uid="{DC6D7B3E-5AA8-4D21-A809-7F8BE77D556F}" name="Column15737" dataDxfId="648"/>
    <tableColumn id="15762" xr3:uid="{34D7B56F-48E5-41D0-AC8D-1F8B4EFDCACB}" name="Column15738" dataDxfId="647"/>
    <tableColumn id="15763" xr3:uid="{5CD5C9FA-7DAA-4E8E-BEE8-19D8324F2F09}" name="Column15739" dataDxfId="646"/>
    <tableColumn id="15764" xr3:uid="{C9C8BA81-E350-4454-BDF8-6F1FEC24D821}" name="Column15740" dataDxfId="645"/>
    <tableColumn id="15765" xr3:uid="{2C4388B1-8049-400D-957B-2388FE42462E}" name="Column15741" dataDxfId="644"/>
    <tableColumn id="15766" xr3:uid="{13A37D1A-14AF-4E01-A429-CDD484E29AB6}" name="Column15742" dataDxfId="643"/>
    <tableColumn id="15767" xr3:uid="{3608A6EC-3A58-4E1C-A04C-60ACD414799E}" name="Column15743" dataDxfId="642"/>
    <tableColumn id="15768" xr3:uid="{CED65ECD-79F8-4EAA-9769-0C2600EA99DE}" name="Column15744" dataDxfId="641"/>
    <tableColumn id="15769" xr3:uid="{BB42C4A5-ECBD-4F48-A761-B7CB1F3F13FA}" name="Column15745" dataDxfId="640"/>
    <tableColumn id="15770" xr3:uid="{19F20CDD-058E-480E-B5FC-67EF36A0764F}" name="Column15746" dataDxfId="639"/>
    <tableColumn id="15771" xr3:uid="{7B76DABA-2870-4292-B331-47E6EAD7269F}" name="Column15747" dataDxfId="638"/>
    <tableColumn id="15772" xr3:uid="{0CB77346-42DA-4F4B-A892-618E1B1342E3}" name="Column15748" dataDxfId="637"/>
    <tableColumn id="15773" xr3:uid="{2A1C45A3-7E01-45BA-AFAF-F3BBC4FD0FE8}" name="Column15749" dataDxfId="636"/>
    <tableColumn id="15774" xr3:uid="{68F25375-94C5-4B13-A273-06D81C971CE4}" name="Column15750" dataDxfId="635"/>
    <tableColumn id="15775" xr3:uid="{813F509F-44C2-4BAF-A400-6697F8DADBB5}" name="Column15751" dataDxfId="634"/>
    <tableColumn id="15776" xr3:uid="{BF6F1221-5B56-42B4-BD90-E3A05C96F210}" name="Column15752" dataDxfId="633"/>
    <tableColumn id="15777" xr3:uid="{8387ABFD-C6C5-4E0C-B4A6-E76770BD524B}" name="Column15753" dataDxfId="632"/>
    <tableColumn id="15778" xr3:uid="{3EE996A3-5537-4460-91BB-5F2F2E439946}" name="Column15754" dataDxfId="631"/>
    <tableColumn id="15779" xr3:uid="{25BBB0BC-F731-4E4A-9896-F43EED2AEFBF}" name="Column15755" dataDxfId="630"/>
    <tableColumn id="15780" xr3:uid="{442C158B-1521-47C6-97DF-BF7403079F5D}" name="Column15756" dataDxfId="629"/>
    <tableColumn id="15781" xr3:uid="{613EFC76-5997-47CB-B4F0-20AD23E228AD}" name="Column15757" dataDxfId="628"/>
    <tableColumn id="15782" xr3:uid="{7D559F88-9DD0-430F-BAA0-BA4716F0DEFF}" name="Column15758" dataDxfId="627"/>
    <tableColumn id="15783" xr3:uid="{0DB8A9C2-E799-4445-AD8A-A8340B412E5D}" name="Column15759" dataDxfId="626"/>
    <tableColumn id="15784" xr3:uid="{E086CF92-CBA7-4226-8507-763FF8CB102F}" name="Column15760" dataDxfId="625"/>
    <tableColumn id="15785" xr3:uid="{4ECF10B1-4940-400D-AAEE-7BDE6822A0F6}" name="Column15761" dataDxfId="624"/>
    <tableColumn id="15786" xr3:uid="{098A44AA-8D52-4F2B-B1F5-FB5E42690309}" name="Column15762" dataDxfId="623"/>
    <tableColumn id="15787" xr3:uid="{09FF555F-6AF8-4535-9930-7A5D918BB654}" name="Column15763" dataDxfId="622"/>
    <tableColumn id="15788" xr3:uid="{7D843DE5-1698-4A93-8EEC-49CD92385AC8}" name="Column15764" dataDxfId="621"/>
    <tableColumn id="15789" xr3:uid="{6E3F878B-6848-4DA6-8608-AD3EB94BA6E6}" name="Column15765" dataDxfId="620"/>
    <tableColumn id="15790" xr3:uid="{32DE3A2E-7285-4800-B5C3-B1BCA27CAEE5}" name="Column15766" dataDxfId="619"/>
    <tableColumn id="15791" xr3:uid="{040A8A21-7A85-40E9-99B0-B85A30741E08}" name="Column15767" dataDxfId="618"/>
    <tableColumn id="15792" xr3:uid="{4627756B-F6E3-428E-99CC-43F8A2879682}" name="Column15768" dataDxfId="617"/>
    <tableColumn id="15793" xr3:uid="{E14C6D94-D5E7-4E7A-99E6-B227F52C912A}" name="Column15769" dataDxfId="616"/>
    <tableColumn id="15794" xr3:uid="{C4205FCE-F5AF-4B2B-8680-82E9D0FD485C}" name="Column15770" dataDxfId="615"/>
    <tableColumn id="15795" xr3:uid="{69BB64B1-216B-4361-9923-1E1386E1E948}" name="Column15771" dataDxfId="614"/>
    <tableColumn id="15796" xr3:uid="{E10CDE36-C5E9-4A01-BF0B-8CB5AB38E9F0}" name="Column15772" dataDxfId="613"/>
    <tableColumn id="15797" xr3:uid="{DA817A66-10F9-47EE-B558-D458ECD2EF62}" name="Column15773" dataDxfId="612"/>
    <tableColumn id="15798" xr3:uid="{948D4186-DF13-40F6-99EA-8E513DF1206A}" name="Column15774" dataDxfId="611"/>
    <tableColumn id="15799" xr3:uid="{8DD3F046-02DA-480B-95F7-B62162B41A90}" name="Column15775" dataDxfId="610"/>
    <tableColumn id="15800" xr3:uid="{9532632D-E0C5-41FB-BC7A-7956E59428B7}" name="Column15776" dataDxfId="609"/>
    <tableColumn id="15801" xr3:uid="{F443950D-3910-4908-B8E9-44D7E74796A7}" name="Column15777" dataDxfId="608"/>
    <tableColumn id="15802" xr3:uid="{7D2174C7-C273-4B99-94D8-EBDA503FBD72}" name="Column15778" dataDxfId="607"/>
    <tableColumn id="15803" xr3:uid="{292047CC-794E-409B-B6B8-1B00C9431AB5}" name="Column15779" dataDxfId="606"/>
    <tableColumn id="15804" xr3:uid="{E87EFCC9-69BC-42BD-A1EA-93A24218F8E7}" name="Column15780" dataDxfId="605"/>
    <tableColumn id="15805" xr3:uid="{E64074DD-B541-41D7-9427-392B5AEA1D5A}" name="Column15781" dataDxfId="604"/>
    <tableColumn id="15806" xr3:uid="{8C8F7842-5947-4F69-B816-50CF23B4B1B8}" name="Column15782" dataDxfId="603"/>
    <tableColumn id="15807" xr3:uid="{5A606352-6BEF-4218-91C2-1B170D3694D7}" name="Column15783" dataDxfId="602"/>
    <tableColumn id="15808" xr3:uid="{3B5676B0-C10A-425E-A9F3-055896618135}" name="Column15784" dataDxfId="601"/>
    <tableColumn id="15809" xr3:uid="{4ECA5A2D-60CC-4CCA-9767-722CE63BC7D2}" name="Column15785" dataDxfId="600"/>
    <tableColumn id="15810" xr3:uid="{B1E769B8-6E44-4927-A34B-B3D4AC19B12F}" name="Column15786" dataDxfId="599"/>
    <tableColumn id="15811" xr3:uid="{7B7C5A7C-0C4A-4737-8712-C746C68BABF1}" name="Column15787" dataDxfId="598"/>
    <tableColumn id="15812" xr3:uid="{9C3424D4-0187-4475-9583-EF16D79A1D87}" name="Column15788" dataDxfId="597"/>
    <tableColumn id="15813" xr3:uid="{75374F1E-C287-418C-8961-4400C8401304}" name="Column15789" dataDxfId="596"/>
    <tableColumn id="15814" xr3:uid="{629D48DA-0E97-4A8A-8803-3AB8EA5DDA4A}" name="Column15790" dataDxfId="595"/>
    <tableColumn id="15815" xr3:uid="{756378D5-A98E-44DB-90A3-ED3F814753B5}" name="Column15791" dataDxfId="594"/>
    <tableColumn id="15816" xr3:uid="{87392F65-0BE0-4D6C-81EC-D2713790FEFD}" name="Column15792" dataDxfId="593"/>
    <tableColumn id="15817" xr3:uid="{875FB65D-4779-4F4D-924C-0BFFE5DC76D9}" name="Column15793" dataDxfId="592"/>
    <tableColumn id="15818" xr3:uid="{02C89433-DCB0-484C-BF65-EAE8B0A5DE42}" name="Column15794" dataDxfId="591"/>
    <tableColumn id="15819" xr3:uid="{55A8A2F1-6B62-40F5-9313-DE4A1AE3D19A}" name="Column15795" dataDxfId="590"/>
    <tableColumn id="15820" xr3:uid="{5DFCAB2F-E6B9-44EA-AC77-B1C2620D2477}" name="Column15796" dataDxfId="589"/>
    <tableColumn id="15821" xr3:uid="{3718E934-00A4-409F-946C-90CD7904E07B}" name="Column15797" dataDxfId="588"/>
    <tableColumn id="15822" xr3:uid="{399684FE-70C2-458A-A8AE-2E21A333F839}" name="Column15798" dataDxfId="587"/>
    <tableColumn id="15823" xr3:uid="{E000599B-FAE1-4037-9267-DA8E324E27A5}" name="Column15799" dataDxfId="586"/>
    <tableColumn id="15824" xr3:uid="{074EA452-0152-4A1D-9BAE-4469572EE42F}" name="Column15800" dataDxfId="585"/>
    <tableColumn id="15825" xr3:uid="{FF3AEA4E-DF44-4789-97D3-B5F3BD4011CE}" name="Column15801" dataDxfId="584"/>
    <tableColumn id="15826" xr3:uid="{8D144FFB-0818-458A-BED6-8FD9915E5131}" name="Column15802" dataDxfId="583"/>
    <tableColumn id="15827" xr3:uid="{6EFF061D-7CF8-4A28-9712-695EDEAE9FD8}" name="Column15803" dataDxfId="582"/>
    <tableColumn id="15828" xr3:uid="{01A70A81-31A9-4586-A535-FAE55F8F59B9}" name="Column15804" dataDxfId="581"/>
    <tableColumn id="15829" xr3:uid="{18BEC775-398D-4998-B754-1DFCCE808D35}" name="Column15805" dataDxfId="580"/>
    <tableColumn id="15830" xr3:uid="{385503D9-915B-4741-A85A-334D2F61A67B}" name="Column15806" dataDxfId="579"/>
    <tableColumn id="15831" xr3:uid="{032D6D03-2E20-4C89-A1BE-CD86916DBC87}" name="Column15807" dataDxfId="578"/>
    <tableColumn id="15832" xr3:uid="{4AF2CB40-1F55-4A4B-89BD-F580A02BD940}" name="Column15808" dataDxfId="577"/>
    <tableColumn id="15833" xr3:uid="{ED1B5226-1F20-4FC2-B446-D68F83505CB8}" name="Column15809" dataDxfId="576"/>
    <tableColumn id="15834" xr3:uid="{87C6B212-F0F4-4138-B83B-D8B9A135DB4D}" name="Column15810" dataDxfId="575"/>
    <tableColumn id="15835" xr3:uid="{CC65A888-62D8-4987-BFF6-8D645A351B28}" name="Column15811" dataDxfId="574"/>
    <tableColumn id="15836" xr3:uid="{1E53BBC0-5AE8-4DD4-885A-BFE471ED8714}" name="Column15812" dataDxfId="573"/>
    <tableColumn id="15837" xr3:uid="{3F8253BC-4353-4C17-A4E5-001DC28AE22F}" name="Column15813" dataDxfId="572"/>
    <tableColumn id="15838" xr3:uid="{43FC0DE3-9E57-40D2-B879-9F0BE4AD0546}" name="Column15814" dataDxfId="571"/>
    <tableColumn id="15839" xr3:uid="{DC78232D-7C8D-4CA9-AA41-F26D1E653D9C}" name="Column15815" dataDxfId="570"/>
    <tableColumn id="15840" xr3:uid="{08A96E1D-AE84-43FE-B1A4-4F4A69BB15E0}" name="Column15816" dataDxfId="569"/>
    <tableColumn id="15841" xr3:uid="{22A31DD5-AA0C-4C11-8C3C-EBA2D7D50E9C}" name="Column15817" dataDxfId="568"/>
    <tableColumn id="15842" xr3:uid="{A0E8F7B7-68D3-46BA-89B5-0405AF18E230}" name="Column15818" dataDxfId="567"/>
    <tableColumn id="15843" xr3:uid="{FAAEFF7C-F4C1-429E-A69C-33CFB4072004}" name="Column15819" dataDxfId="566"/>
    <tableColumn id="15844" xr3:uid="{DE80E113-6CA9-4634-BC6E-16856F9CCBE4}" name="Column15820" dataDxfId="565"/>
    <tableColumn id="15845" xr3:uid="{5B4EEB0C-8412-4340-8D51-B68181C4893A}" name="Column15821" dataDxfId="564"/>
    <tableColumn id="15846" xr3:uid="{B7ECA135-9036-4340-888D-B3E94BB5524A}" name="Column15822" dataDxfId="563"/>
    <tableColumn id="15847" xr3:uid="{5EBB73E3-DC9D-4CD6-9CD4-4D68F05BB408}" name="Column15823" dataDxfId="562"/>
    <tableColumn id="15848" xr3:uid="{65CA2BB9-C307-4958-BA5E-637BA1033AE8}" name="Column15824" dataDxfId="561"/>
    <tableColumn id="15849" xr3:uid="{AE32F111-862D-4B5B-B7CC-FB9374202C9B}" name="Column15825" dataDxfId="560"/>
    <tableColumn id="15850" xr3:uid="{C82F91B5-B4BE-4E0F-A58D-284B72C35328}" name="Column15826" dataDxfId="559"/>
    <tableColumn id="15851" xr3:uid="{155C128C-A1C8-4914-831A-158690D7342C}" name="Column15827" dataDxfId="558"/>
    <tableColumn id="15852" xr3:uid="{423F7CB5-B812-4430-86ED-B2DC85BC5263}" name="Column15828" dataDxfId="557"/>
    <tableColumn id="15853" xr3:uid="{CB67C7AA-ADD5-4C73-8F0E-02CF0D85237B}" name="Column15829" dataDxfId="556"/>
    <tableColumn id="15854" xr3:uid="{E5E380BA-B928-4D55-A560-360A045396A6}" name="Column15830" dataDxfId="555"/>
    <tableColumn id="15855" xr3:uid="{7D60ABC6-AF1C-4498-B268-86D4E373FAAF}" name="Column15831" dataDxfId="554"/>
    <tableColumn id="15856" xr3:uid="{EE3AFED7-76FF-4520-A48B-8F6CEDD99256}" name="Column15832" dataDxfId="553"/>
    <tableColumn id="15857" xr3:uid="{30F45118-E740-4B63-A9EB-89E19D42F506}" name="Column15833" dataDxfId="552"/>
    <tableColumn id="15858" xr3:uid="{936BD280-4AFD-403C-8152-A6D85EBD9DE0}" name="Column15834" dataDxfId="551"/>
    <tableColumn id="15859" xr3:uid="{DFEE7769-A7BB-4D6E-82AF-744375519521}" name="Column15835" dataDxfId="550"/>
    <tableColumn id="15860" xr3:uid="{A0DD6E48-5353-4E6B-92B8-0ED067855017}" name="Column15836" dataDxfId="549"/>
    <tableColumn id="15861" xr3:uid="{5C78C5F2-D8AE-4092-B647-8AEC5A80C07A}" name="Column15837" dataDxfId="548"/>
    <tableColumn id="15862" xr3:uid="{A7916565-3EEA-4DD5-A26D-8FD0E7FFF2AC}" name="Column15838" dataDxfId="547"/>
    <tableColumn id="15863" xr3:uid="{2C9E353A-BA79-406D-96FA-D056D66B5655}" name="Column15839" dataDxfId="546"/>
    <tableColumn id="15864" xr3:uid="{CB2286F2-DA78-40F7-A912-8F9FE5BC5221}" name="Column15840" dataDxfId="545"/>
    <tableColumn id="15865" xr3:uid="{82FFD2DC-A394-4320-AB86-3035D309B85B}" name="Column15841" dataDxfId="544"/>
    <tableColumn id="15866" xr3:uid="{8CD2B0AB-7791-4B65-BE51-69BB4BCBB7D1}" name="Column15842" dataDxfId="543"/>
    <tableColumn id="15867" xr3:uid="{508851E6-91FE-46F6-B8B8-714D20483AD4}" name="Column15843" dataDxfId="542"/>
    <tableColumn id="15868" xr3:uid="{FEB85C29-4E2E-4BE1-84A1-77838A522E3D}" name="Column15844" dataDxfId="541"/>
    <tableColumn id="15869" xr3:uid="{4D185E8C-31CA-41FE-B56B-A25F119041FC}" name="Column15845" dataDxfId="540"/>
    <tableColumn id="15870" xr3:uid="{8D03ED72-4EA7-4240-A250-8CAA29ED4396}" name="Column15846" dataDxfId="539"/>
    <tableColumn id="15871" xr3:uid="{71913BE2-C7A0-4998-A1AD-E1E31AF5E3A2}" name="Column15847" dataDxfId="538"/>
    <tableColumn id="15872" xr3:uid="{18C19F2C-C7DA-4438-9D8A-973255223230}" name="Column15848" dataDxfId="537"/>
    <tableColumn id="15873" xr3:uid="{2B8A06CA-A84C-4180-9F62-CB136A60B2F0}" name="Column15849" dataDxfId="536"/>
    <tableColumn id="15874" xr3:uid="{41A96E2A-1511-46AF-A530-F577A2C506AC}" name="Column15850" dataDxfId="535"/>
    <tableColumn id="15875" xr3:uid="{FE084184-7380-4337-8AE2-2004AD19B7F8}" name="Column15851" dataDxfId="534"/>
    <tableColumn id="15876" xr3:uid="{ECAAAEAF-4D53-4FF8-AA06-891016251795}" name="Column15852" dataDxfId="533"/>
    <tableColumn id="15877" xr3:uid="{AF6553E1-046C-4538-B15B-40D73E2EA9D7}" name="Column15853" dataDxfId="532"/>
    <tableColumn id="15878" xr3:uid="{73DB1CAB-5AF8-4ED9-829A-8F99ABB31DB2}" name="Column15854" dataDxfId="531"/>
    <tableColumn id="15879" xr3:uid="{8A635D5A-A0CA-4594-B42D-13DD90958162}" name="Column15855" dataDxfId="530"/>
    <tableColumn id="15880" xr3:uid="{78D69238-9148-4AE0-9CA0-961B766A9CD8}" name="Column15856" dataDxfId="529"/>
    <tableColumn id="15881" xr3:uid="{E9773B2E-56B1-4F20-A1CF-8E9B42F96E03}" name="Column15857" dataDxfId="528"/>
    <tableColumn id="15882" xr3:uid="{8D31B16A-17F0-40A8-A757-B4E5623F23C3}" name="Column15858" dataDxfId="527"/>
    <tableColumn id="15883" xr3:uid="{CF953ACC-715D-419C-80B0-BFCE32C945FF}" name="Column15859" dataDxfId="526"/>
    <tableColumn id="15884" xr3:uid="{BBDC8186-3959-4FC3-BEED-4FBDFF4287D4}" name="Column15860" dataDxfId="525"/>
    <tableColumn id="15885" xr3:uid="{28E6FA94-17E8-43D8-8816-E0C7E9B2FDBC}" name="Column15861" dataDxfId="524"/>
    <tableColumn id="15886" xr3:uid="{562C8080-0705-47F7-A5FE-6505050FDF78}" name="Column15862" dataDxfId="523"/>
    <tableColumn id="15887" xr3:uid="{46224A31-0F4B-43CA-BA43-13B357F30D2C}" name="Column15863" dataDxfId="522"/>
    <tableColumn id="15888" xr3:uid="{45563459-0890-46A6-86E5-A9BAC70F7816}" name="Column15864" dataDxfId="521"/>
    <tableColumn id="15889" xr3:uid="{8D258AF5-EE96-4786-9F5C-E529D9730194}" name="Column15865" dataDxfId="520"/>
    <tableColumn id="15890" xr3:uid="{47D6A2C6-6CFD-4CA3-999B-9FA0EC23B6E8}" name="Column15866" dataDxfId="519"/>
    <tableColumn id="15891" xr3:uid="{A21BA1AE-BFC3-441D-9078-F32BA38BB2BA}" name="Column15867" dataDxfId="518"/>
    <tableColumn id="15892" xr3:uid="{DB4E20D9-01FD-4709-A4D2-5094E6F36E07}" name="Column15868" dataDxfId="517"/>
    <tableColumn id="15893" xr3:uid="{DA44B979-B5E7-4363-BC47-D65B4C39A4BE}" name="Column15869" dataDxfId="516"/>
    <tableColumn id="15894" xr3:uid="{0EA88611-E8EA-42EA-99F6-7DEBEB3F31B8}" name="Column15870" dataDxfId="515"/>
    <tableColumn id="15895" xr3:uid="{A02E6632-E771-4706-81E7-6497ED9FB234}" name="Column15871" dataDxfId="514"/>
    <tableColumn id="15896" xr3:uid="{9F361B6E-E67B-45BE-ABBD-6AB766AC2742}" name="Column15872" dataDxfId="513"/>
    <tableColumn id="15897" xr3:uid="{5E2B222B-8C40-4FD6-8FCD-0E955E40412E}" name="Column15873" dataDxfId="512"/>
    <tableColumn id="15898" xr3:uid="{ABA02B85-8645-4F9E-9304-EEE7BC28AA25}" name="Column15874" dataDxfId="511"/>
    <tableColumn id="15899" xr3:uid="{5B1D7900-8168-4D40-837F-985881D2B8F3}" name="Column15875" dataDxfId="510"/>
    <tableColumn id="15900" xr3:uid="{8ED8BC26-00D2-46A6-A3E7-6A6470912E25}" name="Column15876" dataDxfId="509"/>
    <tableColumn id="15901" xr3:uid="{59581437-C3AF-45AC-81D1-C75009189FE0}" name="Column15877" dataDxfId="508"/>
    <tableColumn id="15902" xr3:uid="{EA4D5F24-2F93-4F97-95C1-4CDE19C339AF}" name="Column15878" dataDxfId="507"/>
    <tableColumn id="15903" xr3:uid="{7B3377A1-74A6-4D58-966A-2B752F05FD21}" name="Column15879" dataDxfId="506"/>
    <tableColumn id="15904" xr3:uid="{045F83E5-0FB5-4F6A-959C-3159165A1043}" name="Column15880" dataDxfId="505"/>
    <tableColumn id="15905" xr3:uid="{779E2D2D-E88A-48A0-8243-D455BD4DF699}" name="Column15881" dataDxfId="504"/>
    <tableColumn id="15906" xr3:uid="{B3292056-0981-4656-95E1-BABD7C2FF10C}" name="Column15882" dataDxfId="503"/>
    <tableColumn id="15907" xr3:uid="{5E99B4D1-8749-464F-A9EA-E3229B89E6B0}" name="Column15883" dataDxfId="502"/>
    <tableColumn id="15908" xr3:uid="{C9CDC7F0-7202-47A0-BF23-D39837EA9A15}" name="Column15884" dataDxfId="501"/>
    <tableColumn id="15909" xr3:uid="{3C4FE751-2965-49FC-8DC3-5EE34AF36147}" name="Column15885" dataDxfId="500"/>
    <tableColumn id="15910" xr3:uid="{30A9BB60-B240-470D-A2F0-C3FA1F91BBF0}" name="Column15886" dataDxfId="499"/>
    <tableColumn id="15911" xr3:uid="{4107CB09-76AD-42C2-AA4E-69422FA57209}" name="Column15887" dataDxfId="498"/>
    <tableColumn id="15912" xr3:uid="{1FF7D375-9E00-4164-A2E9-C535F8C63BD8}" name="Column15888" dataDxfId="497"/>
    <tableColumn id="15913" xr3:uid="{EC0F5F15-9EB3-4B98-A61F-838A222B0581}" name="Column15889" dataDxfId="496"/>
    <tableColumn id="15914" xr3:uid="{1DCF8882-8E1A-42AC-97DD-1421C49E1232}" name="Column15890" dataDxfId="495"/>
    <tableColumn id="15915" xr3:uid="{50B058DB-E18F-4385-8D7E-5C0DB7AF5456}" name="Column15891" dataDxfId="494"/>
    <tableColumn id="15916" xr3:uid="{48A9BE1F-5E0C-4C44-967B-A5038E3D4357}" name="Column15892" dataDxfId="493"/>
    <tableColumn id="15917" xr3:uid="{C9A58497-7F8F-455E-A9E9-C4C33F33AC17}" name="Column15893" dataDxfId="492"/>
    <tableColumn id="15918" xr3:uid="{22CD282A-2200-498A-9FA0-77FA5F8751CA}" name="Column15894" dataDxfId="491"/>
    <tableColumn id="15919" xr3:uid="{B3700F92-2CE7-4D49-9CF5-48A27EABE1D3}" name="Column15895" dataDxfId="490"/>
    <tableColumn id="15920" xr3:uid="{056DC055-20DD-4D48-8B9C-0F1A10835C9E}" name="Column15896" dataDxfId="489"/>
    <tableColumn id="15921" xr3:uid="{5795944F-2D8D-4FE3-944F-070FEE7A6981}" name="Column15897" dataDxfId="488"/>
    <tableColumn id="15922" xr3:uid="{81F3A2A1-82C8-464E-BDF9-854F26EDE8BA}" name="Column15898" dataDxfId="487"/>
    <tableColumn id="15923" xr3:uid="{8BD2E039-C10F-40C6-914C-E1FA1035D030}" name="Column15899" dataDxfId="486"/>
    <tableColumn id="15924" xr3:uid="{08844B97-93B9-462A-AF6E-1041FC2D619B}" name="Column15900" dataDxfId="485"/>
    <tableColumn id="15925" xr3:uid="{7D1E4918-D89B-4D8F-99BE-194F0DABD54C}" name="Column15901" dataDxfId="484"/>
    <tableColumn id="15926" xr3:uid="{5CD8FFFE-1AA8-4592-B371-E15EF1D136DB}" name="Column15902" dataDxfId="483"/>
    <tableColumn id="15927" xr3:uid="{D365F921-CF4B-402E-8BA7-1A465286F8C4}" name="Column15903" dataDxfId="482"/>
    <tableColumn id="15928" xr3:uid="{BE2F662B-D8BD-45EE-9454-DDBC674413DB}" name="Column15904" dataDxfId="481"/>
    <tableColumn id="15929" xr3:uid="{CCA422C4-4259-4957-A82D-335C4DE92513}" name="Column15905" dataDxfId="480"/>
    <tableColumn id="15930" xr3:uid="{54159063-C18C-4D91-8BD0-B6888A3541D9}" name="Column15906" dataDxfId="479"/>
    <tableColumn id="15931" xr3:uid="{30461AF2-FAF4-4F18-AD2E-8457F28E8576}" name="Column15907" dataDxfId="478"/>
    <tableColumn id="15932" xr3:uid="{92D426ED-B59E-400B-AED1-4C23524E761B}" name="Column15908" dataDxfId="477"/>
    <tableColumn id="15933" xr3:uid="{E6734119-2D41-4952-893D-6895D1F984E9}" name="Column15909" dataDxfId="476"/>
    <tableColumn id="15934" xr3:uid="{A8D2F2F3-6471-403C-A0BE-83B91A939475}" name="Column15910" dataDxfId="475"/>
    <tableColumn id="15935" xr3:uid="{6082E8F7-F3DD-482E-8757-988C7AD64681}" name="Column15911" dataDxfId="474"/>
    <tableColumn id="15936" xr3:uid="{140D0972-B800-44EF-B27D-2E054766A8DB}" name="Column15912" dataDxfId="473"/>
    <tableColumn id="15937" xr3:uid="{FEE916BC-5892-437E-BA44-69C4D6128DCE}" name="Column15913" dataDxfId="472"/>
    <tableColumn id="15938" xr3:uid="{88B294D4-8132-420E-81C0-18D4A89C5ABD}" name="Column15914" dataDxfId="471"/>
    <tableColumn id="15939" xr3:uid="{2FFEF266-D487-49CB-BF87-A95D75D9A39F}" name="Column15915" dataDxfId="470"/>
    <tableColumn id="15940" xr3:uid="{804886DF-9AF4-4A74-A7B3-9045DD6510C5}" name="Column15916" dataDxfId="469"/>
    <tableColumn id="15941" xr3:uid="{63ED3C33-2A64-4362-A0F2-CDE6DD82B14B}" name="Column15917" dataDxfId="468"/>
    <tableColumn id="15942" xr3:uid="{4EAE6BF9-D7FD-4406-AE2F-AC1AC16300D3}" name="Column15918" dataDxfId="467"/>
    <tableColumn id="15943" xr3:uid="{4887FE0E-0ECA-4796-BE3C-1B81812A010D}" name="Column15919" dataDxfId="466"/>
    <tableColumn id="15944" xr3:uid="{557BC6D6-A675-4C92-8BC7-AC036F489789}" name="Column15920" dataDxfId="465"/>
    <tableColumn id="15945" xr3:uid="{ACCE4DE7-D283-4AD0-80E1-FF56E93AD464}" name="Column15921" dataDxfId="464"/>
    <tableColumn id="15946" xr3:uid="{C1BDE330-057C-4A0D-B4C9-A70D635FDE82}" name="Column15922" dataDxfId="463"/>
    <tableColumn id="15947" xr3:uid="{CA628685-7C4D-4809-BDB1-65E4A3B22EAA}" name="Column15923" dataDxfId="462"/>
    <tableColumn id="15948" xr3:uid="{8EDDA4B2-EEAF-43FA-A37E-26BB8BF1FD4C}" name="Column15924" dataDxfId="461"/>
    <tableColumn id="15949" xr3:uid="{DBCA61BF-325B-4622-8466-7FD98B9FEC73}" name="Column15925" dataDxfId="460"/>
    <tableColumn id="15950" xr3:uid="{39A33C4A-61C3-4553-93CF-1A51FF34239C}" name="Column15926" dataDxfId="459"/>
    <tableColumn id="15951" xr3:uid="{743F78A6-44E7-4594-B858-6DA086DBA835}" name="Column15927" dataDxfId="458"/>
    <tableColumn id="15952" xr3:uid="{B528CAF4-17B2-419B-A5BF-B228C53D535D}" name="Column15928" dataDxfId="457"/>
    <tableColumn id="15953" xr3:uid="{ED76D469-4182-49A2-B322-438034FA0437}" name="Column15929" dataDxfId="456"/>
    <tableColumn id="15954" xr3:uid="{840C12E6-3722-44B5-850E-F3F0C52D92A4}" name="Column15930" dataDxfId="455"/>
    <tableColumn id="15955" xr3:uid="{2687D1E2-FE72-48F5-8372-C0A3DD30397E}" name="Column15931" dataDxfId="454"/>
    <tableColumn id="15956" xr3:uid="{DE5B1418-56C6-457A-8E78-68C9442F959F}" name="Column15932" dataDxfId="453"/>
    <tableColumn id="15957" xr3:uid="{4597C5E5-BAE5-4375-BDE9-A6B018DBBC4B}" name="Column15933" dataDxfId="452"/>
    <tableColumn id="15958" xr3:uid="{E235E172-F4DB-4114-B778-1B42CA7B2B5B}" name="Column15934" dataDxfId="451"/>
    <tableColumn id="15959" xr3:uid="{C86683D2-F2A9-4CE3-AB29-BC04C048E3E7}" name="Column15935" dataDxfId="450"/>
    <tableColumn id="15960" xr3:uid="{FA58556B-B2BC-4485-A0D1-AC851BFD1E52}" name="Column15936" dataDxfId="449"/>
    <tableColumn id="15961" xr3:uid="{9EE139C9-7B84-43CB-992A-A976274CC69E}" name="Column15937" dataDxfId="448"/>
    <tableColumn id="15962" xr3:uid="{2EDEF917-0E16-4152-9C6F-D825897045CE}" name="Column15938" dataDxfId="447"/>
    <tableColumn id="15963" xr3:uid="{5834B5D3-C147-43E3-A534-59FC979D7AFF}" name="Column15939" dataDxfId="446"/>
    <tableColumn id="15964" xr3:uid="{2E74CC28-54AA-477B-B27D-1FB25D602B87}" name="Column15940" dataDxfId="445"/>
    <tableColumn id="15965" xr3:uid="{AA348BE7-D045-4B26-8A9A-05E4CD1C645D}" name="Column15941" dataDxfId="444"/>
    <tableColumn id="15966" xr3:uid="{C57FC668-0672-457E-BCBC-BF581F6EAF4B}" name="Column15942" dataDxfId="443"/>
    <tableColumn id="15967" xr3:uid="{45B2EA3B-AECC-4E1E-A35A-6B388E82673D}" name="Column15943" dataDxfId="442"/>
    <tableColumn id="15968" xr3:uid="{F6E2F6F4-6300-41AB-BB9E-891E8094843D}" name="Column15944" dataDxfId="441"/>
    <tableColumn id="15969" xr3:uid="{F984981A-CA0F-42BC-8DDC-F0D99FFE2065}" name="Column15945" dataDxfId="440"/>
    <tableColumn id="15970" xr3:uid="{32D51565-A0DA-44B5-9F5A-61DABC7A4E6A}" name="Column15946" dataDxfId="439"/>
    <tableColumn id="15971" xr3:uid="{73B4C556-26F9-48E5-9F11-2E7B1DD6E55E}" name="Column15947" dataDxfId="438"/>
    <tableColumn id="15972" xr3:uid="{0CA09261-F63C-4DE5-80D2-757B2C4F1E32}" name="Column15948" dataDxfId="437"/>
    <tableColumn id="15973" xr3:uid="{3930F54E-805B-4DE4-AFE4-B9918F5ECA98}" name="Column15949" dataDxfId="436"/>
    <tableColumn id="15974" xr3:uid="{AFB77E60-047D-42E9-A1EE-BA00F3606B59}" name="Column15950" dataDxfId="435"/>
    <tableColumn id="15975" xr3:uid="{4AB7CD86-DECA-469B-9871-7387D2C9E51E}" name="Column15951" dataDxfId="434"/>
    <tableColumn id="15976" xr3:uid="{A70F2AFA-2526-43DF-9240-B7D1144730ED}" name="Column15952" dataDxfId="433"/>
    <tableColumn id="15977" xr3:uid="{F8184F4A-3853-46DE-B320-71161CF8E45B}" name="Column15953" dataDxfId="432"/>
    <tableColumn id="15978" xr3:uid="{20ABCB0E-7D7E-4A4B-9E8D-6804FE8645A4}" name="Column15954" dataDxfId="431"/>
    <tableColumn id="15979" xr3:uid="{E257697D-18E5-4D3C-B1C5-F06B41BB2336}" name="Column15955" dataDxfId="430"/>
    <tableColumn id="15980" xr3:uid="{957D787B-7B4C-4800-A231-C123454F56A8}" name="Column15956" dataDxfId="429"/>
    <tableColumn id="15981" xr3:uid="{FFC2521E-B4DD-42D8-A434-FF6F453AA4BD}" name="Column15957" dataDxfId="428"/>
    <tableColumn id="15982" xr3:uid="{03120FED-CBAA-413B-902F-785D660A4B49}" name="Column15958" dataDxfId="427"/>
    <tableColumn id="15983" xr3:uid="{63AE96C6-1968-4862-A3CF-3B617550CDCC}" name="Column15959" dataDxfId="426"/>
    <tableColumn id="15984" xr3:uid="{E8638EA0-9E0F-4E5B-AFA8-29F61851C1CC}" name="Column15960" dataDxfId="425"/>
    <tableColumn id="15985" xr3:uid="{E1A36BC6-D022-4B80-BCDF-A95D6DF8607A}" name="Column15961" dataDxfId="424"/>
    <tableColumn id="15986" xr3:uid="{2338CF8E-7D15-4023-9519-300B349417DF}" name="Column15962" dataDxfId="423"/>
    <tableColumn id="15987" xr3:uid="{7D45F673-98AB-43D5-9C10-2DB8B2003406}" name="Column15963" dataDxfId="422"/>
    <tableColumn id="15988" xr3:uid="{34AF760B-9E3D-42D7-AC8F-27A4AF883295}" name="Column15964" dataDxfId="421"/>
    <tableColumn id="15989" xr3:uid="{A421FB9E-154A-4825-B947-6D9EF54DB5C6}" name="Column15965" dataDxfId="420"/>
    <tableColumn id="15990" xr3:uid="{5A2A1F3A-77DD-45A1-AF41-82DFC4AF5F42}" name="Column15966" dataDxfId="419"/>
    <tableColumn id="15991" xr3:uid="{84C01EB4-4602-491A-A3FC-37B2262BEB99}" name="Column15967" dataDxfId="418"/>
    <tableColumn id="15992" xr3:uid="{09ED2AB0-6A47-4C59-9646-D6AC5A742B68}" name="Column15968" dataDxfId="417"/>
    <tableColumn id="15993" xr3:uid="{E0EE31A5-EF3A-4561-8432-E892C8A81D2B}" name="Column15969" dataDxfId="416"/>
    <tableColumn id="15994" xr3:uid="{DB19A5C7-2D73-4BD9-8DA4-F6ECAC41EB75}" name="Column15970" dataDxfId="415"/>
    <tableColumn id="15995" xr3:uid="{A47B9758-65DE-4AD3-8396-6E8D636AEEA1}" name="Column15971" dataDxfId="414"/>
    <tableColumn id="15996" xr3:uid="{8D97956B-5FB8-463D-8405-0E9575FD2781}" name="Column15972" dataDxfId="413"/>
    <tableColumn id="15997" xr3:uid="{6463BC51-6AD4-4892-AACD-327668825AB7}" name="Column15973" dataDxfId="412"/>
    <tableColumn id="15998" xr3:uid="{FCFD0EAF-6C26-4288-91C4-9FCE30226A40}" name="Column15974" dataDxfId="411"/>
    <tableColumn id="15999" xr3:uid="{30A2F0E8-7719-4BBB-99BC-699063713126}" name="Column15975" dataDxfId="410"/>
    <tableColumn id="16000" xr3:uid="{5B4E8A11-8661-4164-9083-B3762BE9DF67}" name="Column15976" dataDxfId="409"/>
    <tableColumn id="16001" xr3:uid="{DB5ED5EF-6E16-4FFE-95E3-0348C9D54A09}" name="Column15977" dataDxfId="408"/>
    <tableColumn id="16002" xr3:uid="{906F1EED-3FC3-4CF5-B2FA-6B8C675B388C}" name="Column15978" dataDxfId="407"/>
    <tableColumn id="16003" xr3:uid="{923AB315-84EE-433E-A03E-0348FCC9E81C}" name="Column15979" dataDxfId="406"/>
    <tableColumn id="16004" xr3:uid="{AC24E92B-C8F0-48E3-95F6-53B17A720CB5}" name="Column15980" dataDxfId="405"/>
    <tableColumn id="16005" xr3:uid="{AA2C88BE-EE66-4E85-9E20-E10DA77EE3F1}" name="Column15981" dataDxfId="404"/>
    <tableColumn id="16006" xr3:uid="{0C5ADCB0-378B-49BF-95E4-6BF41AB512D1}" name="Column15982" dataDxfId="403"/>
    <tableColumn id="16007" xr3:uid="{EE372178-FE15-4A3C-8957-C019E35ADFBF}" name="Column15983" dataDxfId="402"/>
    <tableColumn id="16008" xr3:uid="{F159F8AC-A9B2-4B9D-A09E-971468C1A195}" name="Column15984" dataDxfId="401"/>
    <tableColumn id="16009" xr3:uid="{8043C61E-3524-46B1-8797-F2BDBD8A28FA}" name="Column15985" dataDxfId="400"/>
    <tableColumn id="16010" xr3:uid="{29A61E51-1523-49B6-BED2-40A5F456FC84}" name="Column15986" dataDxfId="399"/>
    <tableColumn id="16011" xr3:uid="{23D61334-4669-4D80-A06B-B6514BF8345B}" name="Column15987" dataDxfId="398"/>
    <tableColumn id="16012" xr3:uid="{07CE22F3-9D6B-47B0-8EDB-5119A2448567}" name="Column15988" dataDxfId="397"/>
    <tableColumn id="16013" xr3:uid="{EA01894C-EC6A-4627-9127-2A99E3648B83}" name="Column15989" dataDxfId="396"/>
    <tableColumn id="16014" xr3:uid="{D5932C66-23F9-4C04-AEA2-88BA98C3ED1D}" name="Column15990" dataDxfId="395"/>
    <tableColumn id="16015" xr3:uid="{7967093B-2781-49AA-B38E-5B1D36B6C2BB}" name="Column15991" dataDxfId="394"/>
    <tableColumn id="16016" xr3:uid="{8D6A4A35-0307-4E88-860A-504DACF56FFF}" name="Column15992" dataDxfId="393"/>
    <tableColumn id="16017" xr3:uid="{0DCFA2A2-FB47-4FB9-AFEA-3678C8512913}" name="Column15993" dataDxfId="392"/>
    <tableColumn id="16018" xr3:uid="{F493645D-F58E-48B8-BCB0-180BD281EAA3}" name="Column15994" dataDxfId="391"/>
    <tableColumn id="16019" xr3:uid="{ACA94749-590F-4BB5-914A-DB578110C44C}" name="Column15995" dataDxfId="390"/>
    <tableColumn id="16020" xr3:uid="{26C4BE70-FC72-4654-BB0B-990D9CE33AE9}" name="Column15996" dataDxfId="389"/>
    <tableColumn id="16021" xr3:uid="{EEB18748-A378-441A-B6B5-CF1D48D80C46}" name="Column15997" dataDxfId="388"/>
    <tableColumn id="16022" xr3:uid="{B07D0CD2-A793-43E6-8413-FA509DA96664}" name="Column15998" dataDxfId="387"/>
    <tableColumn id="16023" xr3:uid="{A90AB1BB-EAF1-49F9-AEFD-F53942CFEEC5}" name="Column15999" dataDxfId="386"/>
    <tableColumn id="16024" xr3:uid="{E70D1369-F3E7-4408-BECA-783DA0B6936F}" name="Column16000" dataDxfId="385"/>
    <tableColumn id="16025" xr3:uid="{9CB27667-6B1C-4594-8F07-DEF96DC0DD67}" name="Column16001" dataDxfId="384"/>
    <tableColumn id="16026" xr3:uid="{099B2E74-4202-4BCF-9BBF-E05F960C4AA2}" name="Column16002" dataDxfId="383"/>
    <tableColumn id="16027" xr3:uid="{437DFEE4-8FC8-431E-AABC-5B6777790B39}" name="Column16003" dataDxfId="382"/>
    <tableColumn id="16028" xr3:uid="{1527471D-CE53-4363-AE3C-C5522BCD5E0A}" name="Column16004" dataDxfId="381"/>
    <tableColumn id="16029" xr3:uid="{36237CD9-F5D2-4641-9F1E-90CD326CEEDE}" name="Column16005" dataDxfId="380"/>
    <tableColumn id="16030" xr3:uid="{60D659C4-5A84-475D-83A5-41DA9F47F11C}" name="Column16006" dataDxfId="379"/>
    <tableColumn id="16031" xr3:uid="{E980181D-BAAA-4E63-82AB-BEEC73378EA9}" name="Column16007" dataDxfId="378"/>
    <tableColumn id="16032" xr3:uid="{FD10F1A7-1753-453E-93EA-5F7BDBF214B6}" name="Column16008" dataDxfId="377"/>
    <tableColumn id="16033" xr3:uid="{DC355847-422E-4594-ADEB-345917CF5CFF}" name="Column16009" dataDxfId="376"/>
    <tableColumn id="16034" xr3:uid="{B383FA72-498E-4724-99E4-9B19460BCD56}" name="Column16010" dataDxfId="375"/>
    <tableColumn id="16035" xr3:uid="{869CB3FD-A90E-4EE0-9A51-95181A2AF874}" name="Column16011" dataDxfId="374"/>
    <tableColumn id="16036" xr3:uid="{FAF1ABBF-5FE8-4821-BF0C-C59A9C39A429}" name="Column16012" dataDxfId="373"/>
    <tableColumn id="16037" xr3:uid="{02031566-60DD-46FA-825A-D9BB0C53178A}" name="Column16013" dataDxfId="372"/>
    <tableColumn id="16038" xr3:uid="{ADA181C3-953B-4E42-AF8B-3FB54CC18652}" name="Column16014" dataDxfId="371"/>
    <tableColumn id="16039" xr3:uid="{C682DC96-C6DB-4A54-9403-19A199F7858D}" name="Column16015" dataDxfId="370"/>
    <tableColumn id="16040" xr3:uid="{518C345B-A6B8-4989-A846-7C10A8735D22}" name="Column16016" dataDxfId="369"/>
    <tableColumn id="16041" xr3:uid="{812A142B-987A-48BD-9EEC-D49E5172E40B}" name="Column16017" dataDxfId="368"/>
    <tableColumn id="16042" xr3:uid="{4E815AA5-B3B4-40FA-9999-3339711E6FC9}" name="Column16018" dataDxfId="367"/>
    <tableColumn id="16043" xr3:uid="{820F505D-F29E-4C71-A8DD-B6C5DCB9ED44}" name="Column16019" dataDxfId="366"/>
    <tableColumn id="16044" xr3:uid="{49D7A0B8-7752-46CC-9F50-F93E77CB603C}" name="Column16020" dataDxfId="365"/>
    <tableColumn id="16045" xr3:uid="{5A7BBFBE-FBE9-40EF-8D42-57D4AF63C3B5}" name="Column16021" dataDxfId="364"/>
    <tableColumn id="16046" xr3:uid="{1707DFBF-8F9B-41A4-9919-9DCBAA364B6F}" name="Column16022" dataDxfId="363"/>
    <tableColumn id="16047" xr3:uid="{79314BEA-4B30-4D6F-BB6F-49143C24C1A0}" name="Column16023" dataDxfId="362"/>
    <tableColumn id="16048" xr3:uid="{A09C1BBB-1E0A-41AC-AF85-1CC5B8578515}" name="Column16024" dataDxfId="361"/>
    <tableColumn id="16049" xr3:uid="{B0F291A9-99AF-47E5-AFA8-503214D62AFF}" name="Column16025" dataDxfId="360"/>
    <tableColumn id="16050" xr3:uid="{5BD20961-D513-49F1-A703-0EBD13B1634D}" name="Column16026" dataDxfId="359"/>
    <tableColumn id="16051" xr3:uid="{02DBD6F5-CCB5-4FE7-B661-C7952275E273}" name="Column16027" dataDxfId="358"/>
    <tableColumn id="16052" xr3:uid="{6E210218-2A15-4C45-9F29-D89A3F259684}" name="Column16028" dataDxfId="357"/>
    <tableColumn id="16053" xr3:uid="{0D1032AB-A0BC-44AB-B0CB-CA78D2F41A48}" name="Column16029" dataDxfId="356"/>
    <tableColumn id="16054" xr3:uid="{47ABC1AF-768E-4821-BC23-5B6F86A4596C}" name="Column16030" dataDxfId="355"/>
    <tableColumn id="16055" xr3:uid="{0D1113B4-EE89-4B63-87D7-9DC97EE8CBFF}" name="Column16031" dataDxfId="354"/>
    <tableColumn id="16056" xr3:uid="{014E9795-2CCD-46C0-9220-9173A23A7F95}" name="Column16032" dataDxfId="353"/>
    <tableColumn id="16057" xr3:uid="{90C0735A-3F56-430E-A5C8-50A4E9398BA4}" name="Column16033" dataDxfId="352"/>
    <tableColumn id="16058" xr3:uid="{3F1F34F4-000E-4746-AFC3-8425C11FFE12}" name="Column16034" dataDxfId="351"/>
    <tableColumn id="16059" xr3:uid="{F273784B-9A2F-46E4-AF8E-816908C8B3AB}" name="Column16035" dataDxfId="350"/>
    <tableColumn id="16060" xr3:uid="{28B77B56-6269-4328-8769-8C2348F95F95}" name="Column16036" dataDxfId="349"/>
    <tableColumn id="16061" xr3:uid="{748ADE79-F371-48EB-9A00-C9333BFCF332}" name="Column16037" dataDxfId="348"/>
    <tableColumn id="16062" xr3:uid="{8D6AA0CF-9C2C-4327-A839-DAE0434CB3D5}" name="Column16038" dataDxfId="347"/>
    <tableColumn id="16063" xr3:uid="{DB88BF1E-6D44-4FDE-A269-E1FFB5CC6D59}" name="Column16039" dataDxfId="346"/>
    <tableColumn id="16064" xr3:uid="{0D0C6748-A6AC-43C1-BA96-5F75CD860930}" name="Column16040" dataDxfId="345"/>
    <tableColumn id="16065" xr3:uid="{E237A564-D30F-46AA-97AD-A7503A2B8666}" name="Column16041" dataDxfId="344"/>
    <tableColumn id="16066" xr3:uid="{881B7123-F699-4708-9C73-999B9EE78FAE}" name="Column16042" dataDxfId="343"/>
    <tableColumn id="16067" xr3:uid="{8D697240-A065-45DB-AFF1-169F1D110F36}" name="Column16043" dataDxfId="342"/>
    <tableColumn id="16068" xr3:uid="{55B12094-38B0-435A-B501-2E317A630C70}" name="Column16044" dataDxfId="341"/>
    <tableColumn id="16069" xr3:uid="{929633F3-28D1-49CD-B057-AD595E1A7BCC}" name="Column16045" dataDxfId="340"/>
    <tableColumn id="16070" xr3:uid="{295724FE-F92E-460F-BD7D-C3B8BECEE1A6}" name="Column16046" dataDxfId="339"/>
    <tableColumn id="16071" xr3:uid="{A015E87B-FBE8-45B7-9101-8DF4BF01AC68}" name="Column16047" dataDxfId="338"/>
    <tableColumn id="16072" xr3:uid="{945D24F9-657A-46FA-BB61-C9223BC440ED}" name="Column16048" dataDxfId="337"/>
    <tableColumn id="16073" xr3:uid="{7D5DEAEC-8CFA-43FB-8F36-DDCBF22C9BAC}" name="Column16049" dataDxfId="336"/>
    <tableColumn id="16074" xr3:uid="{A514EAF2-E519-4460-8E7A-192206F93F66}" name="Column16050" dataDxfId="335"/>
    <tableColumn id="16075" xr3:uid="{3771D865-CF6F-4122-8758-A0DE14BAA283}" name="Column16051" dataDxfId="334"/>
    <tableColumn id="16076" xr3:uid="{55B78CD1-1562-44BD-B0F0-BE2D63D66FD4}" name="Column16052" dataDxfId="333"/>
    <tableColumn id="16077" xr3:uid="{8B612DEE-0D7B-4BF7-8EA6-BEA886509F9F}" name="Column16053" dataDxfId="332"/>
    <tableColumn id="16078" xr3:uid="{BD80E6FA-7A92-437A-9F98-F03457A16C2B}" name="Column16054" dataDxfId="331"/>
    <tableColumn id="16079" xr3:uid="{A67AE9A2-8D77-40C7-BDB1-86A42466E0B2}" name="Column16055" dataDxfId="330"/>
    <tableColumn id="16080" xr3:uid="{4F646CDF-F5A3-4A15-963D-D4B6106A5064}" name="Column16056" dataDxfId="329"/>
    <tableColumn id="16081" xr3:uid="{1E1CE481-BB46-4472-85FB-BF0FA26EE641}" name="Column16057" dataDxfId="328"/>
    <tableColumn id="16082" xr3:uid="{DACFDAAB-7F86-4636-B9C0-F815AD1B88B0}" name="Column16058" dataDxfId="327"/>
    <tableColumn id="16083" xr3:uid="{5FE9CDA4-34B0-4519-9966-280ED6E970FC}" name="Column16059" dataDxfId="326"/>
    <tableColumn id="16084" xr3:uid="{AF808006-CF94-4E11-AA76-D89AD1685421}" name="Column16060" dataDxfId="325"/>
    <tableColumn id="16085" xr3:uid="{129A5F40-030F-434B-A987-DDA732942372}" name="Column16061" dataDxfId="324"/>
    <tableColumn id="16086" xr3:uid="{F8BF3894-67FE-4678-8BD3-7040E1BFDBEE}" name="Column16062" dataDxfId="323"/>
    <tableColumn id="16087" xr3:uid="{7DD40C27-156E-456A-B798-35D912923D8C}" name="Column16063" dataDxfId="322"/>
    <tableColumn id="16088" xr3:uid="{A34021D6-B723-4126-B6CD-0681B1DFFF84}" name="Column16064" dataDxfId="321"/>
    <tableColumn id="16089" xr3:uid="{0B456FD9-EC3D-49D6-9851-000A48670290}" name="Column16065" dataDxfId="320"/>
    <tableColumn id="16090" xr3:uid="{C0EDB764-5C87-43EA-A9E6-089063A98B5C}" name="Column16066" dataDxfId="319"/>
    <tableColumn id="16091" xr3:uid="{B5683997-9979-4D0C-9F9C-C5B1E88B301B}" name="Column16067" dataDxfId="318"/>
    <tableColumn id="16092" xr3:uid="{AB6E6B22-306E-46DD-9193-32B2B27B12E3}" name="Column16068" dataDxfId="317"/>
    <tableColumn id="16093" xr3:uid="{DACEEA5B-595D-4A77-8DDD-052C4357D232}" name="Column16069" dataDxfId="316"/>
    <tableColumn id="16094" xr3:uid="{335F1574-1308-40F7-90C9-EA5F2D8ACECC}" name="Column16070" dataDxfId="315"/>
    <tableColumn id="16095" xr3:uid="{17113D6F-9C56-42DF-B737-50F61D5B5A71}" name="Column16071" dataDxfId="314"/>
    <tableColumn id="16096" xr3:uid="{BA2BC956-FEBD-4776-87C3-AB04595EE159}" name="Column16072" dataDxfId="313"/>
    <tableColumn id="16097" xr3:uid="{E6517661-5280-4CBA-AB22-00512C404DE9}" name="Column16073" dataDxfId="312"/>
    <tableColumn id="16098" xr3:uid="{9E1762CA-BBD1-4582-BC85-612E22447F9E}" name="Column16074" dataDxfId="311"/>
    <tableColumn id="16099" xr3:uid="{6DB36820-EDE9-4DA5-8E2D-D4A2629219C9}" name="Column16075" dataDxfId="310"/>
    <tableColumn id="16100" xr3:uid="{F32F8500-DA00-4B3E-803C-4A434304A775}" name="Column16076" dataDxfId="309"/>
    <tableColumn id="16101" xr3:uid="{9EA64521-E961-410F-8A3B-61FF9D369E73}" name="Column16077" dataDxfId="308"/>
    <tableColumn id="16102" xr3:uid="{C1C5084A-D0AF-4848-A68C-91B02F63B136}" name="Column16078" dataDxfId="307"/>
    <tableColumn id="16103" xr3:uid="{801B97F3-C968-46AF-BA41-6C1D1E1EE0AE}" name="Column16079" dataDxfId="306"/>
    <tableColumn id="16104" xr3:uid="{F09CDCB7-338D-49CA-B430-C743E5EF3203}" name="Column16080" dataDxfId="305"/>
    <tableColumn id="16105" xr3:uid="{080F30CE-5A06-497C-BB01-249EB27CCCA5}" name="Column16081" dataDxfId="304"/>
    <tableColumn id="16106" xr3:uid="{E112178E-EF97-44FF-9D64-AEBC2987A281}" name="Column16082" dataDxfId="303"/>
    <tableColumn id="16107" xr3:uid="{AB4B45BE-FBED-40D0-A0E3-04259885A6E1}" name="Column16083" dataDxfId="302"/>
    <tableColumn id="16108" xr3:uid="{B14F16FE-C2E9-4DF4-B6AE-B60D26BCF739}" name="Column16084" dataDxfId="301"/>
    <tableColumn id="16109" xr3:uid="{3FFC4DF0-DFFF-4C8B-A320-B0C00FCC7B37}" name="Column16085" dataDxfId="300"/>
    <tableColumn id="16110" xr3:uid="{50018066-1378-42E0-ACED-407067C39E07}" name="Column16086" dataDxfId="299"/>
    <tableColumn id="16111" xr3:uid="{CE459F10-611F-47BD-AAB0-26EE47B44CB1}" name="Column16087" dataDxfId="298"/>
    <tableColumn id="16112" xr3:uid="{0B865448-0126-4C6D-B291-81BD04F97778}" name="Column16088" dataDxfId="297"/>
    <tableColumn id="16113" xr3:uid="{6C713167-72FC-4AE3-97B8-135FAB4193BA}" name="Column16089" dataDxfId="296"/>
    <tableColumn id="16114" xr3:uid="{E0D046E0-EEAC-418D-97F1-64087AC20F27}" name="Column16090" dataDxfId="295"/>
    <tableColumn id="16115" xr3:uid="{BF46269D-BB5B-40E0-9376-FA463C946D31}" name="Column16091" dataDxfId="294"/>
    <tableColumn id="16116" xr3:uid="{BFF83DF6-28D6-4C10-95CE-A653056A6E32}" name="Column16092" dataDxfId="293"/>
    <tableColumn id="16117" xr3:uid="{3DE0F3B8-6F81-4F2A-A863-9EFA438A301B}" name="Column16093" dataDxfId="292"/>
    <tableColumn id="16118" xr3:uid="{9DC55F66-C11E-45D7-AB15-B64268291486}" name="Column16094" dataDxfId="291"/>
    <tableColumn id="16119" xr3:uid="{24C65865-ECDB-49FA-904C-9C885DC07F8C}" name="Column16095" dataDxfId="290"/>
    <tableColumn id="16120" xr3:uid="{74D46E5E-B62C-4ECA-8835-5D511A78D451}" name="Column16096" dataDxfId="289"/>
    <tableColumn id="16121" xr3:uid="{D629B22B-4625-4DE7-B9CC-FE558E9B1F34}" name="Column16097" dataDxfId="288"/>
    <tableColumn id="16122" xr3:uid="{3E6DD5F6-011B-41EB-A0BB-2099C7E17779}" name="Column16098" dataDxfId="287"/>
    <tableColumn id="16123" xr3:uid="{5568FFD2-D3DA-4FF3-8A36-91178C058C62}" name="Column16099" dataDxfId="286"/>
    <tableColumn id="16124" xr3:uid="{7878092F-1084-49F7-85BD-63B603F04BF0}" name="Column16100" dataDxfId="285"/>
    <tableColumn id="16125" xr3:uid="{2B31070C-2B47-44D1-9B2A-FF13FB5261AD}" name="Column16101" dataDxfId="284"/>
    <tableColumn id="16126" xr3:uid="{D7E0E552-A571-4A1D-AFE0-36BF50B36B44}" name="Column16102" dataDxfId="283"/>
    <tableColumn id="16127" xr3:uid="{5D8842A9-3AE8-42B6-9802-363811565A1A}" name="Column16103" dataDxfId="282"/>
    <tableColumn id="16128" xr3:uid="{49D3F1D8-BCA8-40BA-8975-27983014B8C5}" name="Column16104" dataDxfId="281"/>
    <tableColumn id="16129" xr3:uid="{95D84036-8E1C-4058-A6F1-DC0D5B46DA0F}" name="Column16105" dataDxfId="280"/>
    <tableColumn id="16130" xr3:uid="{D59C7F98-5A7E-4FC0-8F66-480E2E21017C}" name="Column16106" dataDxfId="279"/>
    <tableColumn id="16131" xr3:uid="{9BC02A6C-1D99-4076-A877-ABDE5FDFFCFE}" name="Column16107" dataDxfId="278"/>
    <tableColumn id="16132" xr3:uid="{A1E2ACF0-D5ED-4B41-92D7-1EB4229E0E19}" name="Column16108" dataDxfId="277"/>
    <tableColumn id="16133" xr3:uid="{6DC1A575-AC6F-4DA3-BF1E-16A2F63805D9}" name="Column16109" dataDxfId="276"/>
    <tableColumn id="16134" xr3:uid="{1862B1F7-FAA2-434C-9398-FFC409612C16}" name="Column16110" dataDxfId="275"/>
    <tableColumn id="16135" xr3:uid="{4292ABA3-F09E-4CB3-BB72-45F2A641E5EA}" name="Column16111" dataDxfId="274"/>
    <tableColumn id="16136" xr3:uid="{60C042CC-2476-4F2A-9723-2CD554A31975}" name="Column16112" dataDxfId="273"/>
    <tableColumn id="16137" xr3:uid="{74CA3C90-87EB-4553-BD23-228C804B35D6}" name="Column16113" dataDxfId="272"/>
    <tableColumn id="16138" xr3:uid="{5A204CBF-5709-4238-85CF-E55AE89F2F27}" name="Column16114" dataDxfId="271"/>
    <tableColumn id="16139" xr3:uid="{8788145C-D147-483C-8265-2BF05D563F58}" name="Column16115" dataDxfId="270"/>
    <tableColumn id="16140" xr3:uid="{CF7DA77C-F401-43AC-8958-A5EC03C79EC3}" name="Column16116" dataDxfId="269"/>
    <tableColumn id="16141" xr3:uid="{B3DC9DFA-2728-447C-9A77-CE484786E787}" name="Column16117" dataDxfId="268"/>
    <tableColumn id="16142" xr3:uid="{51AF2962-432D-4BD9-A4AB-1AEAE45CED01}" name="Column16118" dataDxfId="267"/>
    <tableColumn id="16143" xr3:uid="{32E59991-710E-441A-9AE0-9286F54C660A}" name="Column16119" dataDxfId="266"/>
    <tableColumn id="16144" xr3:uid="{9174CF12-E141-4BDD-9A2E-8B92A8091C77}" name="Column16120" dataDxfId="265"/>
    <tableColumn id="16145" xr3:uid="{279BFD00-3F6A-4BAA-B314-A4A0EEC95322}" name="Column16121" dataDxfId="264"/>
    <tableColumn id="16146" xr3:uid="{1C9C45EC-7025-403A-9741-674DB5F582D2}" name="Column16122" dataDxfId="263"/>
    <tableColumn id="16147" xr3:uid="{9E2F3FC9-83B4-4668-828D-A728AF279A3C}" name="Column16123" dataDxfId="262"/>
    <tableColumn id="16148" xr3:uid="{5D0DAA86-BA45-4DEA-A2BF-51B452BE06F1}" name="Column16124" dataDxfId="261"/>
    <tableColumn id="16149" xr3:uid="{E86E9C19-EE35-4279-850F-45485B888029}" name="Column16125" dataDxfId="260"/>
    <tableColumn id="16150" xr3:uid="{013540B1-FD06-4FD3-A480-AC696436367D}" name="Column16126" dataDxfId="259"/>
    <tableColumn id="16151" xr3:uid="{F94A871A-44C3-44EF-936C-984986D21C73}" name="Column16127" dataDxfId="258"/>
    <tableColumn id="16152" xr3:uid="{0F89DF16-D8CA-40D5-BF45-CCE54321ABC1}" name="Column16128" dataDxfId="257"/>
    <tableColumn id="16153" xr3:uid="{E42FFD5D-788E-47C1-808B-AB89E4E8E1A8}" name="Column16129" dataDxfId="256"/>
    <tableColumn id="16154" xr3:uid="{6CFE29EC-38CF-418B-A09E-BC7415E42974}" name="Column16130" dataDxfId="255"/>
    <tableColumn id="16155" xr3:uid="{5A682761-7E8E-46CD-BF0A-132D73708503}" name="Column16131" dataDxfId="254"/>
    <tableColumn id="16156" xr3:uid="{9F6C985E-045C-43A8-8306-BF74C9F8234D}" name="Column16132" dataDxfId="253"/>
    <tableColumn id="16157" xr3:uid="{DC546CCF-FDC1-4490-8A8E-1E7940AC633B}" name="Column16133" dataDxfId="252"/>
    <tableColumn id="16158" xr3:uid="{CC3038F7-F571-462E-B1B4-CFECB8BCA636}" name="Column16134" dataDxfId="251"/>
    <tableColumn id="16159" xr3:uid="{E4D84BC3-66D2-4427-B0E8-3569BE4154CC}" name="Column16135" dataDxfId="250"/>
    <tableColumn id="16160" xr3:uid="{7CF33A62-C259-48E6-A24B-4A3208DDE4F0}" name="Column16136" dataDxfId="249"/>
    <tableColumn id="16161" xr3:uid="{1CE44942-1AC1-4341-9B27-77D8F7136658}" name="Column16137" dataDxfId="248"/>
    <tableColumn id="16162" xr3:uid="{910CD75A-0D1D-4F55-8B0A-CAE533E73843}" name="Column16138" dataDxfId="247"/>
    <tableColumn id="16163" xr3:uid="{7AAFE6D8-B09B-4718-96AA-E7DA8E4D43A8}" name="Column16139" dataDxfId="246"/>
    <tableColumn id="16164" xr3:uid="{4BCC9290-2A3F-4DD8-8442-37317191C24C}" name="Column16140" dataDxfId="245"/>
    <tableColumn id="16165" xr3:uid="{EEB45810-4162-48FA-A464-019B350A581C}" name="Column16141" dataDxfId="244"/>
    <tableColumn id="16166" xr3:uid="{2B8C135B-5978-44B8-B28E-BBB114F2A91C}" name="Column16142" dataDxfId="243"/>
    <tableColumn id="16167" xr3:uid="{B6E22698-EA43-4F44-966E-4CE3847FCDBD}" name="Column16143" dataDxfId="242"/>
    <tableColumn id="16168" xr3:uid="{87EB2D59-1FE7-404B-B6CE-E6B0D800A5D8}" name="Column16144" dataDxfId="241"/>
    <tableColumn id="16169" xr3:uid="{C3005994-E85D-4852-980E-D6D4467F58A2}" name="Column16145" dataDxfId="240"/>
    <tableColumn id="16170" xr3:uid="{9BB2D6E4-D18A-4E8A-AD4D-5B9DB06070BA}" name="Column16146" dataDxfId="239"/>
    <tableColumn id="16171" xr3:uid="{93ACCEEA-941A-46B1-8624-8B4EE78F5F07}" name="Column16147" dataDxfId="238"/>
    <tableColumn id="16172" xr3:uid="{32A5BA16-25C3-471F-8FA6-06DB0C543A48}" name="Column16148" dataDxfId="237"/>
    <tableColumn id="16173" xr3:uid="{95CFA2B4-C55F-4F4B-8367-7A41BD2469FF}" name="Column16149" dataDxfId="236"/>
    <tableColumn id="16174" xr3:uid="{91241FCF-810F-4A01-A134-C12EB9AE1939}" name="Column16150" dataDxfId="235"/>
    <tableColumn id="16175" xr3:uid="{F94F4EE3-00C5-42E3-89D5-3F6E1D5F01F9}" name="Column16151" dataDxfId="234"/>
    <tableColumn id="16176" xr3:uid="{1114F445-34C9-4946-81AB-1B8B469183BF}" name="Column16152" dataDxfId="233"/>
    <tableColumn id="16177" xr3:uid="{D5055079-F6E0-4CFD-9F3B-11042BD928BF}" name="Column16153" dataDxfId="232"/>
    <tableColumn id="16178" xr3:uid="{C385D2AE-E50C-4F5F-8240-E04BA24014BA}" name="Column16154" dataDxfId="231"/>
    <tableColumn id="16179" xr3:uid="{F392FA65-1BAB-40B5-8C1A-3DCD671F9F41}" name="Column16155" dataDxfId="230"/>
    <tableColumn id="16180" xr3:uid="{D34B52F3-AB49-49F7-906D-F1A70A72C0F6}" name="Column16156" dataDxfId="229"/>
    <tableColumn id="16181" xr3:uid="{5E0A3EC6-F84E-4FBF-B9EE-FC16581ED344}" name="Column16157" dataDxfId="228"/>
    <tableColumn id="16182" xr3:uid="{DB2A8C9B-D1AA-4BB1-BAC9-D66756484349}" name="Column16158" dataDxfId="227"/>
    <tableColumn id="16183" xr3:uid="{881E3A1A-08C0-49E1-94BA-0FFAACE9A4ED}" name="Column16159" dataDxfId="226"/>
    <tableColumn id="16184" xr3:uid="{0290A755-745D-40D1-88C3-717382DAC693}" name="Column16160" dataDxfId="225"/>
    <tableColumn id="16185" xr3:uid="{EBF8B7FC-D915-47D2-8062-AF1282BAE39B}" name="Column16161" dataDxfId="224"/>
    <tableColumn id="16186" xr3:uid="{664D01B5-5A88-4079-BB7B-B2FAD1E57A88}" name="Column16162" dataDxfId="223"/>
    <tableColumn id="16187" xr3:uid="{D787A92B-9D60-4260-97D7-A15465095B0A}" name="Column16163" dataDxfId="222"/>
    <tableColumn id="16188" xr3:uid="{6908B34E-0811-4220-8BFF-8793C6F4910F}" name="Column16164" dataDxfId="221"/>
    <tableColumn id="16189" xr3:uid="{494A5D24-7698-4F54-B8C3-149805F4A7B9}" name="Column16165" dataDxfId="220"/>
    <tableColumn id="16190" xr3:uid="{40A56070-F6E1-403F-B296-6E7F54920314}" name="Column16166" dataDxfId="219"/>
    <tableColumn id="16191" xr3:uid="{33BBFE83-024B-4AB1-BAA9-DAE44CF9C122}" name="Column16167" dataDxfId="218"/>
    <tableColumn id="16192" xr3:uid="{07EA978C-CF9B-4714-A03E-227D1DC402D0}" name="Column16168" dataDxfId="217"/>
    <tableColumn id="16193" xr3:uid="{885789CE-A3E7-4429-B936-37CE7BEC5DC2}" name="Column16169" dataDxfId="216"/>
    <tableColumn id="16194" xr3:uid="{D1B78355-5F0D-4D1D-9CE6-9F8786515508}" name="Column16170" dataDxfId="215"/>
    <tableColumn id="16195" xr3:uid="{95622225-8DCE-46F3-806E-24F939DFD062}" name="Column16171" dataDxfId="214"/>
    <tableColumn id="16196" xr3:uid="{06C81250-51F3-47AF-B4FC-DD44DC61771D}" name="Column16172" dataDxfId="213"/>
    <tableColumn id="16197" xr3:uid="{9636121D-252B-4853-BBDD-6ECC89EFB978}" name="Column16173" dataDxfId="212"/>
    <tableColumn id="16198" xr3:uid="{B23848B4-468A-4B78-A53B-4AA3AAE388A3}" name="Column16174" dataDxfId="211"/>
    <tableColumn id="16199" xr3:uid="{4658A121-891F-4EFA-B7BE-BE180A11AE73}" name="Column16175" dataDxfId="210"/>
    <tableColumn id="16200" xr3:uid="{99DD798C-97A1-41A8-A961-D0677C450DDB}" name="Column16176" dataDxfId="209"/>
    <tableColumn id="16201" xr3:uid="{F2C170F1-532F-414F-84F6-D7A17E7D9A19}" name="Column16177" dataDxfId="208"/>
    <tableColumn id="16202" xr3:uid="{DBFE2855-93B4-4C87-B536-75EA355671E7}" name="Column16178" dataDxfId="207"/>
    <tableColumn id="16203" xr3:uid="{3573A4E1-92CF-4F46-99EA-10F257B1CF3F}" name="Column16179" dataDxfId="206"/>
    <tableColumn id="16204" xr3:uid="{95E47EE7-9E8E-4601-B390-F56D34AFA250}" name="Column16180" dataDxfId="205"/>
    <tableColumn id="16205" xr3:uid="{6557CCD1-6D26-4F0B-B44B-F790E613696D}" name="Column16181" dataDxfId="204"/>
    <tableColumn id="16206" xr3:uid="{97C2C79A-AD0E-4981-8F82-BE54524D8471}" name="Column16182" dataDxfId="203"/>
    <tableColumn id="16207" xr3:uid="{BB80B17A-711F-4EEE-B072-0BE80DAF5222}" name="Column16183" dataDxfId="202"/>
    <tableColumn id="16208" xr3:uid="{BE3A5066-3A01-4025-840F-4B928556B378}" name="Column16184" dataDxfId="201"/>
    <tableColumn id="16209" xr3:uid="{C769EF33-7086-413E-B19D-6B50E85D9872}" name="Column16185" dataDxfId="200"/>
    <tableColumn id="16210" xr3:uid="{566F587C-CEA1-47E0-B46F-3591376FA04E}" name="Column16186" dataDxfId="199"/>
    <tableColumn id="16211" xr3:uid="{075F985B-E0EE-49FC-A1D7-3F036C6D671F}" name="Column16187" dataDxfId="198"/>
    <tableColumn id="16212" xr3:uid="{7127280F-67A8-482A-98C2-2BC687147621}" name="Column16188" dataDxfId="197"/>
    <tableColumn id="16213" xr3:uid="{27AF3323-D634-4D8F-9072-3BC0BD3071E9}" name="Column16189" dataDxfId="196"/>
    <tableColumn id="16214" xr3:uid="{BA3B7341-6BED-4D8E-AD58-2D7C061743DB}" name="Column16190" dataDxfId="195"/>
    <tableColumn id="16215" xr3:uid="{E2366806-9BC0-4A40-BBA7-96D17DF59C5B}" name="Column16191" dataDxfId="194"/>
    <tableColumn id="16216" xr3:uid="{14C004A3-22F7-4F15-803A-F80C8F908DDE}" name="Column16192" dataDxfId="193"/>
    <tableColumn id="16217" xr3:uid="{831D362E-7AA4-4FAA-87A6-34CBE339F3BF}" name="Column16193" dataDxfId="192"/>
    <tableColumn id="16218" xr3:uid="{932EC24A-C64A-4176-A703-E8413E6382B9}" name="Column16194" dataDxfId="191"/>
    <tableColumn id="16219" xr3:uid="{6782E0ED-EE03-4EC0-B6FC-119E53BD6698}" name="Column16195" dataDxfId="190"/>
    <tableColumn id="16220" xr3:uid="{58502BA8-3AED-4F7B-857C-264DB4C6F3F4}" name="Column16196" dataDxfId="189"/>
    <tableColumn id="16221" xr3:uid="{4CBD9354-A6B9-4064-8E1D-4A90DCC3BD9D}" name="Column16197" dataDxfId="188"/>
    <tableColumn id="16222" xr3:uid="{3AC83450-DE33-47E7-B79E-D5CB3FD3128B}" name="Column16198" dataDxfId="187"/>
    <tableColumn id="16223" xr3:uid="{18ECE601-0B0C-4DA1-AFF2-468B8738AA77}" name="Column16199" dataDxfId="186"/>
    <tableColumn id="16224" xr3:uid="{12DEF6F8-BCCF-4390-B020-FD4932420001}" name="Column16200" dataDxfId="185"/>
    <tableColumn id="16225" xr3:uid="{534CCB18-F4B3-4B39-B6A0-6105D9E1ED9F}" name="Column16201" dataDxfId="184"/>
    <tableColumn id="16226" xr3:uid="{DF1E6673-F3C4-49C8-94CB-BA648D120638}" name="Column16202" dataDxfId="183"/>
    <tableColumn id="16227" xr3:uid="{06111030-0C86-4FDA-89FD-58BC2E37B778}" name="Column16203" dataDxfId="182"/>
    <tableColumn id="16228" xr3:uid="{BE48875F-2481-4FFB-B344-9D06A845208D}" name="Column16204" dataDxfId="181"/>
    <tableColumn id="16229" xr3:uid="{4E4DA1B1-A514-4000-9AC0-44D025BF1500}" name="Column16205" dataDxfId="180"/>
    <tableColumn id="16230" xr3:uid="{3D752E09-F503-40FF-9A11-3BAE0E60D932}" name="Column16206" dataDxfId="179"/>
    <tableColumn id="16231" xr3:uid="{FDDB485E-FAC7-422D-BCE1-7969BBDE9654}" name="Column16207" dataDxfId="178"/>
    <tableColumn id="16232" xr3:uid="{E8058A12-2311-4EDB-9DCB-5F891F100DA9}" name="Column16208" dataDxfId="177"/>
    <tableColumn id="16233" xr3:uid="{34213B03-4094-4849-9D35-937ED229B354}" name="Column16209" dataDxfId="176"/>
    <tableColumn id="16234" xr3:uid="{001CD6A6-6265-49DC-B87E-B30EAC27831D}" name="Column16210" dataDxfId="175"/>
    <tableColumn id="16235" xr3:uid="{991C70C6-F2AF-4378-A06C-339ADE9F2283}" name="Column16211" dataDxfId="174"/>
    <tableColumn id="16236" xr3:uid="{D29535CA-CA42-4917-85FA-D8E9087DB757}" name="Column16212" dataDxfId="173"/>
    <tableColumn id="16237" xr3:uid="{784F0863-7C49-49F8-811A-187DA8669989}" name="Column16213" dataDxfId="172"/>
    <tableColumn id="16238" xr3:uid="{8512E8A4-4C49-4AC1-A715-69B221C5E738}" name="Column16214" dataDxfId="171"/>
    <tableColumn id="16239" xr3:uid="{D0A440D6-272D-4515-9191-FDD7B72DDCEC}" name="Column16215" dataDxfId="170"/>
    <tableColumn id="16240" xr3:uid="{3E3BA1D8-D861-409C-B5E8-42019124B4CD}" name="Column16216" dataDxfId="169"/>
    <tableColumn id="16241" xr3:uid="{6526E93C-7DFD-4453-845D-AB1E03A3C507}" name="Column16217" dataDxfId="168"/>
    <tableColumn id="16242" xr3:uid="{0514E63E-6010-4D62-83C0-822DA954270E}" name="Column16218" dataDxfId="167"/>
    <tableColumn id="16243" xr3:uid="{16BEED89-457D-49B1-BCE7-7A7530D9D62E}" name="Column16219" dataDxfId="166"/>
    <tableColumn id="16244" xr3:uid="{06C74B06-BD82-4F78-AB25-1C3E4C0A079C}" name="Column16220" dataDxfId="165"/>
    <tableColumn id="16245" xr3:uid="{52946E43-5587-4A1C-A7A0-69DEFC2AC7A8}" name="Column16221" dataDxfId="164"/>
    <tableColumn id="16246" xr3:uid="{BDFD9A59-C00D-454B-8D44-0AC0D8C45BEF}" name="Column16222" dataDxfId="163"/>
    <tableColumn id="16247" xr3:uid="{82449BE2-BDED-434D-826D-90F1A3633A2D}" name="Column16223" dataDxfId="162"/>
    <tableColumn id="16248" xr3:uid="{5A7CBDD2-E4CA-4665-8358-EDE8D1D4446A}" name="Column16224" dataDxfId="161"/>
    <tableColumn id="16249" xr3:uid="{3390CB67-8232-48A6-AC12-B3F0F216DBEA}" name="Column16225" dataDxfId="160"/>
    <tableColumn id="16250" xr3:uid="{5C165BE0-DC87-4FDF-907D-C3D742E39863}" name="Column16226" dataDxfId="159"/>
    <tableColumn id="16251" xr3:uid="{FFBB94C6-A001-40F8-9538-F5F100BDABD9}" name="Column16227" dataDxfId="158"/>
    <tableColumn id="16252" xr3:uid="{F4144802-3AD1-4D34-AB90-BB00F7CA65C8}" name="Column16228" dataDxfId="157"/>
    <tableColumn id="16253" xr3:uid="{567FD6F8-71C7-4053-8F95-8FB616D5CA4E}" name="Column16229" dataDxfId="156"/>
    <tableColumn id="16254" xr3:uid="{29C8E3FB-90F2-4408-A593-BB6D6B411737}" name="Column16230" dataDxfId="155"/>
    <tableColumn id="16255" xr3:uid="{1FED4466-99DC-47F6-A314-97ED884A9922}" name="Column16231" dataDxfId="154"/>
    <tableColumn id="16256" xr3:uid="{8DFA3F57-B64A-490E-B915-D7D9B05FE150}" name="Column16232" dataDxfId="153"/>
    <tableColumn id="16257" xr3:uid="{9767C2E0-3E96-4B7E-9BA9-62C6C6EECAAF}" name="Column16233" dataDxfId="152"/>
    <tableColumn id="16258" xr3:uid="{FDC6BDFA-992A-4DFC-A975-90410A06A63A}" name="Column16234" dataDxfId="151"/>
    <tableColumn id="16259" xr3:uid="{FED8C054-F77E-49EC-BA4C-60156B2BE7D9}" name="Column16235" dataDxfId="150"/>
    <tableColumn id="16260" xr3:uid="{9F0A7411-8D4F-4B12-BD16-83D1A95C2CA5}" name="Column16236" dataDxfId="149"/>
    <tableColumn id="16261" xr3:uid="{2E0E49A8-9E98-4329-96D0-895B8C2B7AE1}" name="Column16237" dataDxfId="148"/>
    <tableColumn id="16262" xr3:uid="{163C9BE7-2D21-4A76-A67C-2056012CF7F4}" name="Column16238" dataDxfId="147"/>
    <tableColumn id="16263" xr3:uid="{4F00E372-59DF-4BEF-8C2E-12142EDDB3DF}" name="Column16239" dataDxfId="146"/>
    <tableColumn id="16264" xr3:uid="{D7497237-71C7-4E14-9482-7E6E2F5BF580}" name="Column16240" dataDxfId="145"/>
    <tableColumn id="16265" xr3:uid="{841ABABF-F21A-42D8-BA3E-3159792B6722}" name="Column16241" dataDxfId="144"/>
    <tableColumn id="16266" xr3:uid="{7ADB3231-DAFE-42C3-9A9D-F2EF6DC5FBA3}" name="Column16242" dataDxfId="143"/>
    <tableColumn id="16267" xr3:uid="{E78DA19A-C126-44AF-8E78-C198523285D8}" name="Column16243" dataDxfId="142"/>
    <tableColumn id="16268" xr3:uid="{7D794AA3-E59C-4321-9B38-0DA188A263EC}" name="Column16244" dataDxfId="141"/>
    <tableColumn id="16269" xr3:uid="{96B69B0F-25BB-48D3-8513-E89FF50DEBE5}" name="Column16245" dataDxfId="140"/>
    <tableColumn id="16270" xr3:uid="{81483C29-865F-47AB-81DC-A0385605470F}" name="Column16246" dataDxfId="139"/>
    <tableColumn id="16271" xr3:uid="{D598F0C3-4368-4EA9-90A6-20C30015118C}" name="Column16247" dataDxfId="138"/>
    <tableColumn id="16272" xr3:uid="{EF205FCE-B1FA-45E3-984B-0CC0F0699919}" name="Column16248" dataDxfId="137"/>
    <tableColumn id="16273" xr3:uid="{F83F69B8-569D-4202-B533-DC7B28B6A001}" name="Column16249" dataDxfId="136"/>
    <tableColumn id="16274" xr3:uid="{6289A83B-41AA-4B57-A5D9-C962E0F4CD88}" name="Column16250" dataDxfId="135"/>
    <tableColumn id="16275" xr3:uid="{BE25BF07-A812-4E19-8F00-F4FEF56F2DEB}" name="Column16251" dataDxfId="134"/>
    <tableColumn id="16276" xr3:uid="{F8ECBF1C-059B-4D82-8A95-02369172B3A8}" name="Column16252" dataDxfId="133"/>
    <tableColumn id="16277" xr3:uid="{E6D93746-CCB8-4CD0-9271-756DE4272C5F}" name="Column16253" dataDxfId="132"/>
    <tableColumn id="16278" xr3:uid="{F87C5789-B192-4E6F-B7EB-826813A2AAFC}" name="Column16254" dataDxfId="131"/>
    <tableColumn id="16279" xr3:uid="{2B282931-906E-402C-B22C-3D6280B9679E}" name="Column16255" dataDxfId="130"/>
    <tableColumn id="16280" xr3:uid="{747DF4C2-45AC-46BF-A100-03D7CC455AC1}" name="Column16256" dataDxfId="129"/>
    <tableColumn id="16281" xr3:uid="{9250E601-ABB7-459B-9190-8F420BD8CC0E}" name="Column16257" dataDxfId="128"/>
    <tableColumn id="16282" xr3:uid="{F350CB90-8C9E-49D8-AA7B-B852E79ADF34}" name="Column16258" dataDxfId="127"/>
    <tableColumn id="16283" xr3:uid="{6DA910D5-FCB9-4BD1-B3FD-D9A8A67B20EA}" name="Column16259" dataDxfId="126"/>
    <tableColumn id="16284" xr3:uid="{4D4CE174-D62A-4896-9DFC-0931B204316B}" name="Column16260" dataDxfId="125"/>
    <tableColumn id="16285" xr3:uid="{4A4228E1-065E-4F95-9C0C-12D6B109D81D}" name="Column16261" dataDxfId="124"/>
    <tableColumn id="16286" xr3:uid="{5EF355DD-A4F0-4DAC-B1F9-812A61634956}" name="Column16262" dataDxfId="123"/>
    <tableColumn id="16287" xr3:uid="{F9C83082-21C3-4DD6-9A4C-7E904F54CBD6}" name="Column16263" dataDxfId="122"/>
    <tableColumn id="16288" xr3:uid="{69A39F57-4A07-4C7F-8597-2236437662E1}" name="Column16264" dataDxfId="121"/>
    <tableColumn id="16289" xr3:uid="{4A8084F3-3828-46B9-B3B1-D70B70312C03}" name="Column16265" dataDxfId="120"/>
    <tableColumn id="16290" xr3:uid="{D6A3081D-2424-4A6B-AD5B-E4C2766EA684}" name="Column16266" dataDxfId="119"/>
    <tableColumn id="16291" xr3:uid="{5AD52A46-84D7-4E67-9F59-76DEE32AC58B}" name="Column16267" dataDxfId="118"/>
    <tableColumn id="16292" xr3:uid="{28F3423F-8E21-4B7B-BC9D-23538AAD3129}" name="Column16268" dataDxfId="117"/>
    <tableColumn id="16293" xr3:uid="{1380A751-93B0-470D-9E8D-4659673BA67B}" name="Column16269" dataDxfId="116"/>
    <tableColumn id="16294" xr3:uid="{AC5E4FC4-E99D-4F73-A0C7-468631CE9C9A}" name="Column16270" dataDxfId="115"/>
    <tableColumn id="16295" xr3:uid="{23DAAA30-0125-43E6-989E-78628AF74ED5}" name="Column16271" dataDxfId="114"/>
    <tableColumn id="16296" xr3:uid="{2124AF26-9C94-4CC8-8570-61433CE3FEE8}" name="Column16272" dataDxfId="113"/>
    <tableColumn id="16297" xr3:uid="{FC5A6E2D-AB44-4A60-8EC8-65408649D0C0}" name="Column16273" dataDxfId="112"/>
    <tableColumn id="16298" xr3:uid="{EF338630-3F79-427B-8035-A58BD1E42FD0}" name="Column16274" dataDxfId="111"/>
    <tableColumn id="16299" xr3:uid="{6CF78568-EA9A-499B-A8C7-26A070FB2145}" name="Column16275" dataDxfId="110"/>
    <tableColumn id="16300" xr3:uid="{B393DCEC-0A64-4A6E-996E-C46AE79C7BFD}" name="Column16276" dataDxfId="109"/>
    <tableColumn id="16301" xr3:uid="{1073E763-6F0B-47C7-A743-A2C63F1BABC3}" name="Column16277" dataDxfId="108"/>
    <tableColumn id="16302" xr3:uid="{4701C53F-CE1C-4A0E-86D5-C21185E1D42B}" name="Column16278" dataDxfId="107"/>
    <tableColumn id="16303" xr3:uid="{FFF1181E-8F1D-44EA-9D3F-F4983DB17BC4}" name="Column16279" dataDxfId="106"/>
    <tableColumn id="16304" xr3:uid="{36196B82-B918-4587-A671-15950C8187F9}" name="Column16280" dataDxfId="105"/>
    <tableColumn id="16305" xr3:uid="{7137F117-2967-4A54-BF01-8F0A10097FE1}" name="Column16281" dataDxfId="104"/>
    <tableColumn id="16306" xr3:uid="{9556EAC3-BB38-4EE8-BEBE-8CB795337092}" name="Column16282" dataDxfId="103"/>
    <tableColumn id="16307" xr3:uid="{F3E82551-B1EA-428E-8A3C-6809B840B91D}" name="Column16283" dataDxfId="102"/>
    <tableColumn id="16308" xr3:uid="{5651A0B5-6DC2-46AA-B511-B4782DB68C56}" name="Column16284" dataDxfId="101"/>
    <tableColumn id="16309" xr3:uid="{0AD55A21-0FF0-4DBC-ABE4-61025A0C7D1A}" name="Column16285" dataDxfId="100"/>
    <tableColumn id="16310" xr3:uid="{CE0A89FD-4391-49FB-B50C-AC30A5FECC37}" name="Column16286" dataDxfId="99"/>
    <tableColumn id="16311" xr3:uid="{38B046D5-7BFD-4DAE-ACFD-0E3FF94FC083}" name="Column16287" dataDxfId="98"/>
    <tableColumn id="16312" xr3:uid="{1724387B-3BCC-40FA-BFC6-093E6CF4BF58}" name="Column16288" dataDxfId="97"/>
    <tableColumn id="16313" xr3:uid="{0600A0ED-B209-4644-9544-0674E80F4DF7}" name="Column16289" dataDxfId="96"/>
    <tableColumn id="16314" xr3:uid="{516FBDDC-029A-4DFB-8319-68DFBE63096C}" name="Column16290" dataDxfId="95"/>
    <tableColumn id="16315" xr3:uid="{3A989358-A157-4F87-A1E0-F9898D305EC6}" name="Column16291" dataDxfId="94"/>
    <tableColumn id="16316" xr3:uid="{F85F348E-6C98-45B8-8CB3-AA20A403FD11}" name="Column16292" dataDxfId="93"/>
    <tableColumn id="16317" xr3:uid="{DE137E92-18BC-4834-A771-DC16E8CBBC63}" name="Column16293" dataDxfId="92"/>
    <tableColumn id="16318" xr3:uid="{58B1CEE7-3610-4FAF-BF46-28448CCD3473}" name="Column16294" dataDxfId="91"/>
    <tableColumn id="16319" xr3:uid="{BDDF3F75-B3FD-4316-BB99-312F010EEFC8}" name="Column16295" dataDxfId="90"/>
    <tableColumn id="16320" xr3:uid="{D0FDFB38-3921-4E8B-8FE4-ADFC76226E64}" name="Column16296" dataDxfId="89"/>
    <tableColumn id="16321" xr3:uid="{3969F1BF-4A92-4DE0-BB4E-B70F1AE37A39}" name="Column16297" dataDxfId="88"/>
    <tableColumn id="16322" xr3:uid="{5FF91B88-E68E-4662-92CF-746E6E6097AF}" name="Column16298" dataDxfId="87"/>
    <tableColumn id="16323" xr3:uid="{E09C5E08-6B70-4830-B4D3-284C3F984684}" name="Column16299" dataDxfId="86"/>
    <tableColumn id="16324" xr3:uid="{51FF2DED-1A42-4A08-A797-BA88306A644B}" name="Column16300" dataDxfId="85"/>
    <tableColumn id="16325" xr3:uid="{6CD4C50A-E8D4-4992-80DF-FEBC41527AC9}" name="Column16301" dataDxfId="84"/>
    <tableColumn id="16326" xr3:uid="{7F752245-57BA-4358-85D3-EBB38E2DC1F6}" name="Column16302" dataDxfId="83"/>
    <tableColumn id="16327" xr3:uid="{C1C7CCBA-F1A9-4474-BCB3-A3DA63E92489}" name="Column16303" dataDxfId="82"/>
    <tableColumn id="16328" xr3:uid="{EC703F32-93C7-4836-B7E2-FAFCB2F814BC}" name="Column16304" dataDxfId="81"/>
    <tableColumn id="16329" xr3:uid="{F1CA7525-0412-4385-8AFE-F61A55316E0E}" name="Column16305" dataDxfId="80"/>
    <tableColumn id="16330" xr3:uid="{F1F1332C-2D0A-4FF5-93E6-D5601DE8CB53}" name="Column16306" dataDxfId="79"/>
    <tableColumn id="16331" xr3:uid="{6FF6715E-61FE-4054-A08B-20C7A61980BD}" name="Column16307" dataDxfId="78"/>
    <tableColumn id="16332" xr3:uid="{0C5510A8-EF79-4486-A674-3235D0AD3D6A}" name="Column16308" dataDxfId="77"/>
    <tableColumn id="16333" xr3:uid="{E5562F94-52B3-44A7-AF6E-AECE692795C2}" name="Column16309" dataDxfId="76"/>
    <tableColumn id="16334" xr3:uid="{0B7816D6-9A3F-4626-8679-81FAC1C1E1EB}" name="Column16310" dataDxfId="75"/>
    <tableColumn id="16335" xr3:uid="{4E65F2A9-C4C5-4763-8A1F-5D338C4D5F47}" name="Column16311" dataDxfId="74"/>
    <tableColumn id="16336" xr3:uid="{6498298C-4327-43B2-9073-9FE0884994AE}" name="Column16312" dataDxfId="73"/>
    <tableColumn id="16337" xr3:uid="{8D92D8BD-E1AC-4AF4-B148-808F6FA04C35}" name="Column16313" dataDxfId="72"/>
    <tableColumn id="16338" xr3:uid="{1E90FD04-F229-4034-A8A7-BE4F2DDABB90}" name="Column16314" dataDxfId="71"/>
    <tableColumn id="16339" xr3:uid="{AC0CA17D-E817-4C1A-9749-DCD8116E185F}" name="Column16315" dataDxfId="70"/>
    <tableColumn id="16340" xr3:uid="{AC05AECF-EB04-41C1-9E1F-5CC6BCE0EF79}" name="Column16316" dataDxfId="69"/>
    <tableColumn id="16341" xr3:uid="{0C0B1080-5145-4468-BA79-5DED02B14A9B}" name="Column16317" dataDxfId="68"/>
    <tableColumn id="16342" xr3:uid="{4BA11E04-9ED5-4DA7-ADF1-B2EBD2E5D5EB}" name="Column16318" dataDxfId="67"/>
    <tableColumn id="16343" xr3:uid="{4B1B2E09-3441-435B-AC5F-F37773324CEF}" name="Column16319" dataDxfId="66"/>
    <tableColumn id="16344" xr3:uid="{E627921F-F182-453B-9A15-E6A0672E888E}" name="Column16320" dataDxfId="65"/>
    <tableColumn id="16345" xr3:uid="{28B765B7-D9A2-4505-B147-E6F66FF5C921}" name="Column16321" dataDxfId="64"/>
    <tableColumn id="16346" xr3:uid="{B4153BD4-FF2B-4DED-9632-447A89ED555A}" name="Column16322" dataDxfId="63"/>
    <tableColumn id="16347" xr3:uid="{0E9EA22E-4FA1-4655-9B02-CFB7E08A4425}" name="Column16323" dataDxfId="62"/>
    <tableColumn id="16348" xr3:uid="{3D3679BD-AC9D-4188-9286-4422D9B42712}" name="Column16324" dataDxfId="61"/>
    <tableColumn id="16349" xr3:uid="{A8CD3596-1AC3-40A7-B885-ED228FF6445F}" name="Column16325" dataDxfId="60"/>
    <tableColumn id="16350" xr3:uid="{7C6BF5E7-5F6D-4611-9416-AB3517E81F11}" name="Column16326" dataDxfId="59"/>
    <tableColumn id="16351" xr3:uid="{2504534F-6D88-4B8A-9EEE-6219F6DB78DC}" name="Column16327" dataDxfId="58"/>
    <tableColumn id="16352" xr3:uid="{8C4A70E9-2AE8-46B0-99F2-778F37791FD1}" name="Column16328" dataDxfId="57"/>
    <tableColumn id="16353" xr3:uid="{035C709E-BDF8-402F-AA91-09D6D3155718}" name="Column16329" dataDxfId="56"/>
    <tableColumn id="16354" xr3:uid="{C69528D4-1372-4545-8643-BEDC5515E850}" name="Column16330" dataDxfId="55"/>
    <tableColumn id="16355" xr3:uid="{6DBA3224-8C61-40BC-B05A-2984B09D0683}" name="Column16331" dataDxfId="54"/>
    <tableColumn id="16356" xr3:uid="{3B0D5562-8FA0-4D0C-BEAE-34B5AFD9BE37}" name="Column16332" dataDxfId="53"/>
    <tableColumn id="16357" xr3:uid="{89910294-F319-480A-B99E-F79F88C03C19}" name="Column16333" dataDxfId="52"/>
    <tableColumn id="16358" xr3:uid="{33477C0D-F211-4810-BEE6-6BDA81107DBD}" name="Column16334" dataDxfId="51"/>
    <tableColumn id="16359" xr3:uid="{5FF1B44F-EEAC-40A2-A974-A171E93878C5}" name="Column16335" dataDxfId="50"/>
    <tableColumn id="16360" xr3:uid="{C585943D-0871-4849-AD5D-CA36F12A0B5A}" name="Column16336" dataDxfId="49"/>
    <tableColumn id="16361" xr3:uid="{98D6924F-F73A-4969-8DB0-4D4677C95865}" name="Column16337" dataDxfId="48"/>
    <tableColumn id="16362" xr3:uid="{ECF3EECF-AB0F-4E33-8297-360A9C5C2858}" name="Column16338" dataDxfId="47"/>
    <tableColumn id="16363" xr3:uid="{DA7CDA42-11C5-4C67-AD7C-46B2F0A6BEC0}" name="Column16339" dataDxfId="46"/>
    <tableColumn id="16364" xr3:uid="{6876560F-61D6-4135-BFED-F3E92594C07A}" name="Column16340" dataDxfId="45"/>
    <tableColumn id="16365" xr3:uid="{F37B238D-9694-4CA3-906B-6D79BA56401C}" name="Column16341" dataDxfId="44"/>
    <tableColumn id="16366" xr3:uid="{6F5FC50A-C101-419A-8CC6-FF2E6C100FE8}" name="Column16342" dataDxfId="43"/>
    <tableColumn id="16367" xr3:uid="{AD924CD9-2348-483E-BE4C-91FF14304426}" name="Column16343" dataDxfId="42"/>
    <tableColumn id="16368" xr3:uid="{E611CEF7-F3DB-4400-AFB2-99C2F3945B6D}" name="Column16344" dataDxfId="41"/>
    <tableColumn id="16369" xr3:uid="{9BE5E7BB-2A3A-4584-9456-D0D6B25CBDF4}" name="Column16345" dataDxfId="40"/>
    <tableColumn id="16370" xr3:uid="{0C4D40C3-81F1-4779-BD4C-2F281911ED27}" name="Column16346" dataDxfId="39"/>
    <tableColumn id="16371" xr3:uid="{5E6881ED-9F4A-4D0D-95D5-FB6E85B3518C}" name="Column16347" dataDxfId="38"/>
    <tableColumn id="16372" xr3:uid="{4D4FBB1B-6903-4A64-9BB3-1EE0E60C3697}" name="Column16348" dataDxfId="37"/>
    <tableColumn id="16373" xr3:uid="{BEE2D739-A2A3-47D7-9698-A8FB09039762}" name="Column16349" dataDxfId="36"/>
    <tableColumn id="16374" xr3:uid="{3D22336B-28E6-43DE-83FB-5B3DEBA22340}" name="Column16350" dataDxfId="35"/>
    <tableColumn id="16375" xr3:uid="{67B3951D-4967-4DBC-A4A2-41D6188CBE7E}" name="Column16351" dataDxfId="34"/>
    <tableColumn id="16376" xr3:uid="{6EF1CD3E-33B4-4A01-91B4-49E3E182C51F}" name="Column16352" dataDxfId="33"/>
    <tableColumn id="16377" xr3:uid="{9D7E4EE8-2347-4D51-91CC-1D5A2FB3D126}" name="Column16353" dataDxfId="32"/>
    <tableColumn id="16378" xr3:uid="{5CD15563-6228-4CF1-B8EB-9A6D630F844B}" name="Column16354" dataDxfId="31"/>
    <tableColumn id="16379" xr3:uid="{45C1BB06-E92C-454B-8CA4-004E6B7ED454}" name="Column16355" dataDxfId="30"/>
    <tableColumn id="16380" xr3:uid="{6057E445-18FF-4213-B2BD-129A55CDFB65}" name="Column16356" dataDxfId="29"/>
    <tableColumn id="16381" xr3:uid="{F72D4509-75FE-4D1A-B64A-9D5264A91C5E}" name="Column16357" dataDxfId="28"/>
    <tableColumn id="16382" xr3:uid="{9A3B640D-2F8C-4BEE-ABF5-AF699B6E6CF7}" name="Column16358" dataDxfId="27"/>
    <tableColumn id="16383" xr3:uid="{CD7462B6-D88C-4067-AFD0-930B0DE719FE}" name="Column16359" dataDxfId="26"/>
    <tableColumn id="16384" xr3:uid="{7D93B8A3-A77C-4856-A99F-EF1BC159518B}" name="Column16360" dataDxfId="2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77F63B-F260-4110-ACAF-38B52E86FAFA}" name="Table_A" displayName="Table_A" ref="A9:J18" totalsRowShown="0" headerRowDxfId="24" dataDxfId="22" headerRowBorderDxfId="23" tableBorderDxfId="21" totalsRowBorderDxfId="20">
  <autoFilter ref="A9:J18" xr:uid="{1677F63B-F260-4110-ACAF-38B52E86FAFA}"/>
  <tableColumns count="10">
    <tableColumn id="1" xr3:uid="{17E056A0-9989-486B-9360-B914A8FF0713}" name="Column1" dataDxfId="19"/>
    <tableColumn id="2" xr3:uid="{744876E7-25EE-4C08-9220-0CE945A208BD}" name="A" dataDxfId="18"/>
    <tableColumn id="3" xr3:uid="{733A8EB4-796A-4846-9E16-525C1323766C}" name="B" dataDxfId="17"/>
    <tableColumn id="4" xr3:uid="{767D1B84-BBDF-4501-9EDC-71FB357A6646}" name="C" dataDxfId="16"/>
    <tableColumn id="5" xr3:uid="{98ABD61B-0CF0-4141-8064-A603052A833F}" name="D" dataDxfId="15"/>
    <tableColumn id="6" xr3:uid="{D05750FF-1B29-4AD4-AFBD-F73232A4B4F6}" name="E" dataDxfId="14"/>
    <tableColumn id="7" xr3:uid="{C19D438C-E60A-4127-95BC-08F95CCF606B}" name="F" dataDxfId="13"/>
    <tableColumn id="8" xr3:uid="{C27AA181-C49A-4C65-999F-B0AD4F90FF41}" name="G" dataDxfId="12"/>
    <tableColumn id="9" xr3:uid="{1EACEA74-DB66-4A4D-9616-7C18AA29AA97}" name="H" dataDxfId="11"/>
    <tableColumn id="10" xr3:uid="{D8019B73-1BF5-4746-8E62-DF8B81D1EB82}" name="I" dataDxfId="1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7553C2-DE16-425D-9C3A-A7460593D629}" name="Table_B" displayName="Table_B" ref="M9:N18" totalsRowShown="0" headerRowDxfId="9" headerRowBorderDxfId="8" tableBorderDxfId="7">
  <autoFilter ref="M9:N18" xr:uid="{2A7553C2-DE16-425D-9C3A-A7460593D629}"/>
  <tableColumns count="2">
    <tableColumn id="1" xr3:uid="{F844012B-9255-4DEA-9745-E532BC71DE67}" name="ID" dataDxfId="6"/>
    <tableColumn id="2" xr3:uid="{57C320F2-4BFF-4F24-AECC-153445A448FB}" name="Name" dataDxfId="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94938E-1D47-4765-81A1-9ECBAA968FA7}" name="Table_C" displayName="Table_C" ref="A22:C35" totalsRowShown="0" headerRowBorderDxfId="4" tableBorderDxfId="3">
  <autoFilter ref="A22:C35" xr:uid="{8594938E-1D47-4765-81A1-9ECBAA968FA7}"/>
  <tableColumns count="3">
    <tableColumn id="1" xr3:uid="{6675E46F-1256-4899-865F-8149FF9EEA39}" name="name_1" dataDxfId="2"/>
    <tableColumn id="2" xr3:uid="{FF8A8BD9-5E4B-45DF-B3B5-3A8045553808}" name="name_2" dataDxfId="1"/>
    <tableColumn id="3" xr3:uid="{D4CA4BDC-7B8F-4C57-A619-1F04EAADD3BB}" name="value" dataDxfId="0">
      <calculatedColumnFormula>INDEX(Table_A[#All],MATCH(VLOOKUP(A23,Table_B[],2,0),Table_A[[#All],[Column1]],0),MATCH(VLOOKUP(B23,Table_B[],2,0),Table_A[#Headers],0))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6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3" t="s">
        <v>171</v>
      </c>
      <c r="B9" s="24" t="s">
        <v>169</v>
      </c>
    </row>
    <row r="10" spans="1:3">
      <c r="A10" s="32" t="s">
        <v>172</v>
      </c>
      <c r="B10" s="34">
        <v>25</v>
      </c>
    </row>
    <row r="11" spans="1:3">
      <c r="A11" s="32" t="s">
        <v>55</v>
      </c>
      <c r="B11" s="34">
        <v>30</v>
      </c>
    </row>
    <row r="12" spans="1:3">
      <c r="A12" s="32" t="s">
        <v>56</v>
      </c>
      <c r="B12" s="34">
        <v>10</v>
      </c>
    </row>
    <row r="13" spans="1:3">
      <c r="A13" s="32" t="s">
        <v>85</v>
      </c>
      <c r="B13" s="34">
        <v>20</v>
      </c>
    </row>
    <row r="14" spans="1:3">
      <c r="A14" s="32" t="s">
        <v>98</v>
      </c>
      <c r="B14" s="34">
        <v>40</v>
      </c>
    </row>
    <row r="15" spans="1: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42"/>
  <sheetViews>
    <sheetView topLeftCell="L1" zoomScaleNormal="100" workbookViewId="0">
      <pane ySplit="1" topLeftCell="A8" activePane="bottomLeft" state="frozen"/>
      <selection pane="bottomLeft" activeCell="X12" sqref="X12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2" customWidth="1"/>
    <col min="5" max="5" width="10.21875" style="1" customWidth="1"/>
    <col min="6" max="6" width="10.88671875" style="22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2" bestFit="1" customWidth="1"/>
    <col min="25" max="33" width="10.44140625" style="1" customWidth="1"/>
    <col min="34" max="123" width="11.44140625" style="1" customWidth="1"/>
    <col min="124" max="1023" width="12.44140625" style="1" customWidth="1"/>
    <col min="1024" max="10023" width="13.44140625" style="1" customWidth="1"/>
    <col min="10024" max="16384" width="14.44140625" style="1" customWidth="1"/>
  </cols>
  <sheetData>
    <row r="1" spans="1:16384" s="3" customFormat="1" ht="14.7" customHeight="1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1" t="s">
        <v>105</v>
      </c>
      <c r="Y1" s="3" t="s">
        <v>178</v>
      </c>
      <c r="Z1" s="3" t="s">
        <v>179</v>
      </c>
      <c r="AA1" s="3" t="s">
        <v>180</v>
      </c>
      <c r="AB1" s="3" t="s">
        <v>181</v>
      </c>
      <c r="AC1" s="3" t="s">
        <v>182</v>
      </c>
      <c r="AD1" s="3" t="s">
        <v>183</v>
      </c>
      <c r="AE1" s="3" t="s">
        <v>184</v>
      </c>
      <c r="AF1" s="3" t="s">
        <v>185</v>
      </c>
      <c r="AG1" s="3" t="s">
        <v>186</v>
      </c>
      <c r="AH1" s="3" t="s">
        <v>187</v>
      </c>
      <c r="AI1" s="3" t="s">
        <v>188</v>
      </c>
      <c r="AJ1" s="3" t="s">
        <v>189</v>
      </c>
      <c r="AK1" s="3" t="s">
        <v>190</v>
      </c>
      <c r="AL1" s="3" t="s">
        <v>191</v>
      </c>
      <c r="AM1" s="3" t="s">
        <v>192</v>
      </c>
      <c r="AN1" s="3" t="s">
        <v>193</v>
      </c>
      <c r="AO1" s="3" t="s">
        <v>194</v>
      </c>
      <c r="AP1" s="3" t="s">
        <v>195</v>
      </c>
      <c r="AQ1" s="3" t="s">
        <v>196</v>
      </c>
      <c r="AR1" s="3" t="s">
        <v>197</v>
      </c>
      <c r="AS1" s="3" t="s">
        <v>198</v>
      </c>
      <c r="AT1" s="3" t="s">
        <v>199</v>
      </c>
      <c r="AU1" s="3" t="s">
        <v>200</v>
      </c>
      <c r="AV1" s="3" t="s">
        <v>201</v>
      </c>
      <c r="AW1" s="3" t="s">
        <v>202</v>
      </c>
      <c r="AX1" s="3" t="s">
        <v>203</v>
      </c>
      <c r="AY1" s="3" t="s">
        <v>204</v>
      </c>
      <c r="AZ1" s="3" t="s">
        <v>205</v>
      </c>
      <c r="BA1" s="3" t="s">
        <v>206</v>
      </c>
      <c r="BB1" s="3" t="s">
        <v>207</v>
      </c>
      <c r="BC1" s="3" t="s">
        <v>208</v>
      </c>
      <c r="BD1" s="3" t="s">
        <v>209</v>
      </c>
      <c r="BE1" s="3" t="s">
        <v>210</v>
      </c>
      <c r="BF1" s="3" t="s">
        <v>211</v>
      </c>
      <c r="BG1" s="3" t="s">
        <v>212</v>
      </c>
      <c r="BH1" s="3" t="s">
        <v>213</v>
      </c>
      <c r="BI1" s="3" t="s">
        <v>214</v>
      </c>
      <c r="BJ1" s="3" t="s">
        <v>215</v>
      </c>
      <c r="BK1" s="3" t="s">
        <v>216</v>
      </c>
      <c r="BL1" s="3" t="s">
        <v>217</v>
      </c>
      <c r="BM1" s="3" t="s">
        <v>218</v>
      </c>
      <c r="BN1" s="3" t="s">
        <v>219</v>
      </c>
      <c r="BO1" s="3" t="s">
        <v>220</v>
      </c>
      <c r="BP1" s="3" t="s">
        <v>221</v>
      </c>
      <c r="BQ1" s="3" t="s">
        <v>222</v>
      </c>
      <c r="BR1" s="3" t="s">
        <v>223</v>
      </c>
      <c r="BS1" s="3" t="s">
        <v>224</v>
      </c>
      <c r="BT1" s="3" t="s">
        <v>225</v>
      </c>
      <c r="BU1" s="3" t="s">
        <v>226</v>
      </c>
      <c r="BV1" s="3" t="s">
        <v>227</v>
      </c>
      <c r="BW1" s="3" t="s">
        <v>228</v>
      </c>
      <c r="BX1" s="3" t="s">
        <v>229</v>
      </c>
      <c r="BY1" s="3" t="s">
        <v>230</v>
      </c>
      <c r="BZ1" s="3" t="s">
        <v>231</v>
      </c>
      <c r="CA1" s="3" t="s">
        <v>232</v>
      </c>
      <c r="CB1" s="3" t="s">
        <v>233</v>
      </c>
      <c r="CC1" s="3" t="s">
        <v>234</v>
      </c>
      <c r="CD1" s="3" t="s">
        <v>235</v>
      </c>
      <c r="CE1" s="3" t="s">
        <v>236</v>
      </c>
      <c r="CF1" s="3" t="s">
        <v>237</v>
      </c>
      <c r="CG1" s="3" t="s">
        <v>238</v>
      </c>
      <c r="CH1" s="3" t="s">
        <v>239</v>
      </c>
      <c r="CI1" s="3" t="s">
        <v>240</v>
      </c>
      <c r="CJ1" s="3" t="s">
        <v>241</v>
      </c>
      <c r="CK1" s="3" t="s">
        <v>242</v>
      </c>
      <c r="CL1" s="3" t="s">
        <v>243</v>
      </c>
      <c r="CM1" s="3" t="s">
        <v>244</v>
      </c>
      <c r="CN1" s="3" t="s">
        <v>245</v>
      </c>
      <c r="CO1" s="3" t="s">
        <v>246</v>
      </c>
      <c r="CP1" s="3" t="s">
        <v>247</v>
      </c>
      <c r="CQ1" s="3" t="s">
        <v>248</v>
      </c>
      <c r="CR1" s="3" t="s">
        <v>249</v>
      </c>
      <c r="CS1" s="3" t="s">
        <v>250</v>
      </c>
      <c r="CT1" s="3" t="s">
        <v>251</v>
      </c>
      <c r="CU1" s="3" t="s">
        <v>252</v>
      </c>
      <c r="CV1" s="3" t="s">
        <v>253</v>
      </c>
      <c r="CW1" s="3" t="s">
        <v>254</v>
      </c>
      <c r="CX1" s="3" t="s">
        <v>255</v>
      </c>
      <c r="CY1" s="3" t="s">
        <v>256</v>
      </c>
      <c r="CZ1" s="3" t="s">
        <v>257</v>
      </c>
      <c r="DA1" s="3" t="s">
        <v>258</v>
      </c>
      <c r="DB1" s="3" t="s">
        <v>259</v>
      </c>
      <c r="DC1" s="3" t="s">
        <v>260</v>
      </c>
      <c r="DD1" s="3" t="s">
        <v>261</v>
      </c>
      <c r="DE1" s="3" t="s">
        <v>262</v>
      </c>
      <c r="DF1" s="3" t="s">
        <v>263</v>
      </c>
      <c r="DG1" s="3" t="s">
        <v>264</v>
      </c>
      <c r="DH1" s="3" t="s">
        <v>265</v>
      </c>
      <c r="DI1" s="3" t="s">
        <v>266</v>
      </c>
      <c r="DJ1" s="3" t="s">
        <v>267</v>
      </c>
      <c r="DK1" s="3" t="s">
        <v>268</v>
      </c>
      <c r="DL1" s="3" t="s">
        <v>269</v>
      </c>
      <c r="DM1" s="3" t="s">
        <v>270</v>
      </c>
      <c r="DN1" s="3" t="s">
        <v>271</v>
      </c>
      <c r="DO1" s="3" t="s">
        <v>272</v>
      </c>
      <c r="DP1" s="3" t="s">
        <v>273</v>
      </c>
      <c r="DQ1" s="3" t="s">
        <v>274</v>
      </c>
      <c r="DR1" s="3" t="s">
        <v>275</v>
      </c>
      <c r="DS1" s="3" t="s">
        <v>276</v>
      </c>
      <c r="DT1" s="3" t="s">
        <v>277</v>
      </c>
      <c r="DU1" s="3" t="s">
        <v>278</v>
      </c>
      <c r="DV1" s="3" t="s">
        <v>279</v>
      </c>
      <c r="DW1" s="3" t="s">
        <v>280</v>
      </c>
      <c r="DX1" s="3" t="s">
        <v>281</v>
      </c>
      <c r="DY1" s="3" t="s">
        <v>282</v>
      </c>
      <c r="DZ1" s="3" t="s">
        <v>283</v>
      </c>
      <c r="EA1" s="3" t="s">
        <v>284</v>
      </c>
      <c r="EB1" s="3" t="s">
        <v>285</v>
      </c>
      <c r="EC1" s="3" t="s">
        <v>286</v>
      </c>
      <c r="ED1" s="3" t="s">
        <v>287</v>
      </c>
      <c r="EE1" s="3" t="s">
        <v>288</v>
      </c>
      <c r="EF1" s="3" t="s">
        <v>289</v>
      </c>
      <c r="EG1" s="3" t="s">
        <v>290</v>
      </c>
      <c r="EH1" s="3" t="s">
        <v>291</v>
      </c>
      <c r="EI1" s="3" t="s">
        <v>292</v>
      </c>
      <c r="EJ1" s="3" t="s">
        <v>293</v>
      </c>
      <c r="EK1" s="3" t="s">
        <v>294</v>
      </c>
      <c r="EL1" s="3" t="s">
        <v>295</v>
      </c>
      <c r="EM1" s="3" t="s">
        <v>296</v>
      </c>
      <c r="EN1" s="3" t="s">
        <v>297</v>
      </c>
      <c r="EO1" s="3" t="s">
        <v>298</v>
      </c>
      <c r="EP1" s="3" t="s">
        <v>299</v>
      </c>
      <c r="EQ1" s="3" t="s">
        <v>300</v>
      </c>
      <c r="ER1" s="3" t="s">
        <v>301</v>
      </c>
      <c r="ES1" s="3" t="s">
        <v>302</v>
      </c>
      <c r="ET1" s="3" t="s">
        <v>303</v>
      </c>
      <c r="EU1" s="3" t="s">
        <v>304</v>
      </c>
      <c r="EV1" s="3" t="s">
        <v>305</v>
      </c>
      <c r="EW1" s="3" t="s">
        <v>306</v>
      </c>
      <c r="EX1" s="3" t="s">
        <v>307</v>
      </c>
      <c r="EY1" s="3" t="s">
        <v>308</v>
      </c>
      <c r="EZ1" s="3" t="s">
        <v>309</v>
      </c>
      <c r="FA1" s="3" t="s">
        <v>310</v>
      </c>
      <c r="FB1" s="3" t="s">
        <v>311</v>
      </c>
      <c r="FC1" s="3" t="s">
        <v>312</v>
      </c>
      <c r="FD1" s="3" t="s">
        <v>313</v>
      </c>
      <c r="FE1" s="3" t="s">
        <v>314</v>
      </c>
      <c r="FF1" s="3" t="s">
        <v>315</v>
      </c>
      <c r="FG1" s="3" t="s">
        <v>316</v>
      </c>
      <c r="FH1" s="3" t="s">
        <v>317</v>
      </c>
      <c r="FI1" s="3" t="s">
        <v>318</v>
      </c>
      <c r="FJ1" s="3" t="s">
        <v>319</v>
      </c>
      <c r="FK1" s="3" t="s">
        <v>320</v>
      </c>
      <c r="FL1" s="3" t="s">
        <v>321</v>
      </c>
      <c r="FM1" s="3" t="s">
        <v>322</v>
      </c>
      <c r="FN1" s="3" t="s">
        <v>323</v>
      </c>
      <c r="FO1" s="3" t="s">
        <v>324</v>
      </c>
      <c r="FP1" s="3" t="s">
        <v>325</v>
      </c>
      <c r="FQ1" s="3" t="s">
        <v>326</v>
      </c>
      <c r="FR1" s="3" t="s">
        <v>327</v>
      </c>
      <c r="FS1" s="3" t="s">
        <v>328</v>
      </c>
      <c r="FT1" s="3" t="s">
        <v>329</v>
      </c>
      <c r="FU1" s="3" t="s">
        <v>330</v>
      </c>
      <c r="FV1" s="3" t="s">
        <v>331</v>
      </c>
      <c r="FW1" s="3" t="s">
        <v>332</v>
      </c>
      <c r="FX1" s="3" t="s">
        <v>333</v>
      </c>
      <c r="FY1" s="3" t="s">
        <v>334</v>
      </c>
      <c r="FZ1" s="3" t="s">
        <v>335</v>
      </c>
      <c r="GA1" s="3" t="s">
        <v>336</v>
      </c>
      <c r="GB1" s="3" t="s">
        <v>337</v>
      </c>
      <c r="GC1" s="3" t="s">
        <v>338</v>
      </c>
      <c r="GD1" s="3" t="s">
        <v>339</v>
      </c>
      <c r="GE1" s="3" t="s">
        <v>340</v>
      </c>
      <c r="GF1" s="3" t="s">
        <v>341</v>
      </c>
      <c r="GG1" s="3" t="s">
        <v>342</v>
      </c>
      <c r="GH1" s="3" t="s">
        <v>343</v>
      </c>
      <c r="GI1" s="3" t="s">
        <v>344</v>
      </c>
      <c r="GJ1" s="3" t="s">
        <v>345</v>
      </c>
      <c r="GK1" s="3" t="s">
        <v>346</v>
      </c>
      <c r="GL1" s="3" t="s">
        <v>347</v>
      </c>
      <c r="GM1" s="3" t="s">
        <v>348</v>
      </c>
      <c r="GN1" s="3" t="s">
        <v>349</v>
      </c>
      <c r="GO1" s="3" t="s">
        <v>350</v>
      </c>
      <c r="GP1" s="3" t="s">
        <v>351</v>
      </c>
      <c r="GQ1" s="3" t="s">
        <v>352</v>
      </c>
      <c r="GR1" s="3" t="s">
        <v>353</v>
      </c>
      <c r="GS1" s="3" t="s">
        <v>354</v>
      </c>
      <c r="GT1" s="3" t="s">
        <v>355</v>
      </c>
      <c r="GU1" s="3" t="s">
        <v>356</v>
      </c>
      <c r="GV1" s="3" t="s">
        <v>357</v>
      </c>
      <c r="GW1" s="3" t="s">
        <v>358</v>
      </c>
      <c r="GX1" s="3" t="s">
        <v>359</v>
      </c>
      <c r="GY1" s="3" t="s">
        <v>360</v>
      </c>
      <c r="GZ1" s="3" t="s">
        <v>361</v>
      </c>
      <c r="HA1" s="3" t="s">
        <v>362</v>
      </c>
      <c r="HB1" s="3" t="s">
        <v>363</v>
      </c>
      <c r="HC1" s="3" t="s">
        <v>364</v>
      </c>
      <c r="HD1" s="3" t="s">
        <v>365</v>
      </c>
      <c r="HE1" s="3" t="s">
        <v>366</v>
      </c>
      <c r="HF1" s="3" t="s">
        <v>367</v>
      </c>
      <c r="HG1" s="3" t="s">
        <v>368</v>
      </c>
      <c r="HH1" s="3" t="s">
        <v>369</v>
      </c>
      <c r="HI1" s="3" t="s">
        <v>370</v>
      </c>
      <c r="HJ1" s="3" t="s">
        <v>371</v>
      </c>
      <c r="HK1" s="3" t="s">
        <v>372</v>
      </c>
      <c r="HL1" s="3" t="s">
        <v>373</v>
      </c>
      <c r="HM1" s="3" t="s">
        <v>374</v>
      </c>
      <c r="HN1" s="3" t="s">
        <v>375</v>
      </c>
      <c r="HO1" s="3" t="s">
        <v>376</v>
      </c>
      <c r="HP1" s="3" t="s">
        <v>377</v>
      </c>
      <c r="HQ1" s="3" t="s">
        <v>378</v>
      </c>
      <c r="HR1" s="3" t="s">
        <v>379</v>
      </c>
      <c r="HS1" s="3" t="s">
        <v>380</v>
      </c>
      <c r="HT1" s="3" t="s">
        <v>381</v>
      </c>
      <c r="HU1" s="3" t="s">
        <v>382</v>
      </c>
      <c r="HV1" s="3" t="s">
        <v>383</v>
      </c>
      <c r="HW1" s="3" t="s">
        <v>384</v>
      </c>
      <c r="HX1" s="3" t="s">
        <v>385</v>
      </c>
      <c r="HY1" s="3" t="s">
        <v>386</v>
      </c>
      <c r="HZ1" s="3" t="s">
        <v>387</v>
      </c>
      <c r="IA1" s="3" t="s">
        <v>388</v>
      </c>
      <c r="IB1" s="3" t="s">
        <v>389</v>
      </c>
      <c r="IC1" s="3" t="s">
        <v>390</v>
      </c>
      <c r="ID1" s="3" t="s">
        <v>391</v>
      </c>
      <c r="IE1" s="3" t="s">
        <v>392</v>
      </c>
      <c r="IF1" s="3" t="s">
        <v>393</v>
      </c>
      <c r="IG1" s="3" t="s">
        <v>394</v>
      </c>
      <c r="IH1" s="3" t="s">
        <v>395</v>
      </c>
      <c r="II1" s="3" t="s">
        <v>396</v>
      </c>
      <c r="IJ1" s="3" t="s">
        <v>397</v>
      </c>
      <c r="IK1" s="3" t="s">
        <v>398</v>
      </c>
      <c r="IL1" s="3" t="s">
        <v>399</v>
      </c>
      <c r="IM1" s="3" t="s">
        <v>400</v>
      </c>
      <c r="IN1" s="3" t="s">
        <v>401</v>
      </c>
      <c r="IO1" s="3" t="s">
        <v>402</v>
      </c>
      <c r="IP1" s="3" t="s">
        <v>403</v>
      </c>
      <c r="IQ1" s="3" t="s">
        <v>404</v>
      </c>
      <c r="IR1" s="3" t="s">
        <v>405</v>
      </c>
      <c r="IS1" s="3" t="s">
        <v>406</v>
      </c>
      <c r="IT1" s="3" t="s">
        <v>407</v>
      </c>
      <c r="IU1" s="3" t="s">
        <v>408</v>
      </c>
      <c r="IV1" s="3" t="s">
        <v>409</v>
      </c>
      <c r="IW1" s="3" t="s">
        <v>410</v>
      </c>
      <c r="IX1" s="3" t="s">
        <v>411</v>
      </c>
      <c r="IY1" s="3" t="s">
        <v>412</v>
      </c>
      <c r="IZ1" s="3" t="s">
        <v>413</v>
      </c>
      <c r="JA1" s="3" t="s">
        <v>414</v>
      </c>
      <c r="JB1" s="3" t="s">
        <v>415</v>
      </c>
      <c r="JC1" s="3" t="s">
        <v>416</v>
      </c>
      <c r="JD1" s="3" t="s">
        <v>417</v>
      </c>
      <c r="JE1" s="3" t="s">
        <v>418</v>
      </c>
      <c r="JF1" s="3" t="s">
        <v>419</v>
      </c>
      <c r="JG1" s="3" t="s">
        <v>420</v>
      </c>
      <c r="JH1" s="3" t="s">
        <v>421</v>
      </c>
      <c r="JI1" s="3" t="s">
        <v>422</v>
      </c>
      <c r="JJ1" s="3" t="s">
        <v>423</v>
      </c>
      <c r="JK1" s="3" t="s">
        <v>424</v>
      </c>
      <c r="JL1" s="3" t="s">
        <v>425</v>
      </c>
      <c r="JM1" s="3" t="s">
        <v>426</v>
      </c>
      <c r="JN1" s="3" t="s">
        <v>427</v>
      </c>
      <c r="JO1" s="3" t="s">
        <v>428</v>
      </c>
      <c r="JP1" s="3" t="s">
        <v>429</v>
      </c>
      <c r="JQ1" s="3" t="s">
        <v>430</v>
      </c>
      <c r="JR1" s="3" t="s">
        <v>431</v>
      </c>
      <c r="JS1" s="3" t="s">
        <v>432</v>
      </c>
      <c r="JT1" s="3" t="s">
        <v>433</v>
      </c>
      <c r="JU1" s="3" t="s">
        <v>434</v>
      </c>
      <c r="JV1" s="3" t="s">
        <v>435</v>
      </c>
      <c r="JW1" s="3" t="s">
        <v>436</v>
      </c>
      <c r="JX1" s="3" t="s">
        <v>437</v>
      </c>
      <c r="JY1" s="3" t="s">
        <v>438</v>
      </c>
      <c r="JZ1" s="3" t="s">
        <v>439</v>
      </c>
      <c r="KA1" s="3" t="s">
        <v>440</v>
      </c>
      <c r="KB1" s="3" t="s">
        <v>441</v>
      </c>
      <c r="KC1" s="3" t="s">
        <v>442</v>
      </c>
      <c r="KD1" s="3" t="s">
        <v>443</v>
      </c>
      <c r="KE1" s="3" t="s">
        <v>444</v>
      </c>
      <c r="KF1" s="3" t="s">
        <v>445</v>
      </c>
      <c r="KG1" s="3" t="s">
        <v>446</v>
      </c>
      <c r="KH1" s="3" t="s">
        <v>447</v>
      </c>
      <c r="KI1" s="3" t="s">
        <v>448</v>
      </c>
      <c r="KJ1" s="3" t="s">
        <v>449</v>
      </c>
      <c r="KK1" s="3" t="s">
        <v>450</v>
      </c>
      <c r="KL1" s="3" t="s">
        <v>451</v>
      </c>
      <c r="KM1" s="3" t="s">
        <v>452</v>
      </c>
      <c r="KN1" s="3" t="s">
        <v>453</v>
      </c>
      <c r="KO1" s="3" t="s">
        <v>454</v>
      </c>
      <c r="KP1" s="3" t="s">
        <v>455</v>
      </c>
      <c r="KQ1" s="3" t="s">
        <v>456</v>
      </c>
      <c r="KR1" s="3" t="s">
        <v>457</v>
      </c>
      <c r="KS1" s="3" t="s">
        <v>458</v>
      </c>
      <c r="KT1" s="3" t="s">
        <v>459</v>
      </c>
      <c r="KU1" s="3" t="s">
        <v>460</v>
      </c>
      <c r="KV1" s="3" t="s">
        <v>461</v>
      </c>
      <c r="KW1" s="3" t="s">
        <v>462</v>
      </c>
      <c r="KX1" s="3" t="s">
        <v>463</v>
      </c>
      <c r="KY1" s="3" t="s">
        <v>464</v>
      </c>
      <c r="KZ1" s="3" t="s">
        <v>465</v>
      </c>
      <c r="LA1" s="3" t="s">
        <v>466</v>
      </c>
      <c r="LB1" s="3" t="s">
        <v>467</v>
      </c>
      <c r="LC1" s="3" t="s">
        <v>468</v>
      </c>
      <c r="LD1" s="3" t="s">
        <v>469</v>
      </c>
      <c r="LE1" s="3" t="s">
        <v>470</v>
      </c>
      <c r="LF1" s="3" t="s">
        <v>471</v>
      </c>
      <c r="LG1" s="3" t="s">
        <v>472</v>
      </c>
      <c r="LH1" s="3" t="s">
        <v>473</v>
      </c>
      <c r="LI1" s="3" t="s">
        <v>474</v>
      </c>
      <c r="LJ1" s="3" t="s">
        <v>475</v>
      </c>
      <c r="LK1" s="3" t="s">
        <v>476</v>
      </c>
      <c r="LL1" s="3" t="s">
        <v>477</v>
      </c>
      <c r="LM1" s="3" t="s">
        <v>478</v>
      </c>
      <c r="LN1" s="3" t="s">
        <v>479</v>
      </c>
      <c r="LO1" s="3" t="s">
        <v>480</v>
      </c>
      <c r="LP1" s="3" t="s">
        <v>481</v>
      </c>
      <c r="LQ1" s="3" t="s">
        <v>482</v>
      </c>
      <c r="LR1" s="3" t="s">
        <v>483</v>
      </c>
      <c r="LS1" s="3" t="s">
        <v>484</v>
      </c>
      <c r="LT1" s="3" t="s">
        <v>485</v>
      </c>
      <c r="LU1" s="3" t="s">
        <v>486</v>
      </c>
      <c r="LV1" s="3" t="s">
        <v>487</v>
      </c>
      <c r="LW1" s="3" t="s">
        <v>488</v>
      </c>
      <c r="LX1" s="3" t="s">
        <v>489</v>
      </c>
      <c r="LY1" s="3" t="s">
        <v>490</v>
      </c>
      <c r="LZ1" s="3" t="s">
        <v>491</v>
      </c>
      <c r="MA1" s="3" t="s">
        <v>492</v>
      </c>
      <c r="MB1" s="3" t="s">
        <v>493</v>
      </c>
      <c r="MC1" s="3" t="s">
        <v>494</v>
      </c>
      <c r="MD1" s="3" t="s">
        <v>495</v>
      </c>
      <c r="ME1" s="3" t="s">
        <v>496</v>
      </c>
      <c r="MF1" s="3" t="s">
        <v>497</v>
      </c>
      <c r="MG1" s="3" t="s">
        <v>498</v>
      </c>
      <c r="MH1" s="3" t="s">
        <v>499</v>
      </c>
      <c r="MI1" s="3" t="s">
        <v>500</v>
      </c>
      <c r="MJ1" s="3" t="s">
        <v>501</v>
      </c>
      <c r="MK1" s="3" t="s">
        <v>502</v>
      </c>
      <c r="ML1" s="3" t="s">
        <v>503</v>
      </c>
      <c r="MM1" s="3" t="s">
        <v>504</v>
      </c>
      <c r="MN1" s="3" t="s">
        <v>505</v>
      </c>
      <c r="MO1" s="3" t="s">
        <v>506</v>
      </c>
      <c r="MP1" s="3" t="s">
        <v>507</v>
      </c>
      <c r="MQ1" s="3" t="s">
        <v>508</v>
      </c>
      <c r="MR1" s="3" t="s">
        <v>509</v>
      </c>
      <c r="MS1" s="3" t="s">
        <v>510</v>
      </c>
      <c r="MT1" s="3" t="s">
        <v>511</v>
      </c>
      <c r="MU1" s="3" t="s">
        <v>512</v>
      </c>
      <c r="MV1" s="3" t="s">
        <v>513</v>
      </c>
      <c r="MW1" s="3" t="s">
        <v>514</v>
      </c>
      <c r="MX1" s="3" t="s">
        <v>515</v>
      </c>
      <c r="MY1" s="3" t="s">
        <v>516</v>
      </c>
      <c r="MZ1" s="3" t="s">
        <v>517</v>
      </c>
      <c r="NA1" s="3" t="s">
        <v>518</v>
      </c>
      <c r="NB1" s="3" t="s">
        <v>519</v>
      </c>
      <c r="NC1" s="3" t="s">
        <v>520</v>
      </c>
      <c r="ND1" s="3" t="s">
        <v>521</v>
      </c>
      <c r="NE1" s="3" t="s">
        <v>522</v>
      </c>
      <c r="NF1" s="3" t="s">
        <v>523</v>
      </c>
      <c r="NG1" s="3" t="s">
        <v>524</v>
      </c>
      <c r="NH1" s="3" t="s">
        <v>525</v>
      </c>
      <c r="NI1" s="3" t="s">
        <v>526</v>
      </c>
      <c r="NJ1" s="3" t="s">
        <v>527</v>
      </c>
      <c r="NK1" s="3" t="s">
        <v>528</v>
      </c>
      <c r="NL1" s="3" t="s">
        <v>529</v>
      </c>
      <c r="NM1" s="3" t="s">
        <v>530</v>
      </c>
      <c r="NN1" s="3" t="s">
        <v>531</v>
      </c>
      <c r="NO1" s="3" t="s">
        <v>532</v>
      </c>
      <c r="NP1" s="3" t="s">
        <v>533</v>
      </c>
      <c r="NQ1" s="3" t="s">
        <v>534</v>
      </c>
      <c r="NR1" s="3" t="s">
        <v>535</v>
      </c>
      <c r="NS1" s="3" t="s">
        <v>536</v>
      </c>
      <c r="NT1" s="3" t="s">
        <v>537</v>
      </c>
      <c r="NU1" s="3" t="s">
        <v>538</v>
      </c>
      <c r="NV1" s="3" t="s">
        <v>539</v>
      </c>
      <c r="NW1" s="3" t="s">
        <v>540</v>
      </c>
      <c r="NX1" s="3" t="s">
        <v>541</v>
      </c>
      <c r="NY1" s="3" t="s">
        <v>542</v>
      </c>
      <c r="NZ1" s="3" t="s">
        <v>543</v>
      </c>
      <c r="OA1" s="3" t="s">
        <v>544</v>
      </c>
      <c r="OB1" s="3" t="s">
        <v>545</v>
      </c>
      <c r="OC1" s="3" t="s">
        <v>546</v>
      </c>
      <c r="OD1" s="3" t="s">
        <v>547</v>
      </c>
      <c r="OE1" s="3" t="s">
        <v>548</v>
      </c>
      <c r="OF1" s="3" t="s">
        <v>549</v>
      </c>
      <c r="OG1" s="3" t="s">
        <v>550</v>
      </c>
      <c r="OH1" s="3" t="s">
        <v>551</v>
      </c>
      <c r="OI1" s="3" t="s">
        <v>552</v>
      </c>
      <c r="OJ1" s="3" t="s">
        <v>553</v>
      </c>
      <c r="OK1" s="3" t="s">
        <v>554</v>
      </c>
      <c r="OL1" s="3" t="s">
        <v>555</v>
      </c>
      <c r="OM1" s="3" t="s">
        <v>556</v>
      </c>
      <c r="ON1" s="3" t="s">
        <v>557</v>
      </c>
      <c r="OO1" s="3" t="s">
        <v>558</v>
      </c>
      <c r="OP1" s="3" t="s">
        <v>559</v>
      </c>
      <c r="OQ1" s="3" t="s">
        <v>560</v>
      </c>
      <c r="OR1" s="3" t="s">
        <v>561</v>
      </c>
      <c r="OS1" s="3" t="s">
        <v>562</v>
      </c>
      <c r="OT1" s="3" t="s">
        <v>563</v>
      </c>
      <c r="OU1" s="3" t="s">
        <v>564</v>
      </c>
      <c r="OV1" s="3" t="s">
        <v>565</v>
      </c>
      <c r="OW1" s="3" t="s">
        <v>566</v>
      </c>
      <c r="OX1" s="3" t="s">
        <v>567</v>
      </c>
      <c r="OY1" s="3" t="s">
        <v>568</v>
      </c>
      <c r="OZ1" s="3" t="s">
        <v>569</v>
      </c>
      <c r="PA1" s="3" t="s">
        <v>570</v>
      </c>
      <c r="PB1" s="3" t="s">
        <v>571</v>
      </c>
      <c r="PC1" s="3" t="s">
        <v>572</v>
      </c>
      <c r="PD1" s="3" t="s">
        <v>573</v>
      </c>
      <c r="PE1" s="3" t="s">
        <v>574</v>
      </c>
      <c r="PF1" s="3" t="s">
        <v>575</v>
      </c>
      <c r="PG1" s="3" t="s">
        <v>576</v>
      </c>
      <c r="PH1" s="3" t="s">
        <v>577</v>
      </c>
      <c r="PI1" s="3" t="s">
        <v>578</v>
      </c>
      <c r="PJ1" s="3" t="s">
        <v>579</v>
      </c>
      <c r="PK1" s="3" t="s">
        <v>580</v>
      </c>
      <c r="PL1" s="3" t="s">
        <v>581</v>
      </c>
      <c r="PM1" s="3" t="s">
        <v>582</v>
      </c>
      <c r="PN1" s="3" t="s">
        <v>583</v>
      </c>
      <c r="PO1" s="3" t="s">
        <v>584</v>
      </c>
      <c r="PP1" s="3" t="s">
        <v>585</v>
      </c>
      <c r="PQ1" s="3" t="s">
        <v>586</v>
      </c>
      <c r="PR1" s="3" t="s">
        <v>587</v>
      </c>
      <c r="PS1" s="3" t="s">
        <v>588</v>
      </c>
      <c r="PT1" s="3" t="s">
        <v>589</v>
      </c>
      <c r="PU1" s="3" t="s">
        <v>590</v>
      </c>
      <c r="PV1" s="3" t="s">
        <v>591</v>
      </c>
      <c r="PW1" s="3" t="s">
        <v>592</v>
      </c>
      <c r="PX1" s="3" t="s">
        <v>593</v>
      </c>
      <c r="PY1" s="3" t="s">
        <v>594</v>
      </c>
      <c r="PZ1" s="3" t="s">
        <v>595</v>
      </c>
      <c r="QA1" s="3" t="s">
        <v>596</v>
      </c>
      <c r="QB1" s="3" t="s">
        <v>597</v>
      </c>
      <c r="QC1" s="3" t="s">
        <v>598</v>
      </c>
      <c r="QD1" s="3" t="s">
        <v>599</v>
      </c>
      <c r="QE1" s="3" t="s">
        <v>600</v>
      </c>
      <c r="QF1" s="3" t="s">
        <v>601</v>
      </c>
      <c r="QG1" s="3" t="s">
        <v>602</v>
      </c>
      <c r="QH1" s="3" t="s">
        <v>603</v>
      </c>
      <c r="QI1" s="3" t="s">
        <v>604</v>
      </c>
      <c r="QJ1" s="3" t="s">
        <v>605</v>
      </c>
      <c r="QK1" s="3" t="s">
        <v>606</v>
      </c>
      <c r="QL1" s="3" t="s">
        <v>607</v>
      </c>
      <c r="QM1" s="3" t="s">
        <v>608</v>
      </c>
      <c r="QN1" s="3" t="s">
        <v>609</v>
      </c>
      <c r="QO1" s="3" t="s">
        <v>610</v>
      </c>
      <c r="QP1" s="3" t="s">
        <v>611</v>
      </c>
      <c r="QQ1" s="3" t="s">
        <v>612</v>
      </c>
      <c r="QR1" s="3" t="s">
        <v>613</v>
      </c>
      <c r="QS1" s="3" t="s">
        <v>614</v>
      </c>
      <c r="QT1" s="3" t="s">
        <v>615</v>
      </c>
      <c r="QU1" s="3" t="s">
        <v>616</v>
      </c>
      <c r="QV1" s="3" t="s">
        <v>617</v>
      </c>
      <c r="QW1" s="3" t="s">
        <v>618</v>
      </c>
      <c r="QX1" s="3" t="s">
        <v>619</v>
      </c>
      <c r="QY1" s="3" t="s">
        <v>620</v>
      </c>
      <c r="QZ1" s="3" t="s">
        <v>621</v>
      </c>
      <c r="RA1" s="3" t="s">
        <v>622</v>
      </c>
      <c r="RB1" s="3" t="s">
        <v>623</v>
      </c>
      <c r="RC1" s="3" t="s">
        <v>624</v>
      </c>
      <c r="RD1" s="3" t="s">
        <v>625</v>
      </c>
      <c r="RE1" s="3" t="s">
        <v>626</v>
      </c>
      <c r="RF1" s="3" t="s">
        <v>627</v>
      </c>
      <c r="RG1" s="3" t="s">
        <v>628</v>
      </c>
      <c r="RH1" s="3" t="s">
        <v>629</v>
      </c>
      <c r="RI1" s="3" t="s">
        <v>630</v>
      </c>
      <c r="RJ1" s="3" t="s">
        <v>631</v>
      </c>
      <c r="RK1" s="3" t="s">
        <v>632</v>
      </c>
      <c r="RL1" s="3" t="s">
        <v>633</v>
      </c>
      <c r="RM1" s="3" t="s">
        <v>634</v>
      </c>
      <c r="RN1" s="3" t="s">
        <v>635</v>
      </c>
      <c r="RO1" s="3" t="s">
        <v>636</v>
      </c>
      <c r="RP1" s="3" t="s">
        <v>637</v>
      </c>
      <c r="RQ1" s="3" t="s">
        <v>638</v>
      </c>
      <c r="RR1" s="3" t="s">
        <v>639</v>
      </c>
      <c r="RS1" s="3" t="s">
        <v>640</v>
      </c>
      <c r="RT1" s="3" t="s">
        <v>641</v>
      </c>
      <c r="RU1" s="3" t="s">
        <v>642</v>
      </c>
      <c r="RV1" s="3" t="s">
        <v>643</v>
      </c>
      <c r="RW1" s="3" t="s">
        <v>644</v>
      </c>
      <c r="RX1" s="3" t="s">
        <v>645</v>
      </c>
      <c r="RY1" s="3" t="s">
        <v>646</v>
      </c>
      <c r="RZ1" s="3" t="s">
        <v>647</v>
      </c>
      <c r="SA1" s="3" t="s">
        <v>648</v>
      </c>
      <c r="SB1" s="3" t="s">
        <v>649</v>
      </c>
      <c r="SC1" s="3" t="s">
        <v>650</v>
      </c>
      <c r="SD1" s="3" t="s">
        <v>651</v>
      </c>
      <c r="SE1" s="3" t="s">
        <v>652</v>
      </c>
      <c r="SF1" s="3" t="s">
        <v>653</v>
      </c>
      <c r="SG1" s="3" t="s">
        <v>654</v>
      </c>
      <c r="SH1" s="3" t="s">
        <v>655</v>
      </c>
      <c r="SI1" s="3" t="s">
        <v>656</v>
      </c>
      <c r="SJ1" s="3" t="s">
        <v>657</v>
      </c>
      <c r="SK1" s="3" t="s">
        <v>658</v>
      </c>
      <c r="SL1" s="3" t="s">
        <v>659</v>
      </c>
      <c r="SM1" s="3" t="s">
        <v>660</v>
      </c>
      <c r="SN1" s="3" t="s">
        <v>661</v>
      </c>
      <c r="SO1" s="3" t="s">
        <v>662</v>
      </c>
      <c r="SP1" s="3" t="s">
        <v>663</v>
      </c>
      <c r="SQ1" s="3" t="s">
        <v>664</v>
      </c>
      <c r="SR1" s="3" t="s">
        <v>665</v>
      </c>
      <c r="SS1" s="3" t="s">
        <v>666</v>
      </c>
      <c r="ST1" s="3" t="s">
        <v>667</v>
      </c>
      <c r="SU1" s="3" t="s">
        <v>668</v>
      </c>
      <c r="SV1" s="3" t="s">
        <v>669</v>
      </c>
      <c r="SW1" s="3" t="s">
        <v>670</v>
      </c>
      <c r="SX1" s="3" t="s">
        <v>671</v>
      </c>
      <c r="SY1" s="3" t="s">
        <v>672</v>
      </c>
      <c r="SZ1" s="3" t="s">
        <v>673</v>
      </c>
      <c r="TA1" s="3" t="s">
        <v>674</v>
      </c>
      <c r="TB1" s="3" t="s">
        <v>675</v>
      </c>
      <c r="TC1" s="3" t="s">
        <v>676</v>
      </c>
      <c r="TD1" s="3" t="s">
        <v>677</v>
      </c>
      <c r="TE1" s="3" t="s">
        <v>678</v>
      </c>
      <c r="TF1" s="3" t="s">
        <v>679</v>
      </c>
      <c r="TG1" s="3" t="s">
        <v>680</v>
      </c>
      <c r="TH1" s="3" t="s">
        <v>681</v>
      </c>
      <c r="TI1" s="3" t="s">
        <v>682</v>
      </c>
      <c r="TJ1" s="3" t="s">
        <v>683</v>
      </c>
      <c r="TK1" s="3" t="s">
        <v>684</v>
      </c>
      <c r="TL1" s="3" t="s">
        <v>685</v>
      </c>
      <c r="TM1" s="3" t="s">
        <v>686</v>
      </c>
      <c r="TN1" s="3" t="s">
        <v>687</v>
      </c>
      <c r="TO1" s="3" t="s">
        <v>688</v>
      </c>
      <c r="TP1" s="3" t="s">
        <v>689</v>
      </c>
      <c r="TQ1" s="3" t="s">
        <v>690</v>
      </c>
      <c r="TR1" s="3" t="s">
        <v>691</v>
      </c>
      <c r="TS1" s="3" t="s">
        <v>692</v>
      </c>
      <c r="TT1" s="3" t="s">
        <v>693</v>
      </c>
      <c r="TU1" s="3" t="s">
        <v>694</v>
      </c>
      <c r="TV1" s="3" t="s">
        <v>695</v>
      </c>
      <c r="TW1" s="3" t="s">
        <v>696</v>
      </c>
      <c r="TX1" s="3" t="s">
        <v>697</v>
      </c>
      <c r="TY1" s="3" t="s">
        <v>698</v>
      </c>
      <c r="TZ1" s="3" t="s">
        <v>699</v>
      </c>
      <c r="UA1" s="3" t="s">
        <v>700</v>
      </c>
      <c r="UB1" s="3" t="s">
        <v>701</v>
      </c>
      <c r="UC1" s="3" t="s">
        <v>702</v>
      </c>
      <c r="UD1" s="3" t="s">
        <v>703</v>
      </c>
      <c r="UE1" s="3" t="s">
        <v>704</v>
      </c>
      <c r="UF1" s="3" t="s">
        <v>705</v>
      </c>
      <c r="UG1" s="3" t="s">
        <v>706</v>
      </c>
      <c r="UH1" s="3" t="s">
        <v>707</v>
      </c>
      <c r="UI1" s="3" t="s">
        <v>708</v>
      </c>
      <c r="UJ1" s="3" t="s">
        <v>709</v>
      </c>
      <c r="UK1" s="3" t="s">
        <v>710</v>
      </c>
      <c r="UL1" s="3" t="s">
        <v>711</v>
      </c>
      <c r="UM1" s="3" t="s">
        <v>712</v>
      </c>
      <c r="UN1" s="3" t="s">
        <v>713</v>
      </c>
      <c r="UO1" s="3" t="s">
        <v>714</v>
      </c>
      <c r="UP1" s="3" t="s">
        <v>715</v>
      </c>
      <c r="UQ1" s="3" t="s">
        <v>716</v>
      </c>
      <c r="UR1" s="3" t="s">
        <v>717</v>
      </c>
      <c r="US1" s="3" t="s">
        <v>718</v>
      </c>
      <c r="UT1" s="3" t="s">
        <v>719</v>
      </c>
      <c r="UU1" s="3" t="s">
        <v>720</v>
      </c>
      <c r="UV1" s="3" t="s">
        <v>721</v>
      </c>
      <c r="UW1" s="3" t="s">
        <v>722</v>
      </c>
      <c r="UX1" s="3" t="s">
        <v>723</v>
      </c>
      <c r="UY1" s="3" t="s">
        <v>724</v>
      </c>
      <c r="UZ1" s="3" t="s">
        <v>725</v>
      </c>
      <c r="VA1" s="3" t="s">
        <v>726</v>
      </c>
      <c r="VB1" s="3" t="s">
        <v>727</v>
      </c>
      <c r="VC1" s="3" t="s">
        <v>728</v>
      </c>
      <c r="VD1" s="3" t="s">
        <v>729</v>
      </c>
      <c r="VE1" s="3" t="s">
        <v>730</v>
      </c>
      <c r="VF1" s="3" t="s">
        <v>731</v>
      </c>
      <c r="VG1" s="3" t="s">
        <v>732</v>
      </c>
      <c r="VH1" s="3" t="s">
        <v>733</v>
      </c>
      <c r="VI1" s="3" t="s">
        <v>734</v>
      </c>
      <c r="VJ1" s="3" t="s">
        <v>735</v>
      </c>
      <c r="VK1" s="3" t="s">
        <v>736</v>
      </c>
      <c r="VL1" s="3" t="s">
        <v>737</v>
      </c>
      <c r="VM1" s="3" t="s">
        <v>738</v>
      </c>
      <c r="VN1" s="3" t="s">
        <v>739</v>
      </c>
      <c r="VO1" s="3" t="s">
        <v>740</v>
      </c>
      <c r="VP1" s="3" t="s">
        <v>741</v>
      </c>
      <c r="VQ1" s="3" t="s">
        <v>742</v>
      </c>
      <c r="VR1" s="3" t="s">
        <v>743</v>
      </c>
      <c r="VS1" s="3" t="s">
        <v>744</v>
      </c>
      <c r="VT1" s="3" t="s">
        <v>745</v>
      </c>
      <c r="VU1" s="3" t="s">
        <v>746</v>
      </c>
      <c r="VV1" s="3" t="s">
        <v>747</v>
      </c>
      <c r="VW1" s="3" t="s">
        <v>748</v>
      </c>
      <c r="VX1" s="3" t="s">
        <v>749</v>
      </c>
      <c r="VY1" s="3" t="s">
        <v>750</v>
      </c>
      <c r="VZ1" s="3" t="s">
        <v>751</v>
      </c>
      <c r="WA1" s="3" t="s">
        <v>752</v>
      </c>
      <c r="WB1" s="3" t="s">
        <v>753</v>
      </c>
      <c r="WC1" s="3" t="s">
        <v>754</v>
      </c>
      <c r="WD1" s="3" t="s">
        <v>755</v>
      </c>
      <c r="WE1" s="3" t="s">
        <v>756</v>
      </c>
      <c r="WF1" s="3" t="s">
        <v>757</v>
      </c>
      <c r="WG1" s="3" t="s">
        <v>758</v>
      </c>
      <c r="WH1" s="3" t="s">
        <v>759</v>
      </c>
      <c r="WI1" s="3" t="s">
        <v>760</v>
      </c>
      <c r="WJ1" s="3" t="s">
        <v>761</v>
      </c>
      <c r="WK1" s="3" t="s">
        <v>762</v>
      </c>
      <c r="WL1" s="3" t="s">
        <v>763</v>
      </c>
      <c r="WM1" s="3" t="s">
        <v>764</v>
      </c>
      <c r="WN1" s="3" t="s">
        <v>765</v>
      </c>
      <c r="WO1" s="3" t="s">
        <v>766</v>
      </c>
      <c r="WP1" s="3" t="s">
        <v>767</v>
      </c>
      <c r="WQ1" s="3" t="s">
        <v>768</v>
      </c>
      <c r="WR1" s="3" t="s">
        <v>769</v>
      </c>
      <c r="WS1" s="3" t="s">
        <v>770</v>
      </c>
      <c r="WT1" s="3" t="s">
        <v>771</v>
      </c>
      <c r="WU1" s="3" t="s">
        <v>772</v>
      </c>
      <c r="WV1" s="3" t="s">
        <v>773</v>
      </c>
      <c r="WW1" s="3" t="s">
        <v>774</v>
      </c>
      <c r="WX1" s="3" t="s">
        <v>775</v>
      </c>
      <c r="WY1" s="3" t="s">
        <v>776</v>
      </c>
      <c r="WZ1" s="3" t="s">
        <v>777</v>
      </c>
      <c r="XA1" s="3" t="s">
        <v>778</v>
      </c>
      <c r="XB1" s="3" t="s">
        <v>779</v>
      </c>
      <c r="XC1" s="3" t="s">
        <v>780</v>
      </c>
      <c r="XD1" s="3" t="s">
        <v>781</v>
      </c>
      <c r="XE1" s="3" t="s">
        <v>782</v>
      </c>
      <c r="XF1" s="3" t="s">
        <v>783</v>
      </c>
      <c r="XG1" s="3" t="s">
        <v>784</v>
      </c>
      <c r="XH1" s="3" t="s">
        <v>785</v>
      </c>
      <c r="XI1" s="3" t="s">
        <v>786</v>
      </c>
      <c r="XJ1" s="3" t="s">
        <v>787</v>
      </c>
      <c r="XK1" s="3" t="s">
        <v>788</v>
      </c>
      <c r="XL1" s="3" t="s">
        <v>789</v>
      </c>
      <c r="XM1" s="3" t="s">
        <v>790</v>
      </c>
      <c r="XN1" s="3" t="s">
        <v>791</v>
      </c>
      <c r="XO1" s="3" t="s">
        <v>792</v>
      </c>
      <c r="XP1" s="3" t="s">
        <v>793</v>
      </c>
      <c r="XQ1" s="3" t="s">
        <v>794</v>
      </c>
      <c r="XR1" s="3" t="s">
        <v>795</v>
      </c>
      <c r="XS1" s="3" t="s">
        <v>796</v>
      </c>
      <c r="XT1" s="3" t="s">
        <v>797</v>
      </c>
      <c r="XU1" s="3" t="s">
        <v>798</v>
      </c>
      <c r="XV1" s="3" t="s">
        <v>799</v>
      </c>
      <c r="XW1" s="3" t="s">
        <v>800</v>
      </c>
      <c r="XX1" s="3" t="s">
        <v>801</v>
      </c>
      <c r="XY1" s="3" t="s">
        <v>802</v>
      </c>
      <c r="XZ1" s="3" t="s">
        <v>803</v>
      </c>
      <c r="YA1" s="3" t="s">
        <v>804</v>
      </c>
      <c r="YB1" s="3" t="s">
        <v>805</v>
      </c>
      <c r="YC1" s="3" t="s">
        <v>806</v>
      </c>
      <c r="YD1" s="3" t="s">
        <v>807</v>
      </c>
      <c r="YE1" s="3" t="s">
        <v>808</v>
      </c>
      <c r="YF1" s="3" t="s">
        <v>809</v>
      </c>
      <c r="YG1" s="3" t="s">
        <v>810</v>
      </c>
      <c r="YH1" s="3" t="s">
        <v>811</v>
      </c>
      <c r="YI1" s="3" t="s">
        <v>812</v>
      </c>
      <c r="YJ1" s="3" t="s">
        <v>813</v>
      </c>
      <c r="YK1" s="3" t="s">
        <v>814</v>
      </c>
      <c r="YL1" s="3" t="s">
        <v>815</v>
      </c>
      <c r="YM1" s="3" t="s">
        <v>816</v>
      </c>
      <c r="YN1" s="3" t="s">
        <v>817</v>
      </c>
      <c r="YO1" s="3" t="s">
        <v>818</v>
      </c>
      <c r="YP1" s="3" t="s">
        <v>819</v>
      </c>
      <c r="YQ1" s="3" t="s">
        <v>820</v>
      </c>
      <c r="YR1" s="3" t="s">
        <v>821</v>
      </c>
      <c r="YS1" s="3" t="s">
        <v>822</v>
      </c>
      <c r="YT1" s="3" t="s">
        <v>823</v>
      </c>
      <c r="YU1" s="3" t="s">
        <v>824</v>
      </c>
      <c r="YV1" s="3" t="s">
        <v>825</v>
      </c>
      <c r="YW1" s="3" t="s">
        <v>826</v>
      </c>
      <c r="YX1" s="3" t="s">
        <v>827</v>
      </c>
      <c r="YY1" s="3" t="s">
        <v>828</v>
      </c>
      <c r="YZ1" s="3" t="s">
        <v>829</v>
      </c>
      <c r="ZA1" s="3" t="s">
        <v>830</v>
      </c>
      <c r="ZB1" s="3" t="s">
        <v>831</v>
      </c>
      <c r="ZC1" s="3" t="s">
        <v>832</v>
      </c>
      <c r="ZD1" s="3" t="s">
        <v>833</v>
      </c>
      <c r="ZE1" s="3" t="s">
        <v>834</v>
      </c>
      <c r="ZF1" s="3" t="s">
        <v>835</v>
      </c>
      <c r="ZG1" s="3" t="s">
        <v>836</v>
      </c>
      <c r="ZH1" s="3" t="s">
        <v>837</v>
      </c>
      <c r="ZI1" s="3" t="s">
        <v>838</v>
      </c>
      <c r="ZJ1" s="3" t="s">
        <v>839</v>
      </c>
      <c r="ZK1" s="3" t="s">
        <v>840</v>
      </c>
      <c r="ZL1" s="3" t="s">
        <v>841</v>
      </c>
      <c r="ZM1" s="3" t="s">
        <v>842</v>
      </c>
      <c r="ZN1" s="3" t="s">
        <v>843</v>
      </c>
      <c r="ZO1" s="3" t="s">
        <v>844</v>
      </c>
      <c r="ZP1" s="3" t="s">
        <v>845</v>
      </c>
      <c r="ZQ1" s="3" t="s">
        <v>846</v>
      </c>
      <c r="ZR1" s="3" t="s">
        <v>847</v>
      </c>
      <c r="ZS1" s="3" t="s">
        <v>848</v>
      </c>
      <c r="ZT1" s="3" t="s">
        <v>849</v>
      </c>
      <c r="ZU1" s="3" t="s">
        <v>850</v>
      </c>
      <c r="ZV1" s="3" t="s">
        <v>851</v>
      </c>
      <c r="ZW1" s="3" t="s">
        <v>852</v>
      </c>
      <c r="ZX1" s="3" t="s">
        <v>853</v>
      </c>
      <c r="ZY1" s="3" t="s">
        <v>854</v>
      </c>
      <c r="ZZ1" s="3" t="s">
        <v>855</v>
      </c>
      <c r="AAA1" s="3" t="s">
        <v>856</v>
      </c>
      <c r="AAB1" s="3" t="s">
        <v>857</v>
      </c>
      <c r="AAC1" s="3" t="s">
        <v>858</v>
      </c>
      <c r="AAD1" s="3" t="s">
        <v>859</v>
      </c>
      <c r="AAE1" s="3" t="s">
        <v>860</v>
      </c>
      <c r="AAF1" s="3" t="s">
        <v>861</v>
      </c>
      <c r="AAG1" s="3" t="s">
        <v>862</v>
      </c>
      <c r="AAH1" s="3" t="s">
        <v>863</v>
      </c>
      <c r="AAI1" s="3" t="s">
        <v>864</v>
      </c>
      <c r="AAJ1" s="3" t="s">
        <v>865</v>
      </c>
      <c r="AAK1" s="3" t="s">
        <v>866</v>
      </c>
      <c r="AAL1" s="3" t="s">
        <v>867</v>
      </c>
      <c r="AAM1" s="3" t="s">
        <v>868</v>
      </c>
      <c r="AAN1" s="3" t="s">
        <v>869</v>
      </c>
      <c r="AAO1" s="3" t="s">
        <v>870</v>
      </c>
      <c r="AAP1" s="3" t="s">
        <v>871</v>
      </c>
      <c r="AAQ1" s="3" t="s">
        <v>872</v>
      </c>
      <c r="AAR1" s="3" t="s">
        <v>873</v>
      </c>
      <c r="AAS1" s="3" t="s">
        <v>874</v>
      </c>
      <c r="AAT1" s="3" t="s">
        <v>875</v>
      </c>
      <c r="AAU1" s="3" t="s">
        <v>876</v>
      </c>
      <c r="AAV1" s="3" t="s">
        <v>877</v>
      </c>
      <c r="AAW1" s="3" t="s">
        <v>878</v>
      </c>
      <c r="AAX1" s="3" t="s">
        <v>879</v>
      </c>
      <c r="AAY1" s="3" t="s">
        <v>880</v>
      </c>
      <c r="AAZ1" s="3" t="s">
        <v>881</v>
      </c>
      <c r="ABA1" s="3" t="s">
        <v>882</v>
      </c>
      <c r="ABB1" s="3" t="s">
        <v>883</v>
      </c>
      <c r="ABC1" s="3" t="s">
        <v>884</v>
      </c>
      <c r="ABD1" s="3" t="s">
        <v>885</v>
      </c>
      <c r="ABE1" s="3" t="s">
        <v>886</v>
      </c>
      <c r="ABF1" s="3" t="s">
        <v>887</v>
      </c>
      <c r="ABG1" s="3" t="s">
        <v>888</v>
      </c>
      <c r="ABH1" s="3" t="s">
        <v>889</v>
      </c>
      <c r="ABI1" s="3" t="s">
        <v>890</v>
      </c>
      <c r="ABJ1" s="3" t="s">
        <v>891</v>
      </c>
      <c r="ABK1" s="3" t="s">
        <v>892</v>
      </c>
      <c r="ABL1" s="3" t="s">
        <v>893</v>
      </c>
      <c r="ABM1" s="3" t="s">
        <v>894</v>
      </c>
      <c r="ABN1" s="3" t="s">
        <v>895</v>
      </c>
      <c r="ABO1" s="3" t="s">
        <v>896</v>
      </c>
      <c r="ABP1" s="3" t="s">
        <v>897</v>
      </c>
      <c r="ABQ1" s="3" t="s">
        <v>898</v>
      </c>
      <c r="ABR1" s="3" t="s">
        <v>899</v>
      </c>
      <c r="ABS1" s="3" t="s">
        <v>900</v>
      </c>
      <c r="ABT1" s="3" t="s">
        <v>901</v>
      </c>
      <c r="ABU1" s="3" t="s">
        <v>902</v>
      </c>
      <c r="ABV1" s="3" t="s">
        <v>903</v>
      </c>
      <c r="ABW1" s="3" t="s">
        <v>904</v>
      </c>
      <c r="ABX1" s="3" t="s">
        <v>905</v>
      </c>
      <c r="ABY1" s="3" t="s">
        <v>906</v>
      </c>
      <c r="ABZ1" s="3" t="s">
        <v>907</v>
      </c>
      <c r="ACA1" s="3" t="s">
        <v>908</v>
      </c>
      <c r="ACB1" s="3" t="s">
        <v>909</v>
      </c>
      <c r="ACC1" s="3" t="s">
        <v>910</v>
      </c>
      <c r="ACD1" s="3" t="s">
        <v>911</v>
      </c>
      <c r="ACE1" s="3" t="s">
        <v>912</v>
      </c>
      <c r="ACF1" s="3" t="s">
        <v>913</v>
      </c>
      <c r="ACG1" s="3" t="s">
        <v>914</v>
      </c>
      <c r="ACH1" s="3" t="s">
        <v>915</v>
      </c>
      <c r="ACI1" s="3" t="s">
        <v>916</v>
      </c>
      <c r="ACJ1" s="3" t="s">
        <v>917</v>
      </c>
      <c r="ACK1" s="3" t="s">
        <v>918</v>
      </c>
      <c r="ACL1" s="3" t="s">
        <v>919</v>
      </c>
      <c r="ACM1" s="3" t="s">
        <v>920</v>
      </c>
      <c r="ACN1" s="3" t="s">
        <v>921</v>
      </c>
      <c r="ACO1" s="3" t="s">
        <v>922</v>
      </c>
      <c r="ACP1" s="3" t="s">
        <v>923</v>
      </c>
      <c r="ACQ1" s="3" t="s">
        <v>924</v>
      </c>
      <c r="ACR1" s="3" t="s">
        <v>925</v>
      </c>
      <c r="ACS1" s="3" t="s">
        <v>926</v>
      </c>
      <c r="ACT1" s="3" t="s">
        <v>927</v>
      </c>
      <c r="ACU1" s="3" t="s">
        <v>928</v>
      </c>
      <c r="ACV1" s="3" t="s">
        <v>929</v>
      </c>
      <c r="ACW1" s="3" t="s">
        <v>930</v>
      </c>
      <c r="ACX1" s="3" t="s">
        <v>931</v>
      </c>
      <c r="ACY1" s="3" t="s">
        <v>932</v>
      </c>
      <c r="ACZ1" s="3" t="s">
        <v>933</v>
      </c>
      <c r="ADA1" s="3" t="s">
        <v>934</v>
      </c>
      <c r="ADB1" s="3" t="s">
        <v>935</v>
      </c>
      <c r="ADC1" s="3" t="s">
        <v>936</v>
      </c>
      <c r="ADD1" s="3" t="s">
        <v>937</v>
      </c>
      <c r="ADE1" s="3" t="s">
        <v>938</v>
      </c>
      <c r="ADF1" s="3" t="s">
        <v>939</v>
      </c>
      <c r="ADG1" s="3" t="s">
        <v>940</v>
      </c>
      <c r="ADH1" s="3" t="s">
        <v>941</v>
      </c>
      <c r="ADI1" s="3" t="s">
        <v>942</v>
      </c>
      <c r="ADJ1" s="3" t="s">
        <v>943</v>
      </c>
      <c r="ADK1" s="3" t="s">
        <v>944</v>
      </c>
      <c r="ADL1" s="3" t="s">
        <v>945</v>
      </c>
      <c r="ADM1" s="3" t="s">
        <v>946</v>
      </c>
      <c r="ADN1" s="3" t="s">
        <v>947</v>
      </c>
      <c r="ADO1" s="3" t="s">
        <v>948</v>
      </c>
      <c r="ADP1" s="3" t="s">
        <v>949</v>
      </c>
      <c r="ADQ1" s="3" t="s">
        <v>950</v>
      </c>
      <c r="ADR1" s="3" t="s">
        <v>951</v>
      </c>
      <c r="ADS1" s="3" t="s">
        <v>952</v>
      </c>
      <c r="ADT1" s="3" t="s">
        <v>953</v>
      </c>
      <c r="ADU1" s="3" t="s">
        <v>954</v>
      </c>
      <c r="ADV1" s="3" t="s">
        <v>955</v>
      </c>
      <c r="ADW1" s="3" t="s">
        <v>956</v>
      </c>
      <c r="ADX1" s="3" t="s">
        <v>957</v>
      </c>
      <c r="ADY1" s="3" t="s">
        <v>958</v>
      </c>
      <c r="ADZ1" s="3" t="s">
        <v>959</v>
      </c>
      <c r="AEA1" s="3" t="s">
        <v>960</v>
      </c>
      <c r="AEB1" s="3" t="s">
        <v>961</v>
      </c>
      <c r="AEC1" s="3" t="s">
        <v>962</v>
      </c>
      <c r="AED1" s="3" t="s">
        <v>963</v>
      </c>
      <c r="AEE1" s="3" t="s">
        <v>964</v>
      </c>
      <c r="AEF1" s="3" t="s">
        <v>965</v>
      </c>
      <c r="AEG1" s="3" t="s">
        <v>966</v>
      </c>
      <c r="AEH1" s="3" t="s">
        <v>967</v>
      </c>
      <c r="AEI1" s="3" t="s">
        <v>968</v>
      </c>
      <c r="AEJ1" s="3" t="s">
        <v>969</v>
      </c>
      <c r="AEK1" s="3" t="s">
        <v>970</v>
      </c>
      <c r="AEL1" s="3" t="s">
        <v>971</v>
      </c>
      <c r="AEM1" s="3" t="s">
        <v>972</v>
      </c>
      <c r="AEN1" s="3" t="s">
        <v>973</v>
      </c>
      <c r="AEO1" s="3" t="s">
        <v>974</v>
      </c>
      <c r="AEP1" s="3" t="s">
        <v>975</v>
      </c>
      <c r="AEQ1" s="3" t="s">
        <v>976</v>
      </c>
      <c r="AER1" s="3" t="s">
        <v>977</v>
      </c>
      <c r="AES1" s="3" t="s">
        <v>978</v>
      </c>
      <c r="AET1" s="3" t="s">
        <v>979</v>
      </c>
      <c r="AEU1" s="3" t="s">
        <v>980</v>
      </c>
      <c r="AEV1" s="3" t="s">
        <v>981</v>
      </c>
      <c r="AEW1" s="3" t="s">
        <v>982</v>
      </c>
      <c r="AEX1" s="3" t="s">
        <v>983</v>
      </c>
      <c r="AEY1" s="3" t="s">
        <v>984</v>
      </c>
      <c r="AEZ1" s="3" t="s">
        <v>985</v>
      </c>
      <c r="AFA1" s="3" t="s">
        <v>986</v>
      </c>
      <c r="AFB1" s="3" t="s">
        <v>987</v>
      </c>
      <c r="AFC1" s="3" t="s">
        <v>988</v>
      </c>
      <c r="AFD1" s="3" t="s">
        <v>989</v>
      </c>
      <c r="AFE1" s="3" t="s">
        <v>990</v>
      </c>
      <c r="AFF1" s="3" t="s">
        <v>991</v>
      </c>
      <c r="AFG1" s="3" t="s">
        <v>992</v>
      </c>
      <c r="AFH1" s="3" t="s">
        <v>993</v>
      </c>
      <c r="AFI1" s="3" t="s">
        <v>994</v>
      </c>
      <c r="AFJ1" s="3" t="s">
        <v>995</v>
      </c>
      <c r="AFK1" s="3" t="s">
        <v>996</v>
      </c>
      <c r="AFL1" s="3" t="s">
        <v>997</v>
      </c>
      <c r="AFM1" s="3" t="s">
        <v>998</v>
      </c>
      <c r="AFN1" s="3" t="s">
        <v>999</v>
      </c>
      <c r="AFO1" s="3" t="s">
        <v>1000</v>
      </c>
      <c r="AFP1" s="3" t="s">
        <v>1001</v>
      </c>
      <c r="AFQ1" s="3" t="s">
        <v>1002</v>
      </c>
      <c r="AFR1" s="3" t="s">
        <v>1003</v>
      </c>
      <c r="AFS1" s="3" t="s">
        <v>1004</v>
      </c>
      <c r="AFT1" s="3" t="s">
        <v>1005</v>
      </c>
      <c r="AFU1" s="3" t="s">
        <v>1006</v>
      </c>
      <c r="AFV1" s="3" t="s">
        <v>1007</v>
      </c>
      <c r="AFW1" s="3" t="s">
        <v>1008</v>
      </c>
      <c r="AFX1" s="3" t="s">
        <v>1009</v>
      </c>
      <c r="AFY1" s="3" t="s">
        <v>1010</v>
      </c>
      <c r="AFZ1" s="3" t="s">
        <v>1011</v>
      </c>
      <c r="AGA1" s="3" t="s">
        <v>1012</v>
      </c>
      <c r="AGB1" s="3" t="s">
        <v>1013</v>
      </c>
      <c r="AGC1" s="3" t="s">
        <v>1014</v>
      </c>
      <c r="AGD1" s="3" t="s">
        <v>1015</v>
      </c>
      <c r="AGE1" s="3" t="s">
        <v>1016</v>
      </c>
      <c r="AGF1" s="3" t="s">
        <v>1017</v>
      </c>
      <c r="AGG1" s="3" t="s">
        <v>1018</v>
      </c>
      <c r="AGH1" s="3" t="s">
        <v>1019</v>
      </c>
      <c r="AGI1" s="3" t="s">
        <v>1020</v>
      </c>
      <c r="AGJ1" s="3" t="s">
        <v>1021</v>
      </c>
      <c r="AGK1" s="3" t="s">
        <v>1022</v>
      </c>
      <c r="AGL1" s="3" t="s">
        <v>1023</v>
      </c>
      <c r="AGM1" s="3" t="s">
        <v>1024</v>
      </c>
      <c r="AGN1" s="3" t="s">
        <v>1025</v>
      </c>
      <c r="AGO1" s="3" t="s">
        <v>1026</v>
      </c>
      <c r="AGP1" s="3" t="s">
        <v>1027</v>
      </c>
      <c r="AGQ1" s="3" t="s">
        <v>1028</v>
      </c>
      <c r="AGR1" s="3" t="s">
        <v>1029</v>
      </c>
      <c r="AGS1" s="3" t="s">
        <v>1030</v>
      </c>
      <c r="AGT1" s="3" t="s">
        <v>1031</v>
      </c>
      <c r="AGU1" s="3" t="s">
        <v>1032</v>
      </c>
      <c r="AGV1" s="3" t="s">
        <v>1033</v>
      </c>
      <c r="AGW1" s="3" t="s">
        <v>1034</v>
      </c>
      <c r="AGX1" s="3" t="s">
        <v>1035</v>
      </c>
      <c r="AGY1" s="3" t="s">
        <v>1036</v>
      </c>
      <c r="AGZ1" s="3" t="s">
        <v>1037</v>
      </c>
      <c r="AHA1" s="3" t="s">
        <v>1038</v>
      </c>
      <c r="AHB1" s="3" t="s">
        <v>1039</v>
      </c>
      <c r="AHC1" s="3" t="s">
        <v>1040</v>
      </c>
      <c r="AHD1" s="3" t="s">
        <v>1041</v>
      </c>
      <c r="AHE1" s="3" t="s">
        <v>1042</v>
      </c>
      <c r="AHF1" s="3" t="s">
        <v>1043</v>
      </c>
      <c r="AHG1" s="3" t="s">
        <v>1044</v>
      </c>
      <c r="AHH1" s="3" t="s">
        <v>1045</v>
      </c>
      <c r="AHI1" s="3" t="s">
        <v>1046</v>
      </c>
      <c r="AHJ1" s="3" t="s">
        <v>1047</v>
      </c>
      <c r="AHK1" s="3" t="s">
        <v>1048</v>
      </c>
      <c r="AHL1" s="3" t="s">
        <v>1049</v>
      </c>
      <c r="AHM1" s="3" t="s">
        <v>1050</v>
      </c>
      <c r="AHN1" s="3" t="s">
        <v>1051</v>
      </c>
      <c r="AHO1" s="3" t="s">
        <v>1052</v>
      </c>
      <c r="AHP1" s="3" t="s">
        <v>1053</v>
      </c>
      <c r="AHQ1" s="3" t="s">
        <v>1054</v>
      </c>
      <c r="AHR1" s="3" t="s">
        <v>1055</v>
      </c>
      <c r="AHS1" s="3" t="s">
        <v>1056</v>
      </c>
      <c r="AHT1" s="3" t="s">
        <v>1057</v>
      </c>
      <c r="AHU1" s="3" t="s">
        <v>1058</v>
      </c>
      <c r="AHV1" s="3" t="s">
        <v>1059</v>
      </c>
      <c r="AHW1" s="3" t="s">
        <v>1060</v>
      </c>
      <c r="AHX1" s="3" t="s">
        <v>1061</v>
      </c>
      <c r="AHY1" s="3" t="s">
        <v>1062</v>
      </c>
      <c r="AHZ1" s="3" t="s">
        <v>1063</v>
      </c>
      <c r="AIA1" s="3" t="s">
        <v>1064</v>
      </c>
      <c r="AIB1" s="3" t="s">
        <v>1065</v>
      </c>
      <c r="AIC1" s="3" t="s">
        <v>1066</v>
      </c>
      <c r="AID1" s="3" t="s">
        <v>1067</v>
      </c>
      <c r="AIE1" s="3" t="s">
        <v>1068</v>
      </c>
      <c r="AIF1" s="3" t="s">
        <v>1069</v>
      </c>
      <c r="AIG1" s="3" t="s">
        <v>1070</v>
      </c>
      <c r="AIH1" s="3" t="s">
        <v>1071</v>
      </c>
      <c r="AII1" s="3" t="s">
        <v>1072</v>
      </c>
      <c r="AIJ1" s="3" t="s">
        <v>1073</v>
      </c>
      <c r="AIK1" s="3" t="s">
        <v>1074</v>
      </c>
      <c r="AIL1" s="3" t="s">
        <v>1075</v>
      </c>
      <c r="AIM1" s="3" t="s">
        <v>1076</v>
      </c>
      <c r="AIN1" s="3" t="s">
        <v>1077</v>
      </c>
      <c r="AIO1" s="3" t="s">
        <v>1078</v>
      </c>
      <c r="AIP1" s="3" t="s">
        <v>1079</v>
      </c>
      <c r="AIQ1" s="3" t="s">
        <v>1080</v>
      </c>
      <c r="AIR1" s="3" t="s">
        <v>1081</v>
      </c>
      <c r="AIS1" s="3" t="s">
        <v>1082</v>
      </c>
      <c r="AIT1" s="3" t="s">
        <v>1083</v>
      </c>
      <c r="AIU1" s="3" t="s">
        <v>1084</v>
      </c>
      <c r="AIV1" s="3" t="s">
        <v>1085</v>
      </c>
      <c r="AIW1" s="3" t="s">
        <v>1086</v>
      </c>
      <c r="AIX1" s="3" t="s">
        <v>1087</v>
      </c>
      <c r="AIY1" s="3" t="s">
        <v>1088</v>
      </c>
      <c r="AIZ1" s="3" t="s">
        <v>1089</v>
      </c>
      <c r="AJA1" s="3" t="s">
        <v>1090</v>
      </c>
      <c r="AJB1" s="3" t="s">
        <v>1091</v>
      </c>
      <c r="AJC1" s="3" t="s">
        <v>1092</v>
      </c>
      <c r="AJD1" s="3" t="s">
        <v>1093</v>
      </c>
      <c r="AJE1" s="3" t="s">
        <v>1094</v>
      </c>
      <c r="AJF1" s="3" t="s">
        <v>1095</v>
      </c>
      <c r="AJG1" s="3" t="s">
        <v>1096</v>
      </c>
      <c r="AJH1" s="3" t="s">
        <v>1097</v>
      </c>
      <c r="AJI1" s="3" t="s">
        <v>1098</v>
      </c>
      <c r="AJJ1" s="3" t="s">
        <v>1099</v>
      </c>
      <c r="AJK1" s="3" t="s">
        <v>1100</v>
      </c>
      <c r="AJL1" s="3" t="s">
        <v>1101</v>
      </c>
      <c r="AJM1" s="3" t="s">
        <v>1102</v>
      </c>
      <c r="AJN1" s="3" t="s">
        <v>1103</v>
      </c>
      <c r="AJO1" s="3" t="s">
        <v>1104</v>
      </c>
      <c r="AJP1" s="3" t="s">
        <v>1105</v>
      </c>
      <c r="AJQ1" s="3" t="s">
        <v>1106</v>
      </c>
      <c r="AJR1" s="3" t="s">
        <v>1107</v>
      </c>
      <c r="AJS1" s="3" t="s">
        <v>1108</v>
      </c>
      <c r="AJT1" s="3" t="s">
        <v>1109</v>
      </c>
      <c r="AJU1" s="3" t="s">
        <v>1110</v>
      </c>
      <c r="AJV1" s="3" t="s">
        <v>1111</v>
      </c>
      <c r="AJW1" s="3" t="s">
        <v>1112</v>
      </c>
      <c r="AJX1" s="3" t="s">
        <v>1113</v>
      </c>
      <c r="AJY1" s="3" t="s">
        <v>1114</v>
      </c>
      <c r="AJZ1" s="3" t="s">
        <v>1115</v>
      </c>
      <c r="AKA1" s="3" t="s">
        <v>1116</v>
      </c>
      <c r="AKB1" s="3" t="s">
        <v>1117</v>
      </c>
      <c r="AKC1" s="3" t="s">
        <v>1118</v>
      </c>
      <c r="AKD1" s="3" t="s">
        <v>1119</v>
      </c>
      <c r="AKE1" s="3" t="s">
        <v>1120</v>
      </c>
      <c r="AKF1" s="3" t="s">
        <v>1121</v>
      </c>
      <c r="AKG1" s="3" t="s">
        <v>1122</v>
      </c>
      <c r="AKH1" s="3" t="s">
        <v>1123</v>
      </c>
      <c r="AKI1" s="3" t="s">
        <v>1124</v>
      </c>
      <c r="AKJ1" s="3" t="s">
        <v>1125</v>
      </c>
      <c r="AKK1" s="3" t="s">
        <v>1126</v>
      </c>
      <c r="AKL1" s="3" t="s">
        <v>1127</v>
      </c>
      <c r="AKM1" s="3" t="s">
        <v>1128</v>
      </c>
      <c r="AKN1" s="3" t="s">
        <v>1129</v>
      </c>
      <c r="AKO1" s="3" t="s">
        <v>1130</v>
      </c>
      <c r="AKP1" s="3" t="s">
        <v>1131</v>
      </c>
      <c r="AKQ1" s="3" t="s">
        <v>1132</v>
      </c>
      <c r="AKR1" s="3" t="s">
        <v>1133</v>
      </c>
      <c r="AKS1" s="3" t="s">
        <v>1134</v>
      </c>
      <c r="AKT1" s="3" t="s">
        <v>1135</v>
      </c>
      <c r="AKU1" s="3" t="s">
        <v>1136</v>
      </c>
      <c r="AKV1" s="3" t="s">
        <v>1137</v>
      </c>
      <c r="AKW1" s="3" t="s">
        <v>1138</v>
      </c>
      <c r="AKX1" s="3" t="s">
        <v>1139</v>
      </c>
      <c r="AKY1" s="3" t="s">
        <v>1140</v>
      </c>
      <c r="AKZ1" s="3" t="s">
        <v>1141</v>
      </c>
      <c r="ALA1" s="3" t="s">
        <v>1142</v>
      </c>
      <c r="ALB1" s="3" t="s">
        <v>1143</v>
      </c>
      <c r="ALC1" s="3" t="s">
        <v>1144</v>
      </c>
      <c r="ALD1" s="3" t="s">
        <v>1145</v>
      </c>
      <c r="ALE1" s="3" t="s">
        <v>1146</v>
      </c>
      <c r="ALF1" s="3" t="s">
        <v>1147</v>
      </c>
      <c r="ALG1" s="3" t="s">
        <v>1148</v>
      </c>
      <c r="ALH1" s="3" t="s">
        <v>1149</v>
      </c>
      <c r="ALI1" s="3" t="s">
        <v>1150</v>
      </c>
      <c r="ALJ1" s="3" t="s">
        <v>1151</v>
      </c>
      <c r="ALK1" s="3" t="s">
        <v>1152</v>
      </c>
      <c r="ALL1" s="3" t="s">
        <v>1153</v>
      </c>
      <c r="ALM1" s="3" t="s">
        <v>1154</v>
      </c>
      <c r="ALN1" s="3" t="s">
        <v>1155</v>
      </c>
      <c r="ALO1" s="3" t="s">
        <v>1156</v>
      </c>
      <c r="ALP1" s="3" t="s">
        <v>1157</v>
      </c>
      <c r="ALQ1" s="3" t="s">
        <v>1158</v>
      </c>
      <c r="ALR1" s="3" t="s">
        <v>1159</v>
      </c>
      <c r="ALS1" s="3" t="s">
        <v>1160</v>
      </c>
      <c r="ALT1" s="3" t="s">
        <v>1161</v>
      </c>
      <c r="ALU1" s="3" t="s">
        <v>1162</v>
      </c>
      <c r="ALV1" s="3" t="s">
        <v>1163</v>
      </c>
      <c r="ALW1" s="3" t="s">
        <v>1164</v>
      </c>
      <c r="ALX1" s="3" t="s">
        <v>1165</v>
      </c>
      <c r="ALY1" s="3" t="s">
        <v>1166</v>
      </c>
      <c r="ALZ1" s="3" t="s">
        <v>1167</v>
      </c>
      <c r="AMA1" s="3" t="s">
        <v>1168</v>
      </c>
      <c r="AMB1" s="3" t="s">
        <v>1169</v>
      </c>
      <c r="AMC1" s="3" t="s">
        <v>1170</v>
      </c>
      <c r="AMD1" s="3" t="s">
        <v>1171</v>
      </c>
      <c r="AME1" s="3" t="s">
        <v>1172</v>
      </c>
      <c r="AMF1" s="3" t="s">
        <v>1173</v>
      </c>
      <c r="AMG1" s="3" t="s">
        <v>1174</v>
      </c>
      <c r="AMH1" s="3" t="s">
        <v>1175</v>
      </c>
      <c r="AMI1" s="3" t="s">
        <v>1176</v>
      </c>
      <c r="AMJ1" s="3" t="s">
        <v>1177</v>
      </c>
      <c r="AMK1" s="3" t="s">
        <v>1178</v>
      </c>
      <c r="AML1" s="3" t="s">
        <v>1179</v>
      </c>
      <c r="AMM1" s="3" t="s">
        <v>1180</v>
      </c>
      <c r="AMN1" s="3" t="s">
        <v>1181</v>
      </c>
      <c r="AMO1" s="3" t="s">
        <v>1182</v>
      </c>
      <c r="AMP1" s="3" t="s">
        <v>1183</v>
      </c>
      <c r="AMQ1" s="3" t="s">
        <v>1184</v>
      </c>
      <c r="AMR1" s="3" t="s">
        <v>1185</v>
      </c>
      <c r="AMS1" s="3" t="s">
        <v>1186</v>
      </c>
      <c r="AMT1" s="3" t="s">
        <v>1187</v>
      </c>
      <c r="AMU1" s="3" t="s">
        <v>1188</v>
      </c>
      <c r="AMV1" s="3" t="s">
        <v>1189</v>
      </c>
      <c r="AMW1" s="3" t="s">
        <v>1190</v>
      </c>
      <c r="AMX1" s="3" t="s">
        <v>1191</v>
      </c>
      <c r="AMY1" s="3" t="s">
        <v>1192</v>
      </c>
      <c r="AMZ1" s="3" t="s">
        <v>1193</v>
      </c>
      <c r="ANA1" s="3" t="s">
        <v>1194</v>
      </c>
      <c r="ANB1" s="3" t="s">
        <v>1195</v>
      </c>
      <c r="ANC1" s="3" t="s">
        <v>1196</v>
      </c>
      <c r="AND1" s="3" t="s">
        <v>1197</v>
      </c>
      <c r="ANE1" s="3" t="s">
        <v>1198</v>
      </c>
      <c r="ANF1" s="3" t="s">
        <v>1199</v>
      </c>
      <c r="ANG1" s="3" t="s">
        <v>1200</v>
      </c>
      <c r="ANH1" s="3" t="s">
        <v>1201</v>
      </c>
      <c r="ANI1" s="3" t="s">
        <v>1202</v>
      </c>
      <c r="ANJ1" s="3" t="s">
        <v>1203</v>
      </c>
      <c r="ANK1" s="3" t="s">
        <v>1204</v>
      </c>
      <c r="ANL1" s="3" t="s">
        <v>1205</v>
      </c>
      <c r="ANM1" s="3" t="s">
        <v>1206</v>
      </c>
      <c r="ANN1" s="3" t="s">
        <v>1207</v>
      </c>
      <c r="ANO1" s="3" t="s">
        <v>1208</v>
      </c>
      <c r="ANP1" s="3" t="s">
        <v>1209</v>
      </c>
      <c r="ANQ1" s="3" t="s">
        <v>1210</v>
      </c>
      <c r="ANR1" s="3" t="s">
        <v>1211</v>
      </c>
      <c r="ANS1" s="3" t="s">
        <v>1212</v>
      </c>
      <c r="ANT1" s="3" t="s">
        <v>1213</v>
      </c>
      <c r="ANU1" s="3" t="s">
        <v>1214</v>
      </c>
      <c r="ANV1" s="3" t="s">
        <v>1215</v>
      </c>
      <c r="ANW1" s="3" t="s">
        <v>1216</v>
      </c>
      <c r="ANX1" s="3" t="s">
        <v>1217</v>
      </c>
      <c r="ANY1" s="3" t="s">
        <v>1218</v>
      </c>
      <c r="ANZ1" s="3" t="s">
        <v>1219</v>
      </c>
      <c r="AOA1" s="3" t="s">
        <v>1220</v>
      </c>
      <c r="AOB1" s="3" t="s">
        <v>1221</v>
      </c>
      <c r="AOC1" s="3" t="s">
        <v>1222</v>
      </c>
      <c r="AOD1" s="3" t="s">
        <v>1223</v>
      </c>
      <c r="AOE1" s="3" t="s">
        <v>1224</v>
      </c>
      <c r="AOF1" s="3" t="s">
        <v>1225</v>
      </c>
      <c r="AOG1" s="3" t="s">
        <v>1226</v>
      </c>
      <c r="AOH1" s="3" t="s">
        <v>1227</v>
      </c>
      <c r="AOI1" s="3" t="s">
        <v>1228</v>
      </c>
      <c r="AOJ1" s="3" t="s">
        <v>1229</v>
      </c>
      <c r="AOK1" s="3" t="s">
        <v>1230</v>
      </c>
      <c r="AOL1" s="3" t="s">
        <v>1231</v>
      </c>
      <c r="AOM1" s="3" t="s">
        <v>1232</v>
      </c>
      <c r="AON1" s="3" t="s">
        <v>1233</v>
      </c>
      <c r="AOO1" s="3" t="s">
        <v>1234</v>
      </c>
      <c r="AOP1" s="3" t="s">
        <v>1235</v>
      </c>
      <c r="AOQ1" s="3" t="s">
        <v>1236</v>
      </c>
      <c r="AOR1" s="3" t="s">
        <v>1237</v>
      </c>
      <c r="AOS1" s="3" t="s">
        <v>1238</v>
      </c>
      <c r="AOT1" s="3" t="s">
        <v>1239</v>
      </c>
      <c r="AOU1" s="3" t="s">
        <v>1240</v>
      </c>
      <c r="AOV1" s="3" t="s">
        <v>1241</v>
      </c>
      <c r="AOW1" s="3" t="s">
        <v>1242</v>
      </c>
      <c r="AOX1" s="3" t="s">
        <v>1243</v>
      </c>
      <c r="AOY1" s="3" t="s">
        <v>1244</v>
      </c>
      <c r="AOZ1" s="3" t="s">
        <v>1245</v>
      </c>
      <c r="APA1" s="3" t="s">
        <v>1246</v>
      </c>
      <c r="APB1" s="3" t="s">
        <v>1247</v>
      </c>
      <c r="APC1" s="3" t="s">
        <v>1248</v>
      </c>
      <c r="APD1" s="3" t="s">
        <v>1249</v>
      </c>
      <c r="APE1" s="3" t="s">
        <v>1250</v>
      </c>
      <c r="APF1" s="3" t="s">
        <v>1251</v>
      </c>
      <c r="APG1" s="3" t="s">
        <v>1252</v>
      </c>
      <c r="APH1" s="3" t="s">
        <v>1253</v>
      </c>
      <c r="API1" s="3" t="s">
        <v>1254</v>
      </c>
      <c r="APJ1" s="3" t="s">
        <v>1255</v>
      </c>
      <c r="APK1" s="3" t="s">
        <v>1256</v>
      </c>
      <c r="APL1" s="3" t="s">
        <v>1257</v>
      </c>
      <c r="APM1" s="3" t="s">
        <v>1258</v>
      </c>
      <c r="APN1" s="3" t="s">
        <v>1259</v>
      </c>
      <c r="APO1" s="3" t="s">
        <v>1260</v>
      </c>
      <c r="APP1" s="3" t="s">
        <v>1261</v>
      </c>
      <c r="APQ1" s="3" t="s">
        <v>1262</v>
      </c>
      <c r="APR1" s="3" t="s">
        <v>1263</v>
      </c>
      <c r="APS1" s="3" t="s">
        <v>1264</v>
      </c>
      <c r="APT1" s="3" t="s">
        <v>1265</v>
      </c>
      <c r="APU1" s="3" t="s">
        <v>1266</v>
      </c>
      <c r="APV1" s="3" t="s">
        <v>1267</v>
      </c>
      <c r="APW1" s="3" t="s">
        <v>1268</v>
      </c>
      <c r="APX1" s="3" t="s">
        <v>1269</v>
      </c>
      <c r="APY1" s="3" t="s">
        <v>1270</v>
      </c>
      <c r="APZ1" s="3" t="s">
        <v>1271</v>
      </c>
      <c r="AQA1" s="3" t="s">
        <v>1272</v>
      </c>
      <c r="AQB1" s="3" t="s">
        <v>1273</v>
      </c>
      <c r="AQC1" s="3" t="s">
        <v>1274</v>
      </c>
      <c r="AQD1" s="3" t="s">
        <v>1275</v>
      </c>
      <c r="AQE1" s="3" t="s">
        <v>1276</v>
      </c>
      <c r="AQF1" s="3" t="s">
        <v>1277</v>
      </c>
      <c r="AQG1" s="3" t="s">
        <v>1278</v>
      </c>
      <c r="AQH1" s="3" t="s">
        <v>1279</v>
      </c>
      <c r="AQI1" s="3" t="s">
        <v>1280</v>
      </c>
      <c r="AQJ1" s="3" t="s">
        <v>1281</v>
      </c>
      <c r="AQK1" s="3" t="s">
        <v>1282</v>
      </c>
      <c r="AQL1" s="3" t="s">
        <v>1283</v>
      </c>
      <c r="AQM1" s="3" t="s">
        <v>1284</v>
      </c>
      <c r="AQN1" s="3" t="s">
        <v>1285</v>
      </c>
      <c r="AQO1" s="3" t="s">
        <v>1286</v>
      </c>
      <c r="AQP1" s="3" t="s">
        <v>1287</v>
      </c>
      <c r="AQQ1" s="3" t="s">
        <v>1288</v>
      </c>
      <c r="AQR1" s="3" t="s">
        <v>1289</v>
      </c>
      <c r="AQS1" s="3" t="s">
        <v>1290</v>
      </c>
      <c r="AQT1" s="3" t="s">
        <v>1291</v>
      </c>
      <c r="AQU1" s="3" t="s">
        <v>1292</v>
      </c>
      <c r="AQV1" s="3" t="s">
        <v>1293</v>
      </c>
      <c r="AQW1" s="3" t="s">
        <v>1294</v>
      </c>
      <c r="AQX1" s="3" t="s">
        <v>1295</v>
      </c>
      <c r="AQY1" s="3" t="s">
        <v>1296</v>
      </c>
      <c r="AQZ1" s="3" t="s">
        <v>1297</v>
      </c>
      <c r="ARA1" s="3" t="s">
        <v>1298</v>
      </c>
      <c r="ARB1" s="3" t="s">
        <v>1299</v>
      </c>
      <c r="ARC1" s="3" t="s">
        <v>1300</v>
      </c>
      <c r="ARD1" s="3" t="s">
        <v>1301</v>
      </c>
      <c r="ARE1" s="3" t="s">
        <v>1302</v>
      </c>
      <c r="ARF1" s="3" t="s">
        <v>1303</v>
      </c>
      <c r="ARG1" s="3" t="s">
        <v>1304</v>
      </c>
      <c r="ARH1" s="3" t="s">
        <v>1305</v>
      </c>
      <c r="ARI1" s="3" t="s">
        <v>1306</v>
      </c>
      <c r="ARJ1" s="3" t="s">
        <v>1307</v>
      </c>
      <c r="ARK1" s="3" t="s">
        <v>1308</v>
      </c>
      <c r="ARL1" s="3" t="s">
        <v>1309</v>
      </c>
      <c r="ARM1" s="3" t="s">
        <v>1310</v>
      </c>
      <c r="ARN1" s="3" t="s">
        <v>1311</v>
      </c>
      <c r="ARO1" s="3" t="s">
        <v>1312</v>
      </c>
      <c r="ARP1" s="3" t="s">
        <v>1313</v>
      </c>
      <c r="ARQ1" s="3" t="s">
        <v>1314</v>
      </c>
      <c r="ARR1" s="3" t="s">
        <v>1315</v>
      </c>
      <c r="ARS1" s="3" t="s">
        <v>1316</v>
      </c>
      <c r="ART1" s="3" t="s">
        <v>1317</v>
      </c>
      <c r="ARU1" s="3" t="s">
        <v>1318</v>
      </c>
      <c r="ARV1" s="3" t="s">
        <v>1319</v>
      </c>
      <c r="ARW1" s="3" t="s">
        <v>1320</v>
      </c>
      <c r="ARX1" s="3" t="s">
        <v>1321</v>
      </c>
      <c r="ARY1" s="3" t="s">
        <v>1322</v>
      </c>
      <c r="ARZ1" s="3" t="s">
        <v>1323</v>
      </c>
      <c r="ASA1" s="3" t="s">
        <v>1324</v>
      </c>
      <c r="ASB1" s="3" t="s">
        <v>1325</v>
      </c>
      <c r="ASC1" s="3" t="s">
        <v>1326</v>
      </c>
      <c r="ASD1" s="3" t="s">
        <v>1327</v>
      </c>
      <c r="ASE1" s="3" t="s">
        <v>1328</v>
      </c>
      <c r="ASF1" s="3" t="s">
        <v>1329</v>
      </c>
      <c r="ASG1" s="3" t="s">
        <v>1330</v>
      </c>
      <c r="ASH1" s="3" t="s">
        <v>1331</v>
      </c>
      <c r="ASI1" s="3" t="s">
        <v>1332</v>
      </c>
      <c r="ASJ1" s="3" t="s">
        <v>1333</v>
      </c>
      <c r="ASK1" s="3" t="s">
        <v>1334</v>
      </c>
      <c r="ASL1" s="3" t="s">
        <v>1335</v>
      </c>
      <c r="ASM1" s="3" t="s">
        <v>1336</v>
      </c>
      <c r="ASN1" s="3" t="s">
        <v>1337</v>
      </c>
      <c r="ASO1" s="3" t="s">
        <v>1338</v>
      </c>
      <c r="ASP1" s="3" t="s">
        <v>1339</v>
      </c>
      <c r="ASQ1" s="3" t="s">
        <v>1340</v>
      </c>
      <c r="ASR1" s="3" t="s">
        <v>1341</v>
      </c>
      <c r="ASS1" s="3" t="s">
        <v>1342</v>
      </c>
      <c r="AST1" s="3" t="s">
        <v>1343</v>
      </c>
      <c r="ASU1" s="3" t="s">
        <v>1344</v>
      </c>
      <c r="ASV1" s="3" t="s">
        <v>1345</v>
      </c>
      <c r="ASW1" s="3" t="s">
        <v>1346</v>
      </c>
      <c r="ASX1" s="3" t="s">
        <v>1347</v>
      </c>
      <c r="ASY1" s="3" t="s">
        <v>1348</v>
      </c>
      <c r="ASZ1" s="3" t="s">
        <v>1349</v>
      </c>
      <c r="ATA1" s="3" t="s">
        <v>1350</v>
      </c>
      <c r="ATB1" s="3" t="s">
        <v>1351</v>
      </c>
      <c r="ATC1" s="3" t="s">
        <v>1352</v>
      </c>
      <c r="ATD1" s="3" t="s">
        <v>1353</v>
      </c>
      <c r="ATE1" s="3" t="s">
        <v>1354</v>
      </c>
      <c r="ATF1" s="3" t="s">
        <v>1355</v>
      </c>
      <c r="ATG1" s="3" t="s">
        <v>1356</v>
      </c>
      <c r="ATH1" s="3" t="s">
        <v>1357</v>
      </c>
      <c r="ATI1" s="3" t="s">
        <v>1358</v>
      </c>
      <c r="ATJ1" s="3" t="s">
        <v>1359</v>
      </c>
      <c r="ATK1" s="3" t="s">
        <v>1360</v>
      </c>
      <c r="ATL1" s="3" t="s">
        <v>1361</v>
      </c>
      <c r="ATM1" s="3" t="s">
        <v>1362</v>
      </c>
      <c r="ATN1" s="3" t="s">
        <v>1363</v>
      </c>
      <c r="ATO1" s="3" t="s">
        <v>1364</v>
      </c>
      <c r="ATP1" s="3" t="s">
        <v>1365</v>
      </c>
      <c r="ATQ1" s="3" t="s">
        <v>1366</v>
      </c>
      <c r="ATR1" s="3" t="s">
        <v>1367</v>
      </c>
      <c r="ATS1" s="3" t="s">
        <v>1368</v>
      </c>
      <c r="ATT1" s="3" t="s">
        <v>1369</v>
      </c>
      <c r="ATU1" s="3" t="s">
        <v>1370</v>
      </c>
      <c r="ATV1" s="3" t="s">
        <v>1371</v>
      </c>
      <c r="ATW1" s="3" t="s">
        <v>1372</v>
      </c>
      <c r="ATX1" s="3" t="s">
        <v>1373</v>
      </c>
      <c r="ATY1" s="3" t="s">
        <v>1374</v>
      </c>
      <c r="ATZ1" s="3" t="s">
        <v>1375</v>
      </c>
      <c r="AUA1" s="3" t="s">
        <v>1376</v>
      </c>
      <c r="AUB1" s="3" t="s">
        <v>1377</v>
      </c>
      <c r="AUC1" s="3" t="s">
        <v>1378</v>
      </c>
      <c r="AUD1" s="3" t="s">
        <v>1379</v>
      </c>
      <c r="AUE1" s="3" t="s">
        <v>1380</v>
      </c>
      <c r="AUF1" s="3" t="s">
        <v>1381</v>
      </c>
      <c r="AUG1" s="3" t="s">
        <v>1382</v>
      </c>
      <c r="AUH1" s="3" t="s">
        <v>1383</v>
      </c>
      <c r="AUI1" s="3" t="s">
        <v>1384</v>
      </c>
      <c r="AUJ1" s="3" t="s">
        <v>1385</v>
      </c>
      <c r="AUK1" s="3" t="s">
        <v>1386</v>
      </c>
      <c r="AUL1" s="3" t="s">
        <v>1387</v>
      </c>
      <c r="AUM1" s="3" t="s">
        <v>1388</v>
      </c>
      <c r="AUN1" s="3" t="s">
        <v>1389</v>
      </c>
      <c r="AUO1" s="3" t="s">
        <v>1390</v>
      </c>
      <c r="AUP1" s="3" t="s">
        <v>1391</v>
      </c>
      <c r="AUQ1" s="3" t="s">
        <v>1392</v>
      </c>
      <c r="AUR1" s="3" t="s">
        <v>1393</v>
      </c>
      <c r="AUS1" s="3" t="s">
        <v>1394</v>
      </c>
      <c r="AUT1" s="3" t="s">
        <v>1395</v>
      </c>
      <c r="AUU1" s="3" t="s">
        <v>1396</v>
      </c>
      <c r="AUV1" s="3" t="s">
        <v>1397</v>
      </c>
      <c r="AUW1" s="3" t="s">
        <v>1398</v>
      </c>
      <c r="AUX1" s="3" t="s">
        <v>1399</v>
      </c>
      <c r="AUY1" s="3" t="s">
        <v>1400</v>
      </c>
      <c r="AUZ1" s="3" t="s">
        <v>1401</v>
      </c>
      <c r="AVA1" s="3" t="s">
        <v>1402</v>
      </c>
      <c r="AVB1" s="3" t="s">
        <v>1403</v>
      </c>
      <c r="AVC1" s="3" t="s">
        <v>1404</v>
      </c>
      <c r="AVD1" s="3" t="s">
        <v>1405</v>
      </c>
      <c r="AVE1" s="3" t="s">
        <v>1406</v>
      </c>
      <c r="AVF1" s="3" t="s">
        <v>1407</v>
      </c>
      <c r="AVG1" s="3" t="s">
        <v>1408</v>
      </c>
      <c r="AVH1" s="3" t="s">
        <v>1409</v>
      </c>
      <c r="AVI1" s="3" t="s">
        <v>1410</v>
      </c>
      <c r="AVJ1" s="3" t="s">
        <v>1411</v>
      </c>
      <c r="AVK1" s="3" t="s">
        <v>1412</v>
      </c>
      <c r="AVL1" s="3" t="s">
        <v>1413</v>
      </c>
      <c r="AVM1" s="3" t="s">
        <v>1414</v>
      </c>
      <c r="AVN1" s="3" t="s">
        <v>1415</v>
      </c>
      <c r="AVO1" s="3" t="s">
        <v>1416</v>
      </c>
      <c r="AVP1" s="3" t="s">
        <v>1417</v>
      </c>
      <c r="AVQ1" s="3" t="s">
        <v>1418</v>
      </c>
      <c r="AVR1" s="3" t="s">
        <v>1419</v>
      </c>
      <c r="AVS1" s="3" t="s">
        <v>1420</v>
      </c>
      <c r="AVT1" s="3" t="s">
        <v>1421</v>
      </c>
      <c r="AVU1" s="3" t="s">
        <v>1422</v>
      </c>
      <c r="AVV1" s="3" t="s">
        <v>1423</v>
      </c>
      <c r="AVW1" s="3" t="s">
        <v>1424</v>
      </c>
      <c r="AVX1" s="3" t="s">
        <v>1425</v>
      </c>
      <c r="AVY1" s="3" t="s">
        <v>1426</v>
      </c>
      <c r="AVZ1" s="3" t="s">
        <v>1427</v>
      </c>
      <c r="AWA1" s="3" t="s">
        <v>1428</v>
      </c>
      <c r="AWB1" s="3" t="s">
        <v>1429</v>
      </c>
      <c r="AWC1" s="3" t="s">
        <v>1430</v>
      </c>
      <c r="AWD1" s="3" t="s">
        <v>1431</v>
      </c>
      <c r="AWE1" s="3" t="s">
        <v>1432</v>
      </c>
      <c r="AWF1" s="3" t="s">
        <v>1433</v>
      </c>
      <c r="AWG1" s="3" t="s">
        <v>1434</v>
      </c>
      <c r="AWH1" s="3" t="s">
        <v>1435</v>
      </c>
      <c r="AWI1" s="3" t="s">
        <v>1436</v>
      </c>
      <c r="AWJ1" s="3" t="s">
        <v>1437</v>
      </c>
      <c r="AWK1" s="3" t="s">
        <v>1438</v>
      </c>
      <c r="AWL1" s="3" t="s">
        <v>1439</v>
      </c>
      <c r="AWM1" s="3" t="s">
        <v>1440</v>
      </c>
      <c r="AWN1" s="3" t="s">
        <v>1441</v>
      </c>
      <c r="AWO1" s="3" t="s">
        <v>1442</v>
      </c>
      <c r="AWP1" s="3" t="s">
        <v>1443</v>
      </c>
      <c r="AWQ1" s="3" t="s">
        <v>1444</v>
      </c>
      <c r="AWR1" s="3" t="s">
        <v>1445</v>
      </c>
      <c r="AWS1" s="3" t="s">
        <v>1446</v>
      </c>
      <c r="AWT1" s="3" t="s">
        <v>1447</v>
      </c>
      <c r="AWU1" s="3" t="s">
        <v>1448</v>
      </c>
      <c r="AWV1" s="3" t="s">
        <v>1449</v>
      </c>
      <c r="AWW1" s="3" t="s">
        <v>1450</v>
      </c>
      <c r="AWX1" s="3" t="s">
        <v>1451</v>
      </c>
      <c r="AWY1" s="3" t="s">
        <v>1452</v>
      </c>
      <c r="AWZ1" s="3" t="s">
        <v>1453</v>
      </c>
      <c r="AXA1" s="3" t="s">
        <v>1454</v>
      </c>
      <c r="AXB1" s="3" t="s">
        <v>1455</v>
      </c>
      <c r="AXC1" s="3" t="s">
        <v>1456</v>
      </c>
      <c r="AXD1" s="3" t="s">
        <v>1457</v>
      </c>
      <c r="AXE1" s="3" t="s">
        <v>1458</v>
      </c>
      <c r="AXF1" s="3" t="s">
        <v>1459</v>
      </c>
      <c r="AXG1" s="3" t="s">
        <v>1460</v>
      </c>
      <c r="AXH1" s="3" t="s">
        <v>1461</v>
      </c>
      <c r="AXI1" s="3" t="s">
        <v>1462</v>
      </c>
      <c r="AXJ1" s="3" t="s">
        <v>1463</v>
      </c>
      <c r="AXK1" s="3" t="s">
        <v>1464</v>
      </c>
      <c r="AXL1" s="3" t="s">
        <v>1465</v>
      </c>
      <c r="AXM1" s="3" t="s">
        <v>1466</v>
      </c>
      <c r="AXN1" s="3" t="s">
        <v>1467</v>
      </c>
      <c r="AXO1" s="3" t="s">
        <v>1468</v>
      </c>
      <c r="AXP1" s="3" t="s">
        <v>1469</v>
      </c>
      <c r="AXQ1" s="3" t="s">
        <v>1470</v>
      </c>
      <c r="AXR1" s="3" t="s">
        <v>1471</v>
      </c>
      <c r="AXS1" s="3" t="s">
        <v>1472</v>
      </c>
      <c r="AXT1" s="3" t="s">
        <v>1473</v>
      </c>
      <c r="AXU1" s="3" t="s">
        <v>1474</v>
      </c>
      <c r="AXV1" s="3" t="s">
        <v>1475</v>
      </c>
      <c r="AXW1" s="3" t="s">
        <v>1476</v>
      </c>
      <c r="AXX1" s="3" t="s">
        <v>1477</v>
      </c>
      <c r="AXY1" s="3" t="s">
        <v>1478</v>
      </c>
      <c r="AXZ1" s="3" t="s">
        <v>1479</v>
      </c>
      <c r="AYA1" s="3" t="s">
        <v>1480</v>
      </c>
      <c r="AYB1" s="3" t="s">
        <v>1481</v>
      </c>
      <c r="AYC1" s="3" t="s">
        <v>1482</v>
      </c>
      <c r="AYD1" s="3" t="s">
        <v>1483</v>
      </c>
      <c r="AYE1" s="3" t="s">
        <v>1484</v>
      </c>
      <c r="AYF1" s="3" t="s">
        <v>1485</v>
      </c>
      <c r="AYG1" s="3" t="s">
        <v>1486</v>
      </c>
      <c r="AYH1" s="3" t="s">
        <v>1487</v>
      </c>
      <c r="AYI1" s="3" t="s">
        <v>1488</v>
      </c>
      <c r="AYJ1" s="3" t="s">
        <v>1489</v>
      </c>
      <c r="AYK1" s="3" t="s">
        <v>1490</v>
      </c>
      <c r="AYL1" s="3" t="s">
        <v>1491</v>
      </c>
      <c r="AYM1" s="3" t="s">
        <v>1492</v>
      </c>
      <c r="AYN1" s="3" t="s">
        <v>1493</v>
      </c>
      <c r="AYO1" s="3" t="s">
        <v>1494</v>
      </c>
      <c r="AYP1" s="3" t="s">
        <v>1495</v>
      </c>
      <c r="AYQ1" s="3" t="s">
        <v>1496</v>
      </c>
      <c r="AYR1" s="3" t="s">
        <v>1497</v>
      </c>
      <c r="AYS1" s="3" t="s">
        <v>1498</v>
      </c>
      <c r="AYT1" s="3" t="s">
        <v>1499</v>
      </c>
      <c r="AYU1" s="3" t="s">
        <v>1500</v>
      </c>
      <c r="AYV1" s="3" t="s">
        <v>1501</v>
      </c>
      <c r="AYW1" s="3" t="s">
        <v>1502</v>
      </c>
      <c r="AYX1" s="3" t="s">
        <v>1503</v>
      </c>
      <c r="AYY1" s="3" t="s">
        <v>1504</v>
      </c>
      <c r="AYZ1" s="3" t="s">
        <v>1505</v>
      </c>
      <c r="AZA1" s="3" t="s">
        <v>1506</v>
      </c>
      <c r="AZB1" s="3" t="s">
        <v>1507</v>
      </c>
      <c r="AZC1" s="3" t="s">
        <v>1508</v>
      </c>
      <c r="AZD1" s="3" t="s">
        <v>1509</v>
      </c>
      <c r="AZE1" s="3" t="s">
        <v>1510</v>
      </c>
      <c r="AZF1" s="3" t="s">
        <v>1511</v>
      </c>
      <c r="AZG1" s="3" t="s">
        <v>1512</v>
      </c>
      <c r="AZH1" s="3" t="s">
        <v>1513</v>
      </c>
      <c r="AZI1" s="3" t="s">
        <v>1514</v>
      </c>
      <c r="AZJ1" s="3" t="s">
        <v>1515</v>
      </c>
      <c r="AZK1" s="3" t="s">
        <v>1516</v>
      </c>
      <c r="AZL1" s="3" t="s">
        <v>1517</v>
      </c>
      <c r="AZM1" s="3" t="s">
        <v>1518</v>
      </c>
      <c r="AZN1" s="3" t="s">
        <v>1519</v>
      </c>
      <c r="AZO1" s="3" t="s">
        <v>1520</v>
      </c>
      <c r="AZP1" s="3" t="s">
        <v>1521</v>
      </c>
      <c r="AZQ1" s="3" t="s">
        <v>1522</v>
      </c>
      <c r="AZR1" s="3" t="s">
        <v>1523</v>
      </c>
      <c r="AZS1" s="3" t="s">
        <v>1524</v>
      </c>
      <c r="AZT1" s="3" t="s">
        <v>1525</v>
      </c>
      <c r="AZU1" s="3" t="s">
        <v>1526</v>
      </c>
      <c r="AZV1" s="3" t="s">
        <v>1527</v>
      </c>
      <c r="AZW1" s="3" t="s">
        <v>1528</v>
      </c>
      <c r="AZX1" s="3" t="s">
        <v>1529</v>
      </c>
      <c r="AZY1" s="3" t="s">
        <v>1530</v>
      </c>
      <c r="AZZ1" s="3" t="s">
        <v>1531</v>
      </c>
      <c r="BAA1" s="3" t="s">
        <v>1532</v>
      </c>
      <c r="BAB1" s="3" t="s">
        <v>1533</v>
      </c>
      <c r="BAC1" s="3" t="s">
        <v>1534</v>
      </c>
      <c r="BAD1" s="3" t="s">
        <v>1535</v>
      </c>
      <c r="BAE1" s="3" t="s">
        <v>1536</v>
      </c>
      <c r="BAF1" s="3" t="s">
        <v>1537</v>
      </c>
      <c r="BAG1" s="3" t="s">
        <v>1538</v>
      </c>
      <c r="BAH1" s="3" t="s">
        <v>1539</v>
      </c>
      <c r="BAI1" s="3" t="s">
        <v>1540</v>
      </c>
      <c r="BAJ1" s="3" t="s">
        <v>1541</v>
      </c>
      <c r="BAK1" s="3" t="s">
        <v>1542</v>
      </c>
      <c r="BAL1" s="3" t="s">
        <v>1543</v>
      </c>
      <c r="BAM1" s="3" t="s">
        <v>1544</v>
      </c>
      <c r="BAN1" s="3" t="s">
        <v>1545</v>
      </c>
      <c r="BAO1" s="3" t="s">
        <v>1546</v>
      </c>
      <c r="BAP1" s="3" t="s">
        <v>1547</v>
      </c>
      <c r="BAQ1" s="3" t="s">
        <v>1548</v>
      </c>
      <c r="BAR1" s="3" t="s">
        <v>1549</v>
      </c>
      <c r="BAS1" s="3" t="s">
        <v>1550</v>
      </c>
      <c r="BAT1" s="3" t="s">
        <v>1551</v>
      </c>
      <c r="BAU1" s="3" t="s">
        <v>1552</v>
      </c>
      <c r="BAV1" s="3" t="s">
        <v>1553</v>
      </c>
      <c r="BAW1" s="3" t="s">
        <v>1554</v>
      </c>
      <c r="BAX1" s="3" t="s">
        <v>1555</v>
      </c>
      <c r="BAY1" s="3" t="s">
        <v>1556</v>
      </c>
      <c r="BAZ1" s="3" t="s">
        <v>1557</v>
      </c>
      <c r="BBA1" s="3" t="s">
        <v>1558</v>
      </c>
      <c r="BBB1" s="3" t="s">
        <v>1559</v>
      </c>
      <c r="BBC1" s="3" t="s">
        <v>1560</v>
      </c>
      <c r="BBD1" s="3" t="s">
        <v>1561</v>
      </c>
      <c r="BBE1" s="3" t="s">
        <v>1562</v>
      </c>
      <c r="BBF1" s="3" t="s">
        <v>1563</v>
      </c>
      <c r="BBG1" s="3" t="s">
        <v>1564</v>
      </c>
      <c r="BBH1" s="3" t="s">
        <v>1565</v>
      </c>
      <c r="BBI1" s="3" t="s">
        <v>1566</v>
      </c>
      <c r="BBJ1" s="3" t="s">
        <v>1567</v>
      </c>
      <c r="BBK1" s="3" t="s">
        <v>1568</v>
      </c>
      <c r="BBL1" s="3" t="s">
        <v>1569</v>
      </c>
      <c r="BBM1" s="3" t="s">
        <v>1570</v>
      </c>
      <c r="BBN1" s="3" t="s">
        <v>1571</v>
      </c>
      <c r="BBO1" s="3" t="s">
        <v>1572</v>
      </c>
      <c r="BBP1" s="3" t="s">
        <v>1573</v>
      </c>
      <c r="BBQ1" s="3" t="s">
        <v>1574</v>
      </c>
      <c r="BBR1" s="3" t="s">
        <v>1575</v>
      </c>
      <c r="BBS1" s="3" t="s">
        <v>1576</v>
      </c>
      <c r="BBT1" s="3" t="s">
        <v>1577</v>
      </c>
      <c r="BBU1" s="3" t="s">
        <v>1578</v>
      </c>
      <c r="BBV1" s="3" t="s">
        <v>1579</v>
      </c>
      <c r="BBW1" s="3" t="s">
        <v>1580</v>
      </c>
      <c r="BBX1" s="3" t="s">
        <v>1581</v>
      </c>
      <c r="BBY1" s="3" t="s">
        <v>1582</v>
      </c>
      <c r="BBZ1" s="3" t="s">
        <v>1583</v>
      </c>
      <c r="BCA1" s="3" t="s">
        <v>1584</v>
      </c>
      <c r="BCB1" s="3" t="s">
        <v>1585</v>
      </c>
      <c r="BCC1" s="3" t="s">
        <v>1586</v>
      </c>
      <c r="BCD1" s="3" t="s">
        <v>1587</v>
      </c>
      <c r="BCE1" s="3" t="s">
        <v>1588</v>
      </c>
      <c r="BCF1" s="3" t="s">
        <v>1589</v>
      </c>
      <c r="BCG1" s="3" t="s">
        <v>1590</v>
      </c>
      <c r="BCH1" s="3" t="s">
        <v>1591</v>
      </c>
      <c r="BCI1" s="3" t="s">
        <v>1592</v>
      </c>
      <c r="BCJ1" s="3" t="s">
        <v>1593</v>
      </c>
      <c r="BCK1" s="3" t="s">
        <v>1594</v>
      </c>
      <c r="BCL1" s="3" t="s">
        <v>1595</v>
      </c>
      <c r="BCM1" s="3" t="s">
        <v>1596</v>
      </c>
      <c r="BCN1" s="3" t="s">
        <v>1597</v>
      </c>
      <c r="BCO1" s="3" t="s">
        <v>1598</v>
      </c>
      <c r="BCP1" s="3" t="s">
        <v>1599</v>
      </c>
      <c r="BCQ1" s="3" t="s">
        <v>1600</v>
      </c>
      <c r="BCR1" s="3" t="s">
        <v>1601</v>
      </c>
      <c r="BCS1" s="3" t="s">
        <v>1602</v>
      </c>
      <c r="BCT1" s="3" t="s">
        <v>1603</v>
      </c>
      <c r="BCU1" s="3" t="s">
        <v>1604</v>
      </c>
      <c r="BCV1" s="3" t="s">
        <v>1605</v>
      </c>
      <c r="BCW1" s="3" t="s">
        <v>1606</v>
      </c>
      <c r="BCX1" s="3" t="s">
        <v>1607</v>
      </c>
      <c r="BCY1" s="3" t="s">
        <v>1608</v>
      </c>
      <c r="BCZ1" s="3" t="s">
        <v>1609</v>
      </c>
      <c r="BDA1" s="3" t="s">
        <v>1610</v>
      </c>
      <c r="BDB1" s="3" t="s">
        <v>1611</v>
      </c>
      <c r="BDC1" s="3" t="s">
        <v>1612</v>
      </c>
      <c r="BDD1" s="3" t="s">
        <v>1613</v>
      </c>
      <c r="BDE1" s="3" t="s">
        <v>1614</v>
      </c>
      <c r="BDF1" s="3" t="s">
        <v>1615</v>
      </c>
      <c r="BDG1" s="3" t="s">
        <v>1616</v>
      </c>
      <c r="BDH1" s="3" t="s">
        <v>1617</v>
      </c>
      <c r="BDI1" s="3" t="s">
        <v>1618</v>
      </c>
      <c r="BDJ1" s="3" t="s">
        <v>1619</v>
      </c>
      <c r="BDK1" s="3" t="s">
        <v>1620</v>
      </c>
      <c r="BDL1" s="3" t="s">
        <v>1621</v>
      </c>
      <c r="BDM1" s="3" t="s">
        <v>1622</v>
      </c>
      <c r="BDN1" s="3" t="s">
        <v>1623</v>
      </c>
      <c r="BDO1" s="3" t="s">
        <v>1624</v>
      </c>
      <c r="BDP1" s="3" t="s">
        <v>1625</v>
      </c>
      <c r="BDQ1" s="3" t="s">
        <v>1626</v>
      </c>
      <c r="BDR1" s="3" t="s">
        <v>1627</v>
      </c>
      <c r="BDS1" s="3" t="s">
        <v>1628</v>
      </c>
      <c r="BDT1" s="3" t="s">
        <v>1629</v>
      </c>
      <c r="BDU1" s="3" t="s">
        <v>1630</v>
      </c>
      <c r="BDV1" s="3" t="s">
        <v>1631</v>
      </c>
      <c r="BDW1" s="3" t="s">
        <v>1632</v>
      </c>
      <c r="BDX1" s="3" t="s">
        <v>1633</v>
      </c>
      <c r="BDY1" s="3" t="s">
        <v>1634</v>
      </c>
      <c r="BDZ1" s="3" t="s">
        <v>1635</v>
      </c>
      <c r="BEA1" s="3" t="s">
        <v>1636</v>
      </c>
      <c r="BEB1" s="3" t="s">
        <v>1637</v>
      </c>
      <c r="BEC1" s="3" t="s">
        <v>1638</v>
      </c>
      <c r="BED1" s="3" t="s">
        <v>1639</v>
      </c>
      <c r="BEE1" s="3" t="s">
        <v>1640</v>
      </c>
      <c r="BEF1" s="3" t="s">
        <v>1641</v>
      </c>
      <c r="BEG1" s="3" t="s">
        <v>1642</v>
      </c>
      <c r="BEH1" s="3" t="s">
        <v>1643</v>
      </c>
      <c r="BEI1" s="3" t="s">
        <v>1644</v>
      </c>
      <c r="BEJ1" s="3" t="s">
        <v>1645</v>
      </c>
      <c r="BEK1" s="3" t="s">
        <v>1646</v>
      </c>
      <c r="BEL1" s="3" t="s">
        <v>1647</v>
      </c>
      <c r="BEM1" s="3" t="s">
        <v>1648</v>
      </c>
      <c r="BEN1" s="3" t="s">
        <v>1649</v>
      </c>
      <c r="BEO1" s="3" t="s">
        <v>1650</v>
      </c>
      <c r="BEP1" s="3" t="s">
        <v>1651</v>
      </c>
      <c r="BEQ1" s="3" t="s">
        <v>1652</v>
      </c>
      <c r="BER1" s="3" t="s">
        <v>1653</v>
      </c>
      <c r="BES1" s="3" t="s">
        <v>1654</v>
      </c>
      <c r="BET1" s="3" t="s">
        <v>1655</v>
      </c>
      <c r="BEU1" s="3" t="s">
        <v>1656</v>
      </c>
      <c r="BEV1" s="3" t="s">
        <v>1657</v>
      </c>
      <c r="BEW1" s="3" t="s">
        <v>1658</v>
      </c>
      <c r="BEX1" s="3" t="s">
        <v>1659</v>
      </c>
      <c r="BEY1" s="3" t="s">
        <v>1660</v>
      </c>
      <c r="BEZ1" s="3" t="s">
        <v>1661</v>
      </c>
      <c r="BFA1" s="3" t="s">
        <v>1662</v>
      </c>
      <c r="BFB1" s="3" t="s">
        <v>1663</v>
      </c>
      <c r="BFC1" s="3" t="s">
        <v>1664</v>
      </c>
      <c r="BFD1" s="3" t="s">
        <v>1665</v>
      </c>
      <c r="BFE1" s="3" t="s">
        <v>1666</v>
      </c>
      <c r="BFF1" s="3" t="s">
        <v>1667</v>
      </c>
      <c r="BFG1" s="3" t="s">
        <v>1668</v>
      </c>
      <c r="BFH1" s="3" t="s">
        <v>1669</v>
      </c>
      <c r="BFI1" s="3" t="s">
        <v>1670</v>
      </c>
      <c r="BFJ1" s="3" t="s">
        <v>1671</v>
      </c>
      <c r="BFK1" s="3" t="s">
        <v>1672</v>
      </c>
      <c r="BFL1" s="3" t="s">
        <v>1673</v>
      </c>
      <c r="BFM1" s="3" t="s">
        <v>1674</v>
      </c>
      <c r="BFN1" s="3" t="s">
        <v>1675</v>
      </c>
      <c r="BFO1" s="3" t="s">
        <v>1676</v>
      </c>
      <c r="BFP1" s="3" t="s">
        <v>1677</v>
      </c>
      <c r="BFQ1" s="3" t="s">
        <v>1678</v>
      </c>
      <c r="BFR1" s="3" t="s">
        <v>1679</v>
      </c>
      <c r="BFS1" s="3" t="s">
        <v>1680</v>
      </c>
      <c r="BFT1" s="3" t="s">
        <v>1681</v>
      </c>
      <c r="BFU1" s="3" t="s">
        <v>1682</v>
      </c>
      <c r="BFV1" s="3" t="s">
        <v>1683</v>
      </c>
      <c r="BFW1" s="3" t="s">
        <v>1684</v>
      </c>
      <c r="BFX1" s="3" t="s">
        <v>1685</v>
      </c>
      <c r="BFY1" s="3" t="s">
        <v>1686</v>
      </c>
      <c r="BFZ1" s="3" t="s">
        <v>1687</v>
      </c>
      <c r="BGA1" s="3" t="s">
        <v>1688</v>
      </c>
      <c r="BGB1" s="3" t="s">
        <v>1689</v>
      </c>
      <c r="BGC1" s="3" t="s">
        <v>1690</v>
      </c>
      <c r="BGD1" s="3" t="s">
        <v>1691</v>
      </c>
      <c r="BGE1" s="3" t="s">
        <v>1692</v>
      </c>
      <c r="BGF1" s="3" t="s">
        <v>1693</v>
      </c>
      <c r="BGG1" s="3" t="s">
        <v>1694</v>
      </c>
      <c r="BGH1" s="3" t="s">
        <v>1695</v>
      </c>
      <c r="BGI1" s="3" t="s">
        <v>1696</v>
      </c>
      <c r="BGJ1" s="3" t="s">
        <v>1697</v>
      </c>
      <c r="BGK1" s="3" t="s">
        <v>1698</v>
      </c>
      <c r="BGL1" s="3" t="s">
        <v>1699</v>
      </c>
      <c r="BGM1" s="3" t="s">
        <v>1700</v>
      </c>
      <c r="BGN1" s="3" t="s">
        <v>1701</v>
      </c>
      <c r="BGO1" s="3" t="s">
        <v>1702</v>
      </c>
      <c r="BGP1" s="3" t="s">
        <v>1703</v>
      </c>
      <c r="BGQ1" s="3" t="s">
        <v>1704</v>
      </c>
      <c r="BGR1" s="3" t="s">
        <v>1705</v>
      </c>
      <c r="BGS1" s="3" t="s">
        <v>1706</v>
      </c>
      <c r="BGT1" s="3" t="s">
        <v>1707</v>
      </c>
      <c r="BGU1" s="3" t="s">
        <v>1708</v>
      </c>
      <c r="BGV1" s="3" t="s">
        <v>1709</v>
      </c>
      <c r="BGW1" s="3" t="s">
        <v>1710</v>
      </c>
      <c r="BGX1" s="3" t="s">
        <v>1711</v>
      </c>
      <c r="BGY1" s="3" t="s">
        <v>1712</v>
      </c>
      <c r="BGZ1" s="3" t="s">
        <v>1713</v>
      </c>
      <c r="BHA1" s="3" t="s">
        <v>1714</v>
      </c>
      <c r="BHB1" s="3" t="s">
        <v>1715</v>
      </c>
      <c r="BHC1" s="3" t="s">
        <v>1716</v>
      </c>
      <c r="BHD1" s="3" t="s">
        <v>1717</v>
      </c>
      <c r="BHE1" s="3" t="s">
        <v>1718</v>
      </c>
      <c r="BHF1" s="3" t="s">
        <v>1719</v>
      </c>
      <c r="BHG1" s="3" t="s">
        <v>1720</v>
      </c>
      <c r="BHH1" s="3" t="s">
        <v>1721</v>
      </c>
      <c r="BHI1" s="3" t="s">
        <v>1722</v>
      </c>
      <c r="BHJ1" s="3" t="s">
        <v>1723</v>
      </c>
      <c r="BHK1" s="3" t="s">
        <v>1724</v>
      </c>
      <c r="BHL1" s="3" t="s">
        <v>1725</v>
      </c>
      <c r="BHM1" s="3" t="s">
        <v>1726</v>
      </c>
      <c r="BHN1" s="3" t="s">
        <v>1727</v>
      </c>
      <c r="BHO1" s="3" t="s">
        <v>1728</v>
      </c>
      <c r="BHP1" s="3" t="s">
        <v>1729</v>
      </c>
      <c r="BHQ1" s="3" t="s">
        <v>1730</v>
      </c>
      <c r="BHR1" s="3" t="s">
        <v>1731</v>
      </c>
      <c r="BHS1" s="3" t="s">
        <v>1732</v>
      </c>
      <c r="BHT1" s="3" t="s">
        <v>1733</v>
      </c>
      <c r="BHU1" s="3" t="s">
        <v>1734</v>
      </c>
      <c r="BHV1" s="3" t="s">
        <v>1735</v>
      </c>
      <c r="BHW1" s="3" t="s">
        <v>1736</v>
      </c>
      <c r="BHX1" s="3" t="s">
        <v>1737</v>
      </c>
      <c r="BHY1" s="3" t="s">
        <v>1738</v>
      </c>
      <c r="BHZ1" s="3" t="s">
        <v>1739</v>
      </c>
      <c r="BIA1" s="3" t="s">
        <v>1740</v>
      </c>
      <c r="BIB1" s="3" t="s">
        <v>1741</v>
      </c>
      <c r="BIC1" s="3" t="s">
        <v>1742</v>
      </c>
      <c r="BID1" s="3" t="s">
        <v>1743</v>
      </c>
      <c r="BIE1" s="3" t="s">
        <v>1744</v>
      </c>
      <c r="BIF1" s="3" t="s">
        <v>1745</v>
      </c>
      <c r="BIG1" s="3" t="s">
        <v>1746</v>
      </c>
      <c r="BIH1" s="3" t="s">
        <v>1747</v>
      </c>
      <c r="BII1" s="3" t="s">
        <v>1748</v>
      </c>
      <c r="BIJ1" s="3" t="s">
        <v>1749</v>
      </c>
      <c r="BIK1" s="3" t="s">
        <v>1750</v>
      </c>
      <c r="BIL1" s="3" t="s">
        <v>1751</v>
      </c>
      <c r="BIM1" s="3" t="s">
        <v>1752</v>
      </c>
      <c r="BIN1" s="3" t="s">
        <v>1753</v>
      </c>
      <c r="BIO1" s="3" t="s">
        <v>1754</v>
      </c>
      <c r="BIP1" s="3" t="s">
        <v>1755</v>
      </c>
      <c r="BIQ1" s="3" t="s">
        <v>1756</v>
      </c>
      <c r="BIR1" s="3" t="s">
        <v>1757</v>
      </c>
      <c r="BIS1" s="3" t="s">
        <v>1758</v>
      </c>
      <c r="BIT1" s="3" t="s">
        <v>1759</v>
      </c>
      <c r="BIU1" s="3" t="s">
        <v>1760</v>
      </c>
      <c r="BIV1" s="3" t="s">
        <v>1761</v>
      </c>
      <c r="BIW1" s="3" t="s">
        <v>1762</v>
      </c>
      <c r="BIX1" s="3" t="s">
        <v>1763</v>
      </c>
      <c r="BIY1" s="3" t="s">
        <v>1764</v>
      </c>
      <c r="BIZ1" s="3" t="s">
        <v>1765</v>
      </c>
      <c r="BJA1" s="3" t="s">
        <v>1766</v>
      </c>
      <c r="BJB1" s="3" t="s">
        <v>1767</v>
      </c>
      <c r="BJC1" s="3" t="s">
        <v>1768</v>
      </c>
      <c r="BJD1" s="3" t="s">
        <v>1769</v>
      </c>
      <c r="BJE1" s="3" t="s">
        <v>1770</v>
      </c>
      <c r="BJF1" s="3" t="s">
        <v>1771</v>
      </c>
      <c r="BJG1" s="3" t="s">
        <v>1772</v>
      </c>
      <c r="BJH1" s="3" t="s">
        <v>1773</v>
      </c>
      <c r="BJI1" s="3" t="s">
        <v>1774</v>
      </c>
      <c r="BJJ1" s="3" t="s">
        <v>1775</v>
      </c>
      <c r="BJK1" s="3" t="s">
        <v>1776</v>
      </c>
      <c r="BJL1" s="3" t="s">
        <v>1777</v>
      </c>
      <c r="BJM1" s="3" t="s">
        <v>1778</v>
      </c>
      <c r="BJN1" s="3" t="s">
        <v>1779</v>
      </c>
      <c r="BJO1" s="3" t="s">
        <v>1780</v>
      </c>
      <c r="BJP1" s="3" t="s">
        <v>1781</v>
      </c>
      <c r="BJQ1" s="3" t="s">
        <v>1782</v>
      </c>
      <c r="BJR1" s="3" t="s">
        <v>1783</v>
      </c>
      <c r="BJS1" s="3" t="s">
        <v>1784</v>
      </c>
      <c r="BJT1" s="3" t="s">
        <v>1785</v>
      </c>
      <c r="BJU1" s="3" t="s">
        <v>1786</v>
      </c>
      <c r="BJV1" s="3" t="s">
        <v>1787</v>
      </c>
      <c r="BJW1" s="3" t="s">
        <v>1788</v>
      </c>
      <c r="BJX1" s="3" t="s">
        <v>1789</v>
      </c>
      <c r="BJY1" s="3" t="s">
        <v>1790</v>
      </c>
      <c r="BJZ1" s="3" t="s">
        <v>1791</v>
      </c>
      <c r="BKA1" s="3" t="s">
        <v>1792</v>
      </c>
      <c r="BKB1" s="3" t="s">
        <v>1793</v>
      </c>
      <c r="BKC1" s="3" t="s">
        <v>1794</v>
      </c>
      <c r="BKD1" s="3" t="s">
        <v>1795</v>
      </c>
      <c r="BKE1" s="3" t="s">
        <v>1796</v>
      </c>
      <c r="BKF1" s="3" t="s">
        <v>1797</v>
      </c>
      <c r="BKG1" s="3" t="s">
        <v>1798</v>
      </c>
      <c r="BKH1" s="3" t="s">
        <v>1799</v>
      </c>
      <c r="BKI1" s="3" t="s">
        <v>1800</v>
      </c>
      <c r="BKJ1" s="3" t="s">
        <v>1801</v>
      </c>
      <c r="BKK1" s="3" t="s">
        <v>1802</v>
      </c>
      <c r="BKL1" s="3" t="s">
        <v>1803</v>
      </c>
      <c r="BKM1" s="3" t="s">
        <v>1804</v>
      </c>
      <c r="BKN1" s="3" t="s">
        <v>1805</v>
      </c>
      <c r="BKO1" s="3" t="s">
        <v>1806</v>
      </c>
      <c r="BKP1" s="3" t="s">
        <v>1807</v>
      </c>
      <c r="BKQ1" s="3" t="s">
        <v>1808</v>
      </c>
      <c r="BKR1" s="3" t="s">
        <v>1809</v>
      </c>
      <c r="BKS1" s="3" t="s">
        <v>1810</v>
      </c>
      <c r="BKT1" s="3" t="s">
        <v>1811</v>
      </c>
      <c r="BKU1" s="3" t="s">
        <v>1812</v>
      </c>
      <c r="BKV1" s="3" t="s">
        <v>1813</v>
      </c>
      <c r="BKW1" s="3" t="s">
        <v>1814</v>
      </c>
      <c r="BKX1" s="3" t="s">
        <v>1815</v>
      </c>
      <c r="BKY1" s="3" t="s">
        <v>1816</v>
      </c>
      <c r="BKZ1" s="3" t="s">
        <v>1817</v>
      </c>
      <c r="BLA1" s="3" t="s">
        <v>1818</v>
      </c>
      <c r="BLB1" s="3" t="s">
        <v>1819</v>
      </c>
      <c r="BLC1" s="3" t="s">
        <v>1820</v>
      </c>
      <c r="BLD1" s="3" t="s">
        <v>1821</v>
      </c>
      <c r="BLE1" s="3" t="s">
        <v>1822</v>
      </c>
      <c r="BLF1" s="3" t="s">
        <v>1823</v>
      </c>
      <c r="BLG1" s="3" t="s">
        <v>1824</v>
      </c>
      <c r="BLH1" s="3" t="s">
        <v>1825</v>
      </c>
      <c r="BLI1" s="3" t="s">
        <v>1826</v>
      </c>
      <c r="BLJ1" s="3" t="s">
        <v>1827</v>
      </c>
      <c r="BLK1" s="3" t="s">
        <v>1828</v>
      </c>
      <c r="BLL1" s="3" t="s">
        <v>1829</v>
      </c>
      <c r="BLM1" s="3" t="s">
        <v>1830</v>
      </c>
      <c r="BLN1" s="3" t="s">
        <v>1831</v>
      </c>
      <c r="BLO1" s="3" t="s">
        <v>1832</v>
      </c>
      <c r="BLP1" s="3" t="s">
        <v>1833</v>
      </c>
      <c r="BLQ1" s="3" t="s">
        <v>1834</v>
      </c>
      <c r="BLR1" s="3" t="s">
        <v>1835</v>
      </c>
      <c r="BLS1" s="3" t="s">
        <v>1836</v>
      </c>
      <c r="BLT1" s="3" t="s">
        <v>1837</v>
      </c>
      <c r="BLU1" s="3" t="s">
        <v>1838</v>
      </c>
      <c r="BLV1" s="3" t="s">
        <v>1839</v>
      </c>
      <c r="BLW1" s="3" t="s">
        <v>1840</v>
      </c>
      <c r="BLX1" s="3" t="s">
        <v>1841</v>
      </c>
      <c r="BLY1" s="3" t="s">
        <v>1842</v>
      </c>
      <c r="BLZ1" s="3" t="s">
        <v>1843</v>
      </c>
      <c r="BMA1" s="3" t="s">
        <v>1844</v>
      </c>
      <c r="BMB1" s="3" t="s">
        <v>1845</v>
      </c>
      <c r="BMC1" s="3" t="s">
        <v>1846</v>
      </c>
      <c r="BMD1" s="3" t="s">
        <v>1847</v>
      </c>
      <c r="BME1" s="3" t="s">
        <v>1848</v>
      </c>
      <c r="BMF1" s="3" t="s">
        <v>1849</v>
      </c>
      <c r="BMG1" s="3" t="s">
        <v>1850</v>
      </c>
      <c r="BMH1" s="3" t="s">
        <v>1851</v>
      </c>
      <c r="BMI1" s="3" t="s">
        <v>1852</v>
      </c>
      <c r="BMJ1" s="3" t="s">
        <v>1853</v>
      </c>
      <c r="BMK1" s="3" t="s">
        <v>1854</v>
      </c>
      <c r="BML1" s="3" t="s">
        <v>1855</v>
      </c>
      <c r="BMM1" s="3" t="s">
        <v>1856</v>
      </c>
      <c r="BMN1" s="3" t="s">
        <v>1857</v>
      </c>
      <c r="BMO1" s="3" t="s">
        <v>1858</v>
      </c>
      <c r="BMP1" s="3" t="s">
        <v>1859</v>
      </c>
      <c r="BMQ1" s="3" t="s">
        <v>1860</v>
      </c>
      <c r="BMR1" s="3" t="s">
        <v>1861</v>
      </c>
      <c r="BMS1" s="3" t="s">
        <v>1862</v>
      </c>
      <c r="BMT1" s="3" t="s">
        <v>1863</v>
      </c>
      <c r="BMU1" s="3" t="s">
        <v>1864</v>
      </c>
      <c r="BMV1" s="3" t="s">
        <v>1865</v>
      </c>
      <c r="BMW1" s="3" t="s">
        <v>1866</v>
      </c>
      <c r="BMX1" s="3" t="s">
        <v>1867</v>
      </c>
      <c r="BMY1" s="3" t="s">
        <v>1868</v>
      </c>
      <c r="BMZ1" s="3" t="s">
        <v>1869</v>
      </c>
      <c r="BNA1" s="3" t="s">
        <v>1870</v>
      </c>
      <c r="BNB1" s="3" t="s">
        <v>1871</v>
      </c>
      <c r="BNC1" s="3" t="s">
        <v>1872</v>
      </c>
      <c r="BND1" s="3" t="s">
        <v>1873</v>
      </c>
      <c r="BNE1" s="3" t="s">
        <v>1874</v>
      </c>
      <c r="BNF1" s="3" t="s">
        <v>1875</v>
      </c>
      <c r="BNG1" s="3" t="s">
        <v>1876</v>
      </c>
      <c r="BNH1" s="3" t="s">
        <v>1877</v>
      </c>
      <c r="BNI1" s="3" t="s">
        <v>1878</v>
      </c>
      <c r="BNJ1" s="3" t="s">
        <v>1879</v>
      </c>
      <c r="BNK1" s="3" t="s">
        <v>1880</v>
      </c>
      <c r="BNL1" s="3" t="s">
        <v>1881</v>
      </c>
      <c r="BNM1" s="3" t="s">
        <v>1882</v>
      </c>
      <c r="BNN1" s="3" t="s">
        <v>1883</v>
      </c>
      <c r="BNO1" s="3" t="s">
        <v>1884</v>
      </c>
      <c r="BNP1" s="3" t="s">
        <v>1885</v>
      </c>
      <c r="BNQ1" s="3" t="s">
        <v>1886</v>
      </c>
      <c r="BNR1" s="3" t="s">
        <v>1887</v>
      </c>
      <c r="BNS1" s="3" t="s">
        <v>1888</v>
      </c>
      <c r="BNT1" s="3" t="s">
        <v>1889</v>
      </c>
      <c r="BNU1" s="3" t="s">
        <v>1890</v>
      </c>
      <c r="BNV1" s="3" t="s">
        <v>1891</v>
      </c>
      <c r="BNW1" s="3" t="s">
        <v>1892</v>
      </c>
      <c r="BNX1" s="3" t="s">
        <v>1893</v>
      </c>
      <c r="BNY1" s="3" t="s">
        <v>1894</v>
      </c>
      <c r="BNZ1" s="3" t="s">
        <v>1895</v>
      </c>
      <c r="BOA1" s="3" t="s">
        <v>1896</v>
      </c>
      <c r="BOB1" s="3" t="s">
        <v>1897</v>
      </c>
      <c r="BOC1" s="3" t="s">
        <v>1898</v>
      </c>
      <c r="BOD1" s="3" t="s">
        <v>1899</v>
      </c>
      <c r="BOE1" s="3" t="s">
        <v>1900</v>
      </c>
      <c r="BOF1" s="3" t="s">
        <v>1901</v>
      </c>
      <c r="BOG1" s="3" t="s">
        <v>1902</v>
      </c>
      <c r="BOH1" s="3" t="s">
        <v>1903</v>
      </c>
      <c r="BOI1" s="3" t="s">
        <v>1904</v>
      </c>
      <c r="BOJ1" s="3" t="s">
        <v>1905</v>
      </c>
      <c r="BOK1" s="3" t="s">
        <v>1906</v>
      </c>
      <c r="BOL1" s="3" t="s">
        <v>1907</v>
      </c>
      <c r="BOM1" s="3" t="s">
        <v>1908</v>
      </c>
      <c r="BON1" s="3" t="s">
        <v>1909</v>
      </c>
      <c r="BOO1" s="3" t="s">
        <v>1910</v>
      </c>
      <c r="BOP1" s="3" t="s">
        <v>1911</v>
      </c>
      <c r="BOQ1" s="3" t="s">
        <v>1912</v>
      </c>
      <c r="BOR1" s="3" t="s">
        <v>1913</v>
      </c>
      <c r="BOS1" s="3" t="s">
        <v>1914</v>
      </c>
      <c r="BOT1" s="3" t="s">
        <v>1915</v>
      </c>
      <c r="BOU1" s="3" t="s">
        <v>1916</v>
      </c>
      <c r="BOV1" s="3" t="s">
        <v>1917</v>
      </c>
      <c r="BOW1" s="3" t="s">
        <v>1918</v>
      </c>
      <c r="BOX1" s="3" t="s">
        <v>1919</v>
      </c>
      <c r="BOY1" s="3" t="s">
        <v>1920</v>
      </c>
      <c r="BOZ1" s="3" t="s">
        <v>1921</v>
      </c>
      <c r="BPA1" s="3" t="s">
        <v>1922</v>
      </c>
      <c r="BPB1" s="3" t="s">
        <v>1923</v>
      </c>
      <c r="BPC1" s="3" t="s">
        <v>1924</v>
      </c>
      <c r="BPD1" s="3" t="s">
        <v>1925</v>
      </c>
      <c r="BPE1" s="3" t="s">
        <v>1926</v>
      </c>
      <c r="BPF1" s="3" t="s">
        <v>1927</v>
      </c>
      <c r="BPG1" s="3" t="s">
        <v>1928</v>
      </c>
      <c r="BPH1" s="3" t="s">
        <v>1929</v>
      </c>
      <c r="BPI1" s="3" t="s">
        <v>1930</v>
      </c>
      <c r="BPJ1" s="3" t="s">
        <v>1931</v>
      </c>
      <c r="BPK1" s="3" t="s">
        <v>1932</v>
      </c>
      <c r="BPL1" s="3" t="s">
        <v>1933</v>
      </c>
      <c r="BPM1" s="3" t="s">
        <v>1934</v>
      </c>
      <c r="BPN1" s="3" t="s">
        <v>1935</v>
      </c>
      <c r="BPO1" s="3" t="s">
        <v>1936</v>
      </c>
      <c r="BPP1" s="3" t="s">
        <v>1937</v>
      </c>
      <c r="BPQ1" s="3" t="s">
        <v>1938</v>
      </c>
      <c r="BPR1" s="3" t="s">
        <v>1939</v>
      </c>
      <c r="BPS1" s="3" t="s">
        <v>1940</v>
      </c>
      <c r="BPT1" s="3" t="s">
        <v>1941</v>
      </c>
      <c r="BPU1" s="3" t="s">
        <v>1942</v>
      </c>
      <c r="BPV1" s="3" t="s">
        <v>1943</v>
      </c>
      <c r="BPW1" s="3" t="s">
        <v>1944</v>
      </c>
      <c r="BPX1" s="3" t="s">
        <v>1945</v>
      </c>
      <c r="BPY1" s="3" t="s">
        <v>1946</v>
      </c>
      <c r="BPZ1" s="3" t="s">
        <v>1947</v>
      </c>
      <c r="BQA1" s="3" t="s">
        <v>1948</v>
      </c>
      <c r="BQB1" s="3" t="s">
        <v>1949</v>
      </c>
      <c r="BQC1" s="3" t="s">
        <v>1950</v>
      </c>
      <c r="BQD1" s="3" t="s">
        <v>1951</v>
      </c>
      <c r="BQE1" s="3" t="s">
        <v>1952</v>
      </c>
      <c r="BQF1" s="3" t="s">
        <v>1953</v>
      </c>
      <c r="BQG1" s="3" t="s">
        <v>1954</v>
      </c>
      <c r="BQH1" s="3" t="s">
        <v>1955</v>
      </c>
      <c r="BQI1" s="3" t="s">
        <v>1956</v>
      </c>
      <c r="BQJ1" s="3" t="s">
        <v>1957</v>
      </c>
      <c r="BQK1" s="3" t="s">
        <v>1958</v>
      </c>
      <c r="BQL1" s="3" t="s">
        <v>1959</v>
      </c>
      <c r="BQM1" s="3" t="s">
        <v>1960</v>
      </c>
      <c r="BQN1" s="3" t="s">
        <v>1961</v>
      </c>
      <c r="BQO1" s="3" t="s">
        <v>1962</v>
      </c>
      <c r="BQP1" s="3" t="s">
        <v>1963</v>
      </c>
      <c r="BQQ1" s="3" t="s">
        <v>1964</v>
      </c>
      <c r="BQR1" s="3" t="s">
        <v>1965</v>
      </c>
      <c r="BQS1" s="3" t="s">
        <v>1966</v>
      </c>
      <c r="BQT1" s="3" t="s">
        <v>1967</v>
      </c>
      <c r="BQU1" s="3" t="s">
        <v>1968</v>
      </c>
      <c r="BQV1" s="3" t="s">
        <v>1969</v>
      </c>
      <c r="BQW1" s="3" t="s">
        <v>1970</v>
      </c>
      <c r="BQX1" s="3" t="s">
        <v>1971</v>
      </c>
      <c r="BQY1" s="3" t="s">
        <v>1972</v>
      </c>
      <c r="BQZ1" s="3" t="s">
        <v>1973</v>
      </c>
      <c r="BRA1" s="3" t="s">
        <v>1974</v>
      </c>
      <c r="BRB1" s="3" t="s">
        <v>1975</v>
      </c>
      <c r="BRC1" s="3" t="s">
        <v>1976</v>
      </c>
      <c r="BRD1" s="3" t="s">
        <v>1977</v>
      </c>
      <c r="BRE1" s="3" t="s">
        <v>1978</v>
      </c>
      <c r="BRF1" s="3" t="s">
        <v>1979</v>
      </c>
      <c r="BRG1" s="3" t="s">
        <v>1980</v>
      </c>
      <c r="BRH1" s="3" t="s">
        <v>1981</v>
      </c>
      <c r="BRI1" s="3" t="s">
        <v>1982</v>
      </c>
      <c r="BRJ1" s="3" t="s">
        <v>1983</v>
      </c>
      <c r="BRK1" s="3" t="s">
        <v>1984</v>
      </c>
      <c r="BRL1" s="3" t="s">
        <v>1985</v>
      </c>
      <c r="BRM1" s="3" t="s">
        <v>1986</v>
      </c>
      <c r="BRN1" s="3" t="s">
        <v>1987</v>
      </c>
      <c r="BRO1" s="3" t="s">
        <v>1988</v>
      </c>
      <c r="BRP1" s="3" t="s">
        <v>1989</v>
      </c>
      <c r="BRQ1" s="3" t="s">
        <v>1990</v>
      </c>
      <c r="BRR1" s="3" t="s">
        <v>1991</v>
      </c>
      <c r="BRS1" s="3" t="s">
        <v>1992</v>
      </c>
      <c r="BRT1" s="3" t="s">
        <v>1993</v>
      </c>
      <c r="BRU1" s="3" t="s">
        <v>1994</v>
      </c>
      <c r="BRV1" s="3" t="s">
        <v>1995</v>
      </c>
      <c r="BRW1" s="3" t="s">
        <v>1996</v>
      </c>
      <c r="BRX1" s="3" t="s">
        <v>1997</v>
      </c>
      <c r="BRY1" s="3" t="s">
        <v>1998</v>
      </c>
      <c r="BRZ1" s="3" t="s">
        <v>1999</v>
      </c>
      <c r="BSA1" s="3" t="s">
        <v>2000</v>
      </c>
      <c r="BSB1" s="3" t="s">
        <v>2001</v>
      </c>
      <c r="BSC1" s="3" t="s">
        <v>2002</v>
      </c>
      <c r="BSD1" s="3" t="s">
        <v>2003</v>
      </c>
      <c r="BSE1" s="3" t="s">
        <v>2004</v>
      </c>
      <c r="BSF1" s="3" t="s">
        <v>2005</v>
      </c>
      <c r="BSG1" s="3" t="s">
        <v>2006</v>
      </c>
      <c r="BSH1" s="3" t="s">
        <v>2007</v>
      </c>
      <c r="BSI1" s="3" t="s">
        <v>2008</v>
      </c>
      <c r="BSJ1" s="3" t="s">
        <v>2009</v>
      </c>
      <c r="BSK1" s="3" t="s">
        <v>2010</v>
      </c>
      <c r="BSL1" s="3" t="s">
        <v>2011</v>
      </c>
      <c r="BSM1" s="3" t="s">
        <v>2012</v>
      </c>
      <c r="BSN1" s="3" t="s">
        <v>2013</v>
      </c>
      <c r="BSO1" s="3" t="s">
        <v>2014</v>
      </c>
      <c r="BSP1" s="3" t="s">
        <v>2015</v>
      </c>
      <c r="BSQ1" s="3" t="s">
        <v>2016</v>
      </c>
      <c r="BSR1" s="3" t="s">
        <v>2017</v>
      </c>
      <c r="BSS1" s="3" t="s">
        <v>2018</v>
      </c>
      <c r="BST1" s="3" t="s">
        <v>2019</v>
      </c>
      <c r="BSU1" s="3" t="s">
        <v>2020</v>
      </c>
      <c r="BSV1" s="3" t="s">
        <v>2021</v>
      </c>
      <c r="BSW1" s="3" t="s">
        <v>2022</v>
      </c>
      <c r="BSX1" s="3" t="s">
        <v>2023</v>
      </c>
      <c r="BSY1" s="3" t="s">
        <v>2024</v>
      </c>
      <c r="BSZ1" s="3" t="s">
        <v>2025</v>
      </c>
      <c r="BTA1" s="3" t="s">
        <v>2026</v>
      </c>
      <c r="BTB1" s="3" t="s">
        <v>2027</v>
      </c>
      <c r="BTC1" s="3" t="s">
        <v>2028</v>
      </c>
      <c r="BTD1" s="3" t="s">
        <v>2029</v>
      </c>
      <c r="BTE1" s="3" t="s">
        <v>2030</v>
      </c>
      <c r="BTF1" s="3" t="s">
        <v>2031</v>
      </c>
      <c r="BTG1" s="3" t="s">
        <v>2032</v>
      </c>
      <c r="BTH1" s="3" t="s">
        <v>2033</v>
      </c>
      <c r="BTI1" s="3" t="s">
        <v>2034</v>
      </c>
      <c r="BTJ1" s="3" t="s">
        <v>2035</v>
      </c>
      <c r="BTK1" s="3" t="s">
        <v>2036</v>
      </c>
      <c r="BTL1" s="3" t="s">
        <v>2037</v>
      </c>
      <c r="BTM1" s="3" t="s">
        <v>2038</v>
      </c>
      <c r="BTN1" s="3" t="s">
        <v>2039</v>
      </c>
      <c r="BTO1" s="3" t="s">
        <v>2040</v>
      </c>
      <c r="BTP1" s="3" t="s">
        <v>2041</v>
      </c>
      <c r="BTQ1" s="3" t="s">
        <v>2042</v>
      </c>
      <c r="BTR1" s="3" t="s">
        <v>2043</v>
      </c>
      <c r="BTS1" s="3" t="s">
        <v>2044</v>
      </c>
      <c r="BTT1" s="3" t="s">
        <v>2045</v>
      </c>
      <c r="BTU1" s="3" t="s">
        <v>2046</v>
      </c>
      <c r="BTV1" s="3" t="s">
        <v>2047</v>
      </c>
      <c r="BTW1" s="3" t="s">
        <v>2048</v>
      </c>
      <c r="BTX1" s="3" t="s">
        <v>2049</v>
      </c>
      <c r="BTY1" s="3" t="s">
        <v>2050</v>
      </c>
      <c r="BTZ1" s="3" t="s">
        <v>2051</v>
      </c>
      <c r="BUA1" s="3" t="s">
        <v>2052</v>
      </c>
      <c r="BUB1" s="3" t="s">
        <v>2053</v>
      </c>
      <c r="BUC1" s="3" t="s">
        <v>2054</v>
      </c>
      <c r="BUD1" s="3" t="s">
        <v>2055</v>
      </c>
      <c r="BUE1" s="3" t="s">
        <v>2056</v>
      </c>
      <c r="BUF1" s="3" t="s">
        <v>2057</v>
      </c>
      <c r="BUG1" s="3" t="s">
        <v>2058</v>
      </c>
      <c r="BUH1" s="3" t="s">
        <v>2059</v>
      </c>
      <c r="BUI1" s="3" t="s">
        <v>2060</v>
      </c>
      <c r="BUJ1" s="3" t="s">
        <v>2061</v>
      </c>
      <c r="BUK1" s="3" t="s">
        <v>2062</v>
      </c>
      <c r="BUL1" s="3" t="s">
        <v>2063</v>
      </c>
      <c r="BUM1" s="3" t="s">
        <v>2064</v>
      </c>
      <c r="BUN1" s="3" t="s">
        <v>2065</v>
      </c>
      <c r="BUO1" s="3" t="s">
        <v>2066</v>
      </c>
      <c r="BUP1" s="3" t="s">
        <v>2067</v>
      </c>
      <c r="BUQ1" s="3" t="s">
        <v>2068</v>
      </c>
      <c r="BUR1" s="3" t="s">
        <v>2069</v>
      </c>
      <c r="BUS1" s="3" t="s">
        <v>2070</v>
      </c>
      <c r="BUT1" s="3" t="s">
        <v>2071</v>
      </c>
      <c r="BUU1" s="3" t="s">
        <v>2072</v>
      </c>
      <c r="BUV1" s="3" t="s">
        <v>2073</v>
      </c>
      <c r="BUW1" s="3" t="s">
        <v>2074</v>
      </c>
      <c r="BUX1" s="3" t="s">
        <v>2075</v>
      </c>
      <c r="BUY1" s="3" t="s">
        <v>2076</v>
      </c>
      <c r="BUZ1" s="3" t="s">
        <v>2077</v>
      </c>
      <c r="BVA1" s="3" t="s">
        <v>2078</v>
      </c>
      <c r="BVB1" s="3" t="s">
        <v>2079</v>
      </c>
      <c r="BVC1" s="3" t="s">
        <v>2080</v>
      </c>
      <c r="BVD1" s="3" t="s">
        <v>2081</v>
      </c>
      <c r="BVE1" s="3" t="s">
        <v>2082</v>
      </c>
      <c r="BVF1" s="3" t="s">
        <v>2083</v>
      </c>
      <c r="BVG1" s="3" t="s">
        <v>2084</v>
      </c>
      <c r="BVH1" s="3" t="s">
        <v>2085</v>
      </c>
      <c r="BVI1" s="3" t="s">
        <v>2086</v>
      </c>
      <c r="BVJ1" s="3" t="s">
        <v>2087</v>
      </c>
      <c r="BVK1" s="3" t="s">
        <v>2088</v>
      </c>
      <c r="BVL1" s="3" t="s">
        <v>2089</v>
      </c>
      <c r="BVM1" s="3" t="s">
        <v>2090</v>
      </c>
      <c r="BVN1" s="3" t="s">
        <v>2091</v>
      </c>
      <c r="BVO1" s="3" t="s">
        <v>2092</v>
      </c>
      <c r="BVP1" s="3" t="s">
        <v>2093</v>
      </c>
      <c r="BVQ1" s="3" t="s">
        <v>2094</v>
      </c>
      <c r="BVR1" s="3" t="s">
        <v>2095</v>
      </c>
      <c r="BVS1" s="3" t="s">
        <v>2096</v>
      </c>
      <c r="BVT1" s="3" t="s">
        <v>2097</v>
      </c>
      <c r="BVU1" s="3" t="s">
        <v>2098</v>
      </c>
      <c r="BVV1" s="3" t="s">
        <v>2099</v>
      </c>
      <c r="BVW1" s="3" t="s">
        <v>2100</v>
      </c>
      <c r="BVX1" s="3" t="s">
        <v>2101</v>
      </c>
      <c r="BVY1" s="3" t="s">
        <v>2102</v>
      </c>
      <c r="BVZ1" s="3" t="s">
        <v>2103</v>
      </c>
      <c r="BWA1" s="3" t="s">
        <v>2104</v>
      </c>
      <c r="BWB1" s="3" t="s">
        <v>2105</v>
      </c>
      <c r="BWC1" s="3" t="s">
        <v>2106</v>
      </c>
      <c r="BWD1" s="3" t="s">
        <v>2107</v>
      </c>
      <c r="BWE1" s="3" t="s">
        <v>2108</v>
      </c>
      <c r="BWF1" s="3" t="s">
        <v>2109</v>
      </c>
      <c r="BWG1" s="3" t="s">
        <v>2110</v>
      </c>
      <c r="BWH1" s="3" t="s">
        <v>2111</v>
      </c>
      <c r="BWI1" s="3" t="s">
        <v>2112</v>
      </c>
      <c r="BWJ1" s="3" t="s">
        <v>2113</v>
      </c>
      <c r="BWK1" s="3" t="s">
        <v>2114</v>
      </c>
      <c r="BWL1" s="3" t="s">
        <v>2115</v>
      </c>
      <c r="BWM1" s="3" t="s">
        <v>2116</v>
      </c>
      <c r="BWN1" s="3" t="s">
        <v>2117</v>
      </c>
      <c r="BWO1" s="3" t="s">
        <v>2118</v>
      </c>
      <c r="BWP1" s="3" t="s">
        <v>2119</v>
      </c>
      <c r="BWQ1" s="3" t="s">
        <v>2120</v>
      </c>
      <c r="BWR1" s="3" t="s">
        <v>2121</v>
      </c>
      <c r="BWS1" s="3" t="s">
        <v>2122</v>
      </c>
      <c r="BWT1" s="3" t="s">
        <v>2123</v>
      </c>
      <c r="BWU1" s="3" t="s">
        <v>2124</v>
      </c>
      <c r="BWV1" s="3" t="s">
        <v>2125</v>
      </c>
      <c r="BWW1" s="3" t="s">
        <v>2126</v>
      </c>
      <c r="BWX1" s="3" t="s">
        <v>2127</v>
      </c>
      <c r="BWY1" s="3" t="s">
        <v>2128</v>
      </c>
      <c r="BWZ1" s="3" t="s">
        <v>2129</v>
      </c>
      <c r="BXA1" s="3" t="s">
        <v>2130</v>
      </c>
      <c r="BXB1" s="3" t="s">
        <v>2131</v>
      </c>
      <c r="BXC1" s="3" t="s">
        <v>2132</v>
      </c>
      <c r="BXD1" s="3" t="s">
        <v>2133</v>
      </c>
      <c r="BXE1" s="3" t="s">
        <v>2134</v>
      </c>
      <c r="BXF1" s="3" t="s">
        <v>2135</v>
      </c>
      <c r="BXG1" s="3" t="s">
        <v>2136</v>
      </c>
      <c r="BXH1" s="3" t="s">
        <v>2137</v>
      </c>
      <c r="BXI1" s="3" t="s">
        <v>2138</v>
      </c>
      <c r="BXJ1" s="3" t="s">
        <v>2139</v>
      </c>
      <c r="BXK1" s="3" t="s">
        <v>2140</v>
      </c>
      <c r="BXL1" s="3" t="s">
        <v>2141</v>
      </c>
      <c r="BXM1" s="3" t="s">
        <v>2142</v>
      </c>
      <c r="BXN1" s="3" t="s">
        <v>2143</v>
      </c>
      <c r="BXO1" s="3" t="s">
        <v>2144</v>
      </c>
      <c r="BXP1" s="3" t="s">
        <v>2145</v>
      </c>
      <c r="BXQ1" s="3" t="s">
        <v>2146</v>
      </c>
      <c r="BXR1" s="3" t="s">
        <v>2147</v>
      </c>
      <c r="BXS1" s="3" t="s">
        <v>2148</v>
      </c>
      <c r="BXT1" s="3" t="s">
        <v>2149</v>
      </c>
      <c r="BXU1" s="3" t="s">
        <v>2150</v>
      </c>
      <c r="BXV1" s="3" t="s">
        <v>2151</v>
      </c>
      <c r="BXW1" s="3" t="s">
        <v>2152</v>
      </c>
      <c r="BXX1" s="3" t="s">
        <v>2153</v>
      </c>
      <c r="BXY1" s="3" t="s">
        <v>2154</v>
      </c>
      <c r="BXZ1" s="3" t="s">
        <v>2155</v>
      </c>
      <c r="BYA1" s="3" t="s">
        <v>2156</v>
      </c>
      <c r="BYB1" s="3" t="s">
        <v>2157</v>
      </c>
      <c r="BYC1" s="3" t="s">
        <v>2158</v>
      </c>
      <c r="BYD1" s="3" t="s">
        <v>2159</v>
      </c>
      <c r="BYE1" s="3" t="s">
        <v>2160</v>
      </c>
      <c r="BYF1" s="3" t="s">
        <v>2161</v>
      </c>
      <c r="BYG1" s="3" t="s">
        <v>2162</v>
      </c>
      <c r="BYH1" s="3" t="s">
        <v>2163</v>
      </c>
      <c r="BYI1" s="3" t="s">
        <v>2164</v>
      </c>
      <c r="BYJ1" s="3" t="s">
        <v>2165</v>
      </c>
      <c r="BYK1" s="3" t="s">
        <v>2166</v>
      </c>
      <c r="BYL1" s="3" t="s">
        <v>2167</v>
      </c>
      <c r="BYM1" s="3" t="s">
        <v>2168</v>
      </c>
      <c r="BYN1" s="3" t="s">
        <v>2169</v>
      </c>
      <c r="BYO1" s="3" t="s">
        <v>2170</v>
      </c>
      <c r="BYP1" s="3" t="s">
        <v>2171</v>
      </c>
      <c r="BYQ1" s="3" t="s">
        <v>2172</v>
      </c>
      <c r="BYR1" s="3" t="s">
        <v>2173</v>
      </c>
      <c r="BYS1" s="3" t="s">
        <v>2174</v>
      </c>
      <c r="BYT1" s="3" t="s">
        <v>2175</v>
      </c>
      <c r="BYU1" s="3" t="s">
        <v>2176</v>
      </c>
      <c r="BYV1" s="3" t="s">
        <v>2177</v>
      </c>
      <c r="BYW1" s="3" t="s">
        <v>2178</v>
      </c>
      <c r="BYX1" s="3" t="s">
        <v>2179</v>
      </c>
      <c r="BYY1" s="3" t="s">
        <v>2180</v>
      </c>
      <c r="BYZ1" s="3" t="s">
        <v>2181</v>
      </c>
      <c r="BZA1" s="3" t="s">
        <v>2182</v>
      </c>
      <c r="BZB1" s="3" t="s">
        <v>2183</v>
      </c>
      <c r="BZC1" s="3" t="s">
        <v>2184</v>
      </c>
      <c r="BZD1" s="3" t="s">
        <v>2185</v>
      </c>
      <c r="BZE1" s="3" t="s">
        <v>2186</v>
      </c>
      <c r="BZF1" s="3" t="s">
        <v>2187</v>
      </c>
      <c r="BZG1" s="3" t="s">
        <v>2188</v>
      </c>
      <c r="BZH1" s="3" t="s">
        <v>2189</v>
      </c>
      <c r="BZI1" s="3" t="s">
        <v>2190</v>
      </c>
      <c r="BZJ1" s="3" t="s">
        <v>2191</v>
      </c>
      <c r="BZK1" s="3" t="s">
        <v>2192</v>
      </c>
      <c r="BZL1" s="3" t="s">
        <v>2193</v>
      </c>
      <c r="BZM1" s="3" t="s">
        <v>2194</v>
      </c>
      <c r="BZN1" s="3" t="s">
        <v>2195</v>
      </c>
      <c r="BZO1" s="3" t="s">
        <v>2196</v>
      </c>
      <c r="BZP1" s="3" t="s">
        <v>2197</v>
      </c>
      <c r="BZQ1" s="3" t="s">
        <v>2198</v>
      </c>
      <c r="BZR1" s="3" t="s">
        <v>2199</v>
      </c>
      <c r="BZS1" s="3" t="s">
        <v>2200</v>
      </c>
      <c r="BZT1" s="3" t="s">
        <v>2201</v>
      </c>
      <c r="BZU1" s="3" t="s">
        <v>2202</v>
      </c>
      <c r="BZV1" s="3" t="s">
        <v>2203</v>
      </c>
      <c r="BZW1" s="3" t="s">
        <v>2204</v>
      </c>
      <c r="BZX1" s="3" t="s">
        <v>2205</v>
      </c>
      <c r="BZY1" s="3" t="s">
        <v>2206</v>
      </c>
      <c r="BZZ1" s="3" t="s">
        <v>2207</v>
      </c>
      <c r="CAA1" s="3" t="s">
        <v>2208</v>
      </c>
      <c r="CAB1" s="3" t="s">
        <v>2209</v>
      </c>
      <c r="CAC1" s="3" t="s">
        <v>2210</v>
      </c>
      <c r="CAD1" s="3" t="s">
        <v>2211</v>
      </c>
      <c r="CAE1" s="3" t="s">
        <v>2212</v>
      </c>
      <c r="CAF1" s="3" t="s">
        <v>2213</v>
      </c>
      <c r="CAG1" s="3" t="s">
        <v>2214</v>
      </c>
      <c r="CAH1" s="3" t="s">
        <v>2215</v>
      </c>
      <c r="CAI1" s="3" t="s">
        <v>2216</v>
      </c>
      <c r="CAJ1" s="3" t="s">
        <v>2217</v>
      </c>
      <c r="CAK1" s="3" t="s">
        <v>2218</v>
      </c>
      <c r="CAL1" s="3" t="s">
        <v>2219</v>
      </c>
      <c r="CAM1" s="3" t="s">
        <v>2220</v>
      </c>
      <c r="CAN1" s="3" t="s">
        <v>2221</v>
      </c>
      <c r="CAO1" s="3" t="s">
        <v>2222</v>
      </c>
      <c r="CAP1" s="3" t="s">
        <v>2223</v>
      </c>
      <c r="CAQ1" s="3" t="s">
        <v>2224</v>
      </c>
      <c r="CAR1" s="3" t="s">
        <v>2225</v>
      </c>
      <c r="CAS1" s="3" t="s">
        <v>2226</v>
      </c>
      <c r="CAT1" s="3" t="s">
        <v>2227</v>
      </c>
      <c r="CAU1" s="3" t="s">
        <v>2228</v>
      </c>
      <c r="CAV1" s="3" t="s">
        <v>2229</v>
      </c>
      <c r="CAW1" s="3" t="s">
        <v>2230</v>
      </c>
      <c r="CAX1" s="3" t="s">
        <v>2231</v>
      </c>
      <c r="CAY1" s="3" t="s">
        <v>2232</v>
      </c>
      <c r="CAZ1" s="3" t="s">
        <v>2233</v>
      </c>
      <c r="CBA1" s="3" t="s">
        <v>2234</v>
      </c>
      <c r="CBB1" s="3" t="s">
        <v>2235</v>
      </c>
      <c r="CBC1" s="3" t="s">
        <v>2236</v>
      </c>
      <c r="CBD1" s="3" t="s">
        <v>2237</v>
      </c>
      <c r="CBE1" s="3" t="s">
        <v>2238</v>
      </c>
      <c r="CBF1" s="3" t="s">
        <v>2239</v>
      </c>
      <c r="CBG1" s="3" t="s">
        <v>2240</v>
      </c>
      <c r="CBH1" s="3" t="s">
        <v>2241</v>
      </c>
      <c r="CBI1" s="3" t="s">
        <v>2242</v>
      </c>
      <c r="CBJ1" s="3" t="s">
        <v>2243</v>
      </c>
      <c r="CBK1" s="3" t="s">
        <v>2244</v>
      </c>
      <c r="CBL1" s="3" t="s">
        <v>2245</v>
      </c>
      <c r="CBM1" s="3" t="s">
        <v>2246</v>
      </c>
      <c r="CBN1" s="3" t="s">
        <v>2247</v>
      </c>
      <c r="CBO1" s="3" t="s">
        <v>2248</v>
      </c>
      <c r="CBP1" s="3" t="s">
        <v>2249</v>
      </c>
      <c r="CBQ1" s="3" t="s">
        <v>2250</v>
      </c>
      <c r="CBR1" s="3" t="s">
        <v>2251</v>
      </c>
      <c r="CBS1" s="3" t="s">
        <v>2252</v>
      </c>
      <c r="CBT1" s="3" t="s">
        <v>2253</v>
      </c>
      <c r="CBU1" s="3" t="s">
        <v>2254</v>
      </c>
      <c r="CBV1" s="3" t="s">
        <v>2255</v>
      </c>
      <c r="CBW1" s="3" t="s">
        <v>2256</v>
      </c>
      <c r="CBX1" s="3" t="s">
        <v>2257</v>
      </c>
      <c r="CBY1" s="3" t="s">
        <v>2258</v>
      </c>
      <c r="CBZ1" s="3" t="s">
        <v>2259</v>
      </c>
      <c r="CCA1" s="3" t="s">
        <v>2260</v>
      </c>
      <c r="CCB1" s="3" t="s">
        <v>2261</v>
      </c>
      <c r="CCC1" s="3" t="s">
        <v>2262</v>
      </c>
      <c r="CCD1" s="3" t="s">
        <v>2263</v>
      </c>
      <c r="CCE1" s="3" t="s">
        <v>2264</v>
      </c>
      <c r="CCF1" s="3" t="s">
        <v>2265</v>
      </c>
      <c r="CCG1" s="3" t="s">
        <v>2266</v>
      </c>
      <c r="CCH1" s="3" t="s">
        <v>2267</v>
      </c>
      <c r="CCI1" s="3" t="s">
        <v>2268</v>
      </c>
      <c r="CCJ1" s="3" t="s">
        <v>2269</v>
      </c>
      <c r="CCK1" s="3" t="s">
        <v>2270</v>
      </c>
      <c r="CCL1" s="3" t="s">
        <v>2271</v>
      </c>
      <c r="CCM1" s="3" t="s">
        <v>2272</v>
      </c>
      <c r="CCN1" s="3" t="s">
        <v>2273</v>
      </c>
      <c r="CCO1" s="3" t="s">
        <v>2274</v>
      </c>
      <c r="CCP1" s="3" t="s">
        <v>2275</v>
      </c>
      <c r="CCQ1" s="3" t="s">
        <v>2276</v>
      </c>
      <c r="CCR1" s="3" t="s">
        <v>2277</v>
      </c>
      <c r="CCS1" s="3" t="s">
        <v>2278</v>
      </c>
      <c r="CCT1" s="3" t="s">
        <v>2279</v>
      </c>
      <c r="CCU1" s="3" t="s">
        <v>2280</v>
      </c>
      <c r="CCV1" s="3" t="s">
        <v>2281</v>
      </c>
      <c r="CCW1" s="3" t="s">
        <v>2282</v>
      </c>
      <c r="CCX1" s="3" t="s">
        <v>2283</v>
      </c>
      <c r="CCY1" s="3" t="s">
        <v>2284</v>
      </c>
      <c r="CCZ1" s="3" t="s">
        <v>2285</v>
      </c>
      <c r="CDA1" s="3" t="s">
        <v>2286</v>
      </c>
      <c r="CDB1" s="3" t="s">
        <v>2287</v>
      </c>
      <c r="CDC1" s="3" t="s">
        <v>2288</v>
      </c>
      <c r="CDD1" s="3" t="s">
        <v>2289</v>
      </c>
      <c r="CDE1" s="3" t="s">
        <v>2290</v>
      </c>
      <c r="CDF1" s="3" t="s">
        <v>2291</v>
      </c>
      <c r="CDG1" s="3" t="s">
        <v>2292</v>
      </c>
      <c r="CDH1" s="3" t="s">
        <v>2293</v>
      </c>
      <c r="CDI1" s="3" t="s">
        <v>2294</v>
      </c>
      <c r="CDJ1" s="3" t="s">
        <v>2295</v>
      </c>
      <c r="CDK1" s="3" t="s">
        <v>2296</v>
      </c>
      <c r="CDL1" s="3" t="s">
        <v>2297</v>
      </c>
      <c r="CDM1" s="3" t="s">
        <v>2298</v>
      </c>
      <c r="CDN1" s="3" t="s">
        <v>2299</v>
      </c>
      <c r="CDO1" s="3" t="s">
        <v>2300</v>
      </c>
      <c r="CDP1" s="3" t="s">
        <v>2301</v>
      </c>
      <c r="CDQ1" s="3" t="s">
        <v>2302</v>
      </c>
      <c r="CDR1" s="3" t="s">
        <v>2303</v>
      </c>
      <c r="CDS1" s="3" t="s">
        <v>2304</v>
      </c>
      <c r="CDT1" s="3" t="s">
        <v>2305</v>
      </c>
      <c r="CDU1" s="3" t="s">
        <v>2306</v>
      </c>
      <c r="CDV1" s="3" t="s">
        <v>2307</v>
      </c>
      <c r="CDW1" s="3" t="s">
        <v>2308</v>
      </c>
      <c r="CDX1" s="3" t="s">
        <v>2309</v>
      </c>
      <c r="CDY1" s="3" t="s">
        <v>2310</v>
      </c>
      <c r="CDZ1" s="3" t="s">
        <v>2311</v>
      </c>
      <c r="CEA1" s="3" t="s">
        <v>2312</v>
      </c>
      <c r="CEB1" s="3" t="s">
        <v>2313</v>
      </c>
      <c r="CEC1" s="3" t="s">
        <v>2314</v>
      </c>
      <c r="CED1" s="3" t="s">
        <v>2315</v>
      </c>
      <c r="CEE1" s="3" t="s">
        <v>2316</v>
      </c>
      <c r="CEF1" s="3" t="s">
        <v>2317</v>
      </c>
      <c r="CEG1" s="3" t="s">
        <v>2318</v>
      </c>
      <c r="CEH1" s="3" t="s">
        <v>2319</v>
      </c>
      <c r="CEI1" s="3" t="s">
        <v>2320</v>
      </c>
      <c r="CEJ1" s="3" t="s">
        <v>2321</v>
      </c>
      <c r="CEK1" s="3" t="s">
        <v>2322</v>
      </c>
      <c r="CEL1" s="3" t="s">
        <v>2323</v>
      </c>
      <c r="CEM1" s="3" t="s">
        <v>2324</v>
      </c>
      <c r="CEN1" s="3" t="s">
        <v>2325</v>
      </c>
      <c r="CEO1" s="3" t="s">
        <v>2326</v>
      </c>
      <c r="CEP1" s="3" t="s">
        <v>2327</v>
      </c>
      <c r="CEQ1" s="3" t="s">
        <v>2328</v>
      </c>
      <c r="CER1" s="3" t="s">
        <v>2329</v>
      </c>
      <c r="CES1" s="3" t="s">
        <v>2330</v>
      </c>
      <c r="CET1" s="3" t="s">
        <v>2331</v>
      </c>
      <c r="CEU1" s="3" t="s">
        <v>2332</v>
      </c>
      <c r="CEV1" s="3" t="s">
        <v>2333</v>
      </c>
      <c r="CEW1" s="3" t="s">
        <v>2334</v>
      </c>
      <c r="CEX1" s="3" t="s">
        <v>2335</v>
      </c>
      <c r="CEY1" s="3" t="s">
        <v>2336</v>
      </c>
      <c r="CEZ1" s="3" t="s">
        <v>2337</v>
      </c>
      <c r="CFA1" s="3" t="s">
        <v>2338</v>
      </c>
      <c r="CFB1" s="3" t="s">
        <v>2339</v>
      </c>
      <c r="CFC1" s="3" t="s">
        <v>2340</v>
      </c>
      <c r="CFD1" s="3" t="s">
        <v>2341</v>
      </c>
      <c r="CFE1" s="3" t="s">
        <v>2342</v>
      </c>
      <c r="CFF1" s="3" t="s">
        <v>2343</v>
      </c>
      <c r="CFG1" s="3" t="s">
        <v>2344</v>
      </c>
      <c r="CFH1" s="3" t="s">
        <v>2345</v>
      </c>
      <c r="CFI1" s="3" t="s">
        <v>2346</v>
      </c>
      <c r="CFJ1" s="3" t="s">
        <v>2347</v>
      </c>
      <c r="CFK1" s="3" t="s">
        <v>2348</v>
      </c>
      <c r="CFL1" s="3" t="s">
        <v>2349</v>
      </c>
      <c r="CFM1" s="3" t="s">
        <v>2350</v>
      </c>
      <c r="CFN1" s="3" t="s">
        <v>2351</v>
      </c>
      <c r="CFO1" s="3" t="s">
        <v>2352</v>
      </c>
      <c r="CFP1" s="3" t="s">
        <v>2353</v>
      </c>
      <c r="CFQ1" s="3" t="s">
        <v>2354</v>
      </c>
      <c r="CFR1" s="3" t="s">
        <v>2355</v>
      </c>
      <c r="CFS1" s="3" t="s">
        <v>2356</v>
      </c>
      <c r="CFT1" s="3" t="s">
        <v>2357</v>
      </c>
      <c r="CFU1" s="3" t="s">
        <v>2358</v>
      </c>
      <c r="CFV1" s="3" t="s">
        <v>2359</v>
      </c>
      <c r="CFW1" s="3" t="s">
        <v>2360</v>
      </c>
      <c r="CFX1" s="3" t="s">
        <v>2361</v>
      </c>
      <c r="CFY1" s="3" t="s">
        <v>2362</v>
      </c>
      <c r="CFZ1" s="3" t="s">
        <v>2363</v>
      </c>
      <c r="CGA1" s="3" t="s">
        <v>2364</v>
      </c>
      <c r="CGB1" s="3" t="s">
        <v>2365</v>
      </c>
      <c r="CGC1" s="3" t="s">
        <v>2366</v>
      </c>
      <c r="CGD1" s="3" t="s">
        <v>2367</v>
      </c>
      <c r="CGE1" s="3" t="s">
        <v>2368</v>
      </c>
      <c r="CGF1" s="3" t="s">
        <v>2369</v>
      </c>
      <c r="CGG1" s="3" t="s">
        <v>2370</v>
      </c>
      <c r="CGH1" s="3" t="s">
        <v>2371</v>
      </c>
      <c r="CGI1" s="3" t="s">
        <v>2372</v>
      </c>
      <c r="CGJ1" s="3" t="s">
        <v>2373</v>
      </c>
      <c r="CGK1" s="3" t="s">
        <v>2374</v>
      </c>
      <c r="CGL1" s="3" t="s">
        <v>2375</v>
      </c>
      <c r="CGM1" s="3" t="s">
        <v>2376</v>
      </c>
      <c r="CGN1" s="3" t="s">
        <v>2377</v>
      </c>
      <c r="CGO1" s="3" t="s">
        <v>2378</v>
      </c>
      <c r="CGP1" s="3" t="s">
        <v>2379</v>
      </c>
      <c r="CGQ1" s="3" t="s">
        <v>2380</v>
      </c>
      <c r="CGR1" s="3" t="s">
        <v>2381</v>
      </c>
      <c r="CGS1" s="3" t="s">
        <v>2382</v>
      </c>
      <c r="CGT1" s="3" t="s">
        <v>2383</v>
      </c>
      <c r="CGU1" s="3" t="s">
        <v>2384</v>
      </c>
      <c r="CGV1" s="3" t="s">
        <v>2385</v>
      </c>
      <c r="CGW1" s="3" t="s">
        <v>2386</v>
      </c>
      <c r="CGX1" s="3" t="s">
        <v>2387</v>
      </c>
      <c r="CGY1" s="3" t="s">
        <v>2388</v>
      </c>
      <c r="CGZ1" s="3" t="s">
        <v>2389</v>
      </c>
      <c r="CHA1" s="3" t="s">
        <v>2390</v>
      </c>
      <c r="CHB1" s="3" t="s">
        <v>2391</v>
      </c>
      <c r="CHC1" s="3" t="s">
        <v>2392</v>
      </c>
      <c r="CHD1" s="3" t="s">
        <v>2393</v>
      </c>
      <c r="CHE1" s="3" t="s">
        <v>2394</v>
      </c>
      <c r="CHF1" s="3" t="s">
        <v>2395</v>
      </c>
      <c r="CHG1" s="3" t="s">
        <v>2396</v>
      </c>
      <c r="CHH1" s="3" t="s">
        <v>2397</v>
      </c>
      <c r="CHI1" s="3" t="s">
        <v>2398</v>
      </c>
      <c r="CHJ1" s="3" t="s">
        <v>2399</v>
      </c>
      <c r="CHK1" s="3" t="s">
        <v>2400</v>
      </c>
      <c r="CHL1" s="3" t="s">
        <v>2401</v>
      </c>
      <c r="CHM1" s="3" t="s">
        <v>2402</v>
      </c>
      <c r="CHN1" s="3" t="s">
        <v>2403</v>
      </c>
      <c r="CHO1" s="3" t="s">
        <v>2404</v>
      </c>
      <c r="CHP1" s="3" t="s">
        <v>2405</v>
      </c>
      <c r="CHQ1" s="3" t="s">
        <v>2406</v>
      </c>
      <c r="CHR1" s="3" t="s">
        <v>2407</v>
      </c>
      <c r="CHS1" s="3" t="s">
        <v>2408</v>
      </c>
      <c r="CHT1" s="3" t="s">
        <v>2409</v>
      </c>
      <c r="CHU1" s="3" t="s">
        <v>2410</v>
      </c>
      <c r="CHV1" s="3" t="s">
        <v>2411</v>
      </c>
      <c r="CHW1" s="3" t="s">
        <v>2412</v>
      </c>
      <c r="CHX1" s="3" t="s">
        <v>2413</v>
      </c>
      <c r="CHY1" s="3" t="s">
        <v>2414</v>
      </c>
      <c r="CHZ1" s="3" t="s">
        <v>2415</v>
      </c>
      <c r="CIA1" s="3" t="s">
        <v>2416</v>
      </c>
      <c r="CIB1" s="3" t="s">
        <v>2417</v>
      </c>
      <c r="CIC1" s="3" t="s">
        <v>2418</v>
      </c>
      <c r="CID1" s="3" t="s">
        <v>2419</v>
      </c>
      <c r="CIE1" s="3" t="s">
        <v>2420</v>
      </c>
      <c r="CIF1" s="3" t="s">
        <v>2421</v>
      </c>
      <c r="CIG1" s="3" t="s">
        <v>2422</v>
      </c>
      <c r="CIH1" s="3" t="s">
        <v>2423</v>
      </c>
      <c r="CII1" s="3" t="s">
        <v>2424</v>
      </c>
      <c r="CIJ1" s="3" t="s">
        <v>2425</v>
      </c>
      <c r="CIK1" s="3" t="s">
        <v>2426</v>
      </c>
      <c r="CIL1" s="3" t="s">
        <v>2427</v>
      </c>
      <c r="CIM1" s="3" t="s">
        <v>2428</v>
      </c>
      <c r="CIN1" s="3" t="s">
        <v>2429</v>
      </c>
      <c r="CIO1" s="3" t="s">
        <v>2430</v>
      </c>
      <c r="CIP1" s="3" t="s">
        <v>2431</v>
      </c>
      <c r="CIQ1" s="3" t="s">
        <v>2432</v>
      </c>
      <c r="CIR1" s="3" t="s">
        <v>2433</v>
      </c>
      <c r="CIS1" s="3" t="s">
        <v>2434</v>
      </c>
      <c r="CIT1" s="3" t="s">
        <v>2435</v>
      </c>
      <c r="CIU1" s="3" t="s">
        <v>2436</v>
      </c>
      <c r="CIV1" s="3" t="s">
        <v>2437</v>
      </c>
      <c r="CIW1" s="3" t="s">
        <v>2438</v>
      </c>
      <c r="CIX1" s="3" t="s">
        <v>2439</v>
      </c>
      <c r="CIY1" s="3" t="s">
        <v>2440</v>
      </c>
      <c r="CIZ1" s="3" t="s">
        <v>2441</v>
      </c>
      <c r="CJA1" s="3" t="s">
        <v>2442</v>
      </c>
      <c r="CJB1" s="3" t="s">
        <v>2443</v>
      </c>
      <c r="CJC1" s="3" t="s">
        <v>2444</v>
      </c>
      <c r="CJD1" s="3" t="s">
        <v>2445</v>
      </c>
      <c r="CJE1" s="3" t="s">
        <v>2446</v>
      </c>
      <c r="CJF1" s="3" t="s">
        <v>2447</v>
      </c>
      <c r="CJG1" s="3" t="s">
        <v>2448</v>
      </c>
      <c r="CJH1" s="3" t="s">
        <v>2449</v>
      </c>
      <c r="CJI1" s="3" t="s">
        <v>2450</v>
      </c>
      <c r="CJJ1" s="3" t="s">
        <v>2451</v>
      </c>
      <c r="CJK1" s="3" t="s">
        <v>2452</v>
      </c>
      <c r="CJL1" s="3" t="s">
        <v>2453</v>
      </c>
      <c r="CJM1" s="3" t="s">
        <v>2454</v>
      </c>
      <c r="CJN1" s="3" t="s">
        <v>2455</v>
      </c>
      <c r="CJO1" s="3" t="s">
        <v>2456</v>
      </c>
      <c r="CJP1" s="3" t="s">
        <v>2457</v>
      </c>
      <c r="CJQ1" s="3" t="s">
        <v>2458</v>
      </c>
      <c r="CJR1" s="3" t="s">
        <v>2459</v>
      </c>
      <c r="CJS1" s="3" t="s">
        <v>2460</v>
      </c>
      <c r="CJT1" s="3" t="s">
        <v>2461</v>
      </c>
      <c r="CJU1" s="3" t="s">
        <v>2462</v>
      </c>
      <c r="CJV1" s="3" t="s">
        <v>2463</v>
      </c>
      <c r="CJW1" s="3" t="s">
        <v>2464</v>
      </c>
      <c r="CJX1" s="3" t="s">
        <v>2465</v>
      </c>
      <c r="CJY1" s="3" t="s">
        <v>2466</v>
      </c>
      <c r="CJZ1" s="3" t="s">
        <v>2467</v>
      </c>
      <c r="CKA1" s="3" t="s">
        <v>2468</v>
      </c>
      <c r="CKB1" s="3" t="s">
        <v>2469</v>
      </c>
      <c r="CKC1" s="3" t="s">
        <v>2470</v>
      </c>
      <c r="CKD1" s="3" t="s">
        <v>2471</v>
      </c>
      <c r="CKE1" s="3" t="s">
        <v>2472</v>
      </c>
      <c r="CKF1" s="3" t="s">
        <v>2473</v>
      </c>
      <c r="CKG1" s="3" t="s">
        <v>2474</v>
      </c>
      <c r="CKH1" s="3" t="s">
        <v>2475</v>
      </c>
      <c r="CKI1" s="3" t="s">
        <v>2476</v>
      </c>
      <c r="CKJ1" s="3" t="s">
        <v>2477</v>
      </c>
      <c r="CKK1" s="3" t="s">
        <v>2478</v>
      </c>
      <c r="CKL1" s="3" t="s">
        <v>2479</v>
      </c>
      <c r="CKM1" s="3" t="s">
        <v>2480</v>
      </c>
      <c r="CKN1" s="3" t="s">
        <v>2481</v>
      </c>
      <c r="CKO1" s="3" t="s">
        <v>2482</v>
      </c>
      <c r="CKP1" s="3" t="s">
        <v>2483</v>
      </c>
      <c r="CKQ1" s="3" t="s">
        <v>2484</v>
      </c>
      <c r="CKR1" s="3" t="s">
        <v>2485</v>
      </c>
      <c r="CKS1" s="3" t="s">
        <v>2486</v>
      </c>
      <c r="CKT1" s="3" t="s">
        <v>2487</v>
      </c>
      <c r="CKU1" s="3" t="s">
        <v>2488</v>
      </c>
      <c r="CKV1" s="3" t="s">
        <v>2489</v>
      </c>
      <c r="CKW1" s="3" t="s">
        <v>2490</v>
      </c>
      <c r="CKX1" s="3" t="s">
        <v>2491</v>
      </c>
      <c r="CKY1" s="3" t="s">
        <v>2492</v>
      </c>
      <c r="CKZ1" s="3" t="s">
        <v>2493</v>
      </c>
      <c r="CLA1" s="3" t="s">
        <v>2494</v>
      </c>
      <c r="CLB1" s="3" t="s">
        <v>2495</v>
      </c>
      <c r="CLC1" s="3" t="s">
        <v>2496</v>
      </c>
      <c r="CLD1" s="3" t="s">
        <v>2497</v>
      </c>
      <c r="CLE1" s="3" t="s">
        <v>2498</v>
      </c>
      <c r="CLF1" s="3" t="s">
        <v>2499</v>
      </c>
      <c r="CLG1" s="3" t="s">
        <v>2500</v>
      </c>
      <c r="CLH1" s="3" t="s">
        <v>2501</v>
      </c>
      <c r="CLI1" s="3" t="s">
        <v>2502</v>
      </c>
      <c r="CLJ1" s="3" t="s">
        <v>2503</v>
      </c>
      <c r="CLK1" s="3" t="s">
        <v>2504</v>
      </c>
      <c r="CLL1" s="3" t="s">
        <v>2505</v>
      </c>
      <c r="CLM1" s="3" t="s">
        <v>2506</v>
      </c>
      <c r="CLN1" s="3" t="s">
        <v>2507</v>
      </c>
      <c r="CLO1" s="3" t="s">
        <v>2508</v>
      </c>
      <c r="CLP1" s="3" t="s">
        <v>2509</v>
      </c>
      <c r="CLQ1" s="3" t="s">
        <v>2510</v>
      </c>
      <c r="CLR1" s="3" t="s">
        <v>2511</v>
      </c>
      <c r="CLS1" s="3" t="s">
        <v>2512</v>
      </c>
      <c r="CLT1" s="3" t="s">
        <v>2513</v>
      </c>
      <c r="CLU1" s="3" t="s">
        <v>2514</v>
      </c>
      <c r="CLV1" s="3" t="s">
        <v>2515</v>
      </c>
      <c r="CLW1" s="3" t="s">
        <v>2516</v>
      </c>
      <c r="CLX1" s="3" t="s">
        <v>2517</v>
      </c>
      <c r="CLY1" s="3" t="s">
        <v>2518</v>
      </c>
      <c r="CLZ1" s="3" t="s">
        <v>2519</v>
      </c>
      <c r="CMA1" s="3" t="s">
        <v>2520</v>
      </c>
      <c r="CMB1" s="3" t="s">
        <v>2521</v>
      </c>
      <c r="CMC1" s="3" t="s">
        <v>2522</v>
      </c>
      <c r="CMD1" s="3" t="s">
        <v>2523</v>
      </c>
      <c r="CME1" s="3" t="s">
        <v>2524</v>
      </c>
      <c r="CMF1" s="3" t="s">
        <v>2525</v>
      </c>
      <c r="CMG1" s="3" t="s">
        <v>2526</v>
      </c>
      <c r="CMH1" s="3" t="s">
        <v>2527</v>
      </c>
      <c r="CMI1" s="3" t="s">
        <v>2528</v>
      </c>
      <c r="CMJ1" s="3" t="s">
        <v>2529</v>
      </c>
      <c r="CMK1" s="3" t="s">
        <v>2530</v>
      </c>
      <c r="CML1" s="3" t="s">
        <v>2531</v>
      </c>
      <c r="CMM1" s="3" t="s">
        <v>2532</v>
      </c>
      <c r="CMN1" s="3" t="s">
        <v>2533</v>
      </c>
      <c r="CMO1" s="3" t="s">
        <v>2534</v>
      </c>
      <c r="CMP1" s="3" t="s">
        <v>2535</v>
      </c>
      <c r="CMQ1" s="3" t="s">
        <v>2536</v>
      </c>
      <c r="CMR1" s="3" t="s">
        <v>2537</v>
      </c>
      <c r="CMS1" s="3" t="s">
        <v>2538</v>
      </c>
      <c r="CMT1" s="3" t="s">
        <v>2539</v>
      </c>
      <c r="CMU1" s="3" t="s">
        <v>2540</v>
      </c>
      <c r="CMV1" s="3" t="s">
        <v>2541</v>
      </c>
      <c r="CMW1" s="3" t="s">
        <v>2542</v>
      </c>
      <c r="CMX1" s="3" t="s">
        <v>2543</v>
      </c>
      <c r="CMY1" s="3" t="s">
        <v>2544</v>
      </c>
      <c r="CMZ1" s="3" t="s">
        <v>2545</v>
      </c>
      <c r="CNA1" s="3" t="s">
        <v>2546</v>
      </c>
      <c r="CNB1" s="3" t="s">
        <v>2547</v>
      </c>
      <c r="CNC1" s="3" t="s">
        <v>2548</v>
      </c>
      <c r="CND1" s="3" t="s">
        <v>2549</v>
      </c>
      <c r="CNE1" s="3" t="s">
        <v>2550</v>
      </c>
      <c r="CNF1" s="3" t="s">
        <v>2551</v>
      </c>
      <c r="CNG1" s="3" t="s">
        <v>2552</v>
      </c>
      <c r="CNH1" s="3" t="s">
        <v>2553</v>
      </c>
      <c r="CNI1" s="3" t="s">
        <v>2554</v>
      </c>
      <c r="CNJ1" s="3" t="s">
        <v>2555</v>
      </c>
      <c r="CNK1" s="3" t="s">
        <v>2556</v>
      </c>
      <c r="CNL1" s="3" t="s">
        <v>2557</v>
      </c>
      <c r="CNM1" s="3" t="s">
        <v>2558</v>
      </c>
      <c r="CNN1" s="3" t="s">
        <v>2559</v>
      </c>
      <c r="CNO1" s="3" t="s">
        <v>2560</v>
      </c>
      <c r="CNP1" s="3" t="s">
        <v>2561</v>
      </c>
      <c r="CNQ1" s="3" t="s">
        <v>2562</v>
      </c>
      <c r="CNR1" s="3" t="s">
        <v>2563</v>
      </c>
      <c r="CNS1" s="3" t="s">
        <v>2564</v>
      </c>
      <c r="CNT1" s="3" t="s">
        <v>2565</v>
      </c>
      <c r="CNU1" s="3" t="s">
        <v>2566</v>
      </c>
      <c r="CNV1" s="3" t="s">
        <v>2567</v>
      </c>
      <c r="CNW1" s="3" t="s">
        <v>2568</v>
      </c>
      <c r="CNX1" s="3" t="s">
        <v>2569</v>
      </c>
      <c r="CNY1" s="3" t="s">
        <v>2570</v>
      </c>
      <c r="CNZ1" s="3" t="s">
        <v>2571</v>
      </c>
      <c r="COA1" s="3" t="s">
        <v>2572</v>
      </c>
      <c r="COB1" s="3" t="s">
        <v>2573</v>
      </c>
      <c r="COC1" s="3" t="s">
        <v>2574</v>
      </c>
      <c r="COD1" s="3" t="s">
        <v>2575</v>
      </c>
      <c r="COE1" s="3" t="s">
        <v>2576</v>
      </c>
      <c r="COF1" s="3" t="s">
        <v>2577</v>
      </c>
      <c r="COG1" s="3" t="s">
        <v>2578</v>
      </c>
      <c r="COH1" s="3" t="s">
        <v>2579</v>
      </c>
      <c r="COI1" s="3" t="s">
        <v>2580</v>
      </c>
      <c r="COJ1" s="3" t="s">
        <v>2581</v>
      </c>
      <c r="COK1" s="3" t="s">
        <v>2582</v>
      </c>
      <c r="COL1" s="3" t="s">
        <v>2583</v>
      </c>
      <c r="COM1" s="3" t="s">
        <v>2584</v>
      </c>
      <c r="CON1" s="3" t="s">
        <v>2585</v>
      </c>
      <c r="COO1" s="3" t="s">
        <v>2586</v>
      </c>
      <c r="COP1" s="3" t="s">
        <v>2587</v>
      </c>
      <c r="COQ1" s="3" t="s">
        <v>2588</v>
      </c>
      <c r="COR1" s="3" t="s">
        <v>2589</v>
      </c>
      <c r="COS1" s="3" t="s">
        <v>2590</v>
      </c>
      <c r="COT1" s="3" t="s">
        <v>2591</v>
      </c>
      <c r="COU1" s="3" t="s">
        <v>2592</v>
      </c>
      <c r="COV1" s="3" t="s">
        <v>2593</v>
      </c>
      <c r="COW1" s="3" t="s">
        <v>2594</v>
      </c>
      <c r="COX1" s="3" t="s">
        <v>2595</v>
      </c>
      <c r="COY1" s="3" t="s">
        <v>2596</v>
      </c>
      <c r="COZ1" s="3" t="s">
        <v>2597</v>
      </c>
      <c r="CPA1" s="3" t="s">
        <v>2598</v>
      </c>
      <c r="CPB1" s="3" t="s">
        <v>2599</v>
      </c>
      <c r="CPC1" s="3" t="s">
        <v>2600</v>
      </c>
      <c r="CPD1" s="3" t="s">
        <v>2601</v>
      </c>
      <c r="CPE1" s="3" t="s">
        <v>2602</v>
      </c>
      <c r="CPF1" s="3" t="s">
        <v>2603</v>
      </c>
      <c r="CPG1" s="3" t="s">
        <v>2604</v>
      </c>
      <c r="CPH1" s="3" t="s">
        <v>2605</v>
      </c>
      <c r="CPI1" s="3" t="s">
        <v>2606</v>
      </c>
      <c r="CPJ1" s="3" t="s">
        <v>2607</v>
      </c>
      <c r="CPK1" s="3" t="s">
        <v>2608</v>
      </c>
      <c r="CPL1" s="3" t="s">
        <v>2609</v>
      </c>
      <c r="CPM1" s="3" t="s">
        <v>2610</v>
      </c>
      <c r="CPN1" s="3" t="s">
        <v>2611</v>
      </c>
      <c r="CPO1" s="3" t="s">
        <v>2612</v>
      </c>
      <c r="CPP1" s="3" t="s">
        <v>2613</v>
      </c>
      <c r="CPQ1" s="3" t="s">
        <v>2614</v>
      </c>
      <c r="CPR1" s="3" t="s">
        <v>2615</v>
      </c>
      <c r="CPS1" s="3" t="s">
        <v>2616</v>
      </c>
      <c r="CPT1" s="3" t="s">
        <v>2617</v>
      </c>
      <c r="CPU1" s="3" t="s">
        <v>2618</v>
      </c>
      <c r="CPV1" s="3" t="s">
        <v>2619</v>
      </c>
      <c r="CPW1" s="3" t="s">
        <v>2620</v>
      </c>
      <c r="CPX1" s="3" t="s">
        <v>2621</v>
      </c>
      <c r="CPY1" s="3" t="s">
        <v>2622</v>
      </c>
      <c r="CPZ1" s="3" t="s">
        <v>2623</v>
      </c>
      <c r="CQA1" s="3" t="s">
        <v>2624</v>
      </c>
      <c r="CQB1" s="3" t="s">
        <v>2625</v>
      </c>
      <c r="CQC1" s="3" t="s">
        <v>2626</v>
      </c>
      <c r="CQD1" s="3" t="s">
        <v>2627</v>
      </c>
      <c r="CQE1" s="3" t="s">
        <v>2628</v>
      </c>
      <c r="CQF1" s="3" t="s">
        <v>2629</v>
      </c>
      <c r="CQG1" s="3" t="s">
        <v>2630</v>
      </c>
      <c r="CQH1" s="3" t="s">
        <v>2631</v>
      </c>
      <c r="CQI1" s="3" t="s">
        <v>2632</v>
      </c>
      <c r="CQJ1" s="3" t="s">
        <v>2633</v>
      </c>
      <c r="CQK1" s="3" t="s">
        <v>2634</v>
      </c>
      <c r="CQL1" s="3" t="s">
        <v>2635</v>
      </c>
      <c r="CQM1" s="3" t="s">
        <v>2636</v>
      </c>
      <c r="CQN1" s="3" t="s">
        <v>2637</v>
      </c>
      <c r="CQO1" s="3" t="s">
        <v>2638</v>
      </c>
      <c r="CQP1" s="3" t="s">
        <v>2639</v>
      </c>
      <c r="CQQ1" s="3" t="s">
        <v>2640</v>
      </c>
      <c r="CQR1" s="3" t="s">
        <v>2641</v>
      </c>
      <c r="CQS1" s="3" t="s">
        <v>2642</v>
      </c>
      <c r="CQT1" s="3" t="s">
        <v>2643</v>
      </c>
      <c r="CQU1" s="3" t="s">
        <v>2644</v>
      </c>
      <c r="CQV1" s="3" t="s">
        <v>2645</v>
      </c>
      <c r="CQW1" s="3" t="s">
        <v>2646</v>
      </c>
      <c r="CQX1" s="3" t="s">
        <v>2647</v>
      </c>
      <c r="CQY1" s="3" t="s">
        <v>2648</v>
      </c>
      <c r="CQZ1" s="3" t="s">
        <v>2649</v>
      </c>
      <c r="CRA1" s="3" t="s">
        <v>2650</v>
      </c>
      <c r="CRB1" s="3" t="s">
        <v>2651</v>
      </c>
      <c r="CRC1" s="3" t="s">
        <v>2652</v>
      </c>
      <c r="CRD1" s="3" t="s">
        <v>2653</v>
      </c>
      <c r="CRE1" s="3" t="s">
        <v>2654</v>
      </c>
      <c r="CRF1" s="3" t="s">
        <v>2655</v>
      </c>
      <c r="CRG1" s="3" t="s">
        <v>2656</v>
      </c>
      <c r="CRH1" s="3" t="s">
        <v>2657</v>
      </c>
      <c r="CRI1" s="3" t="s">
        <v>2658</v>
      </c>
      <c r="CRJ1" s="3" t="s">
        <v>2659</v>
      </c>
      <c r="CRK1" s="3" t="s">
        <v>2660</v>
      </c>
      <c r="CRL1" s="3" t="s">
        <v>2661</v>
      </c>
      <c r="CRM1" s="3" t="s">
        <v>2662</v>
      </c>
      <c r="CRN1" s="3" t="s">
        <v>2663</v>
      </c>
      <c r="CRO1" s="3" t="s">
        <v>2664</v>
      </c>
      <c r="CRP1" s="3" t="s">
        <v>2665</v>
      </c>
      <c r="CRQ1" s="3" t="s">
        <v>2666</v>
      </c>
      <c r="CRR1" s="3" t="s">
        <v>2667</v>
      </c>
      <c r="CRS1" s="3" t="s">
        <v>2668</v>
      </c>
      <c r="CRT1" s="3" t="s">
        <v>2669</v>
      </c>
      <c r="CRU1" s="3" t="s">
        <v>2670</v>
      </c>
      <c r="CRV1" s="3" t="s">
        <v>2671</v>
      </c>
      <c r="CRW1" s="3" t="s">
        <v>2672</v>
      </c>
      <c r="CRX1" s="3" t="s">
        <v>2673</v>
      </c>
      <c r="CRY1" s="3" t="s">
        <v>2674</v>
      </c>
      <c r="CRZ1" s="3" t="s">
        <v>2675</v>
      </c>
      <c r="CSA1" s="3" t="s">
        <v>2676</v>
      </c>
      <c r="CSB1" s="3" t="s">
        <v>2677</v>
      </c>
      <c r="CSC1" s="3" t="s">
        <v>2678</v>
      </c>
      <c r="CSD1" s="3" t="s">
        <v>2679</v>
      </c>
      <c r="CSE1" s="3" t="s">
        <v>2680</v>
      </c>
      <c r="CSF1" s="3" t="s">
        <v>2681</v>
      </c>
      <c r="CSG1" s="3" t="s">
        <v>2682</v>
      </c>
      <c r="CSH1" s="3" t="s">
        <v>2683</v>
      </c>
      <c r="CSI1" s="3" t="s">
        <v>2684</v>
      </c>
      <c r="CSJ1" s="3" t="s">
        <v>2685</v>
      </c>
      <c r="CSK1" s="3" t="s">
        <v>2686</v>
      </c>
      <c r="CSL1" s="3" t="s">
        <v>2687</v>
      </c>
      <c r="CSM1" s="3" t="s">
        <v>2688</v>
      </c>
      <c r="CSN1" s="3" t="s">
        <v>2689</v>
      </c>
      <c r="CSO1" s="3" t="s">
        <v>2690</v>
      </c>
      <c r="CSP1" s="3" t="s">
        <v>2691</v>
      </c>
      <c r="CSQ1" s="3" t="s">
        <v>2692</v>
      </c>
      <c r="CSR1" s="3" t="s">
        <v>2693</v>
      </c>
      <c r="CSS1" s="3" t="s">
        <v>2694</v>
      </c>
      <c r="CST1" s="3" t="s">
        <v>2695</v>
      </c>
      <c r="CSU1" s="3" t="s">
        <v>2696</v>
      </c>
      <c r="CSV1" s="3" t="s">
        <v>2697</v>
      </c>
      <c r="CSW1" s="3" t="s">
        <v>2698</v>
      </c>
      <c r="CSX1" s="3" t="s">
        <v>2699</v>
      </c>
      <c r="CSY1" s="3" t="s">
        <v>2700</v>
      </c>
      <c r="CSZ1" s="3" t="s">
        <v>2701</v>
      </c>
      <c r="CTA1" s="3" t="s">
        <v>2702</v>
      </c>
      <c r="CTB1" s="3" t="s">
        <v>2703</v>
      </c>
      <c r="CTC1" s="3" t="s">
        <v>2704</v>
      </c>
      <c r="CTD1" s="3" t="s">
        <v>2705</v>
      </c>
      <c r="CTE1" s="3" t="s">
        <v>2706</v>
      </c>
      <c r="CTF1" s="3" t="s">
        <v>2707</v>
      </c>
      <c r="CTG1" s="3" t="s">
        <v>2708</v>
      </c>
      <c r="CTH1" s="3" t="s">
        <v>2709</v>
      </c>
      <c r="CTI1" s="3" t="s">
        <v>2710</v>
      </c>
      <c r="CTJ1" s="3" t="s">
        <v>2711</v>
      </c>
      <c r="CTK1" s="3" t="s">
        <v>2712</v>
      </c>
      <c r="CTL1" s="3" t="s">
        <v>2713</v>
      </c>
      <c r="CTM1" s="3" t="s">
        <v>2714</v>
      </c>
      <c r="CTN1" s="3" t="s">
        <v>2715</v>
      </c>
      <c r="CTO1" s="3" t="s">
        <v>2716</v>
      </c>
      <c r="CTP1" s="3" t="s">
        <v>2717</v>
      </c>
      <c r="CTQ1" s="3" t="s">
        <v>2718</v>
      </c>
      <c r="CTR1" s="3" t="s">
        <v>2719</v>
      </c>
      <c r="CTS1" s="3" t="s">
        <v>2720</v>
      </c>
      <c r="CTT1" s="3" t="s">
        <v>2721</v>
      </c>
      <c r="CTU1" s="3" t="s">
        <v>2722</v>
      </c>
      <c r="CTV1" s="3" t="s">
        <v>2723</v>
      </c>
      <c r="CTW1" s="3" t="s">
        <v>2724</v>
      </c>
      <c r="CTX1" s="3" t="s">
        <v>2725</v>
      </c>
      <c r="CTY1" s="3" t="s">
        <v>2726</v>
      </c>
      <c r="CTZ1" s="3" t="s">
        <v>2727</v>
      </c>
      <c r="CUA1" s="3" t="s">
        <v>2728</v>
      </c>
      <c r="CUB1" s="3" t="s">
        <v>2729</v>
      </c>
      <c r="CUC1" s="3" t="s">
        <v>2730</v>
      </c>
      <c r="CUD1" s="3" t="s">
        <v>2731</v>
      </c>
      <c r="CUE1" s="3" t="s">
        <v>2732</v>
      </c>
      <c r="CUF1" s="3" t="s">
        <v>2733</v>
      </c>
      <c r="CUG1" s="3" t="s">
        <v>2734</v>
      </c>
      <c r="CUH1" s="3" t="s">
        <v>2735</v>
      </c>
      <c r="CUI1" s="3" t="s">
        <v>2736</v>
      </c>
      <c r="CUJ1" s="3" t="s">
        <v>2737</v>
      </c>
      <c r="CUK1" s="3" t="s">
        <v>2738</v>
      </c>
      <c r="CUL1" s="3" t="s">
        <v>2739</v>
      </c>
      <c r="CUM1" s="3" t="s">
        <v>2740</v>
      </c>
      <c r="CUN1" s="3" t="s">
        <v>2741</v>
      </c>
      <c r="CUO1" s="3" t="s">
        <v>2742</v>
      </c>
      <c r="CUP1" s="3" t="s">
        <v>2743</v>
      </c>
      <c r="CUQ1" s="3" t="s">
        <v>2744</v>
      </c>
      <c r="CUR1" s="3" t="s">
        <v>2745</v>
      </c>
      <c r="CUS1" s="3" t="s">
        <v>2746</v>
      </c>
      <c r="CUT1" s="3" t="s">
        <v>2747</v>
      </c>
      <c r="CUU1" s="3" t="s">
        <v>2748</v>
      </c>
      <c r="CUV1" s="3" t="s">
        <v>2749</v>
      </c>
      <c r="CUW1" s="3" t="s">
        <v>2750</v>
      </c>
      <c r="CUX1" s="3" t="s">
        <v>2751</v>
      </c>
      <c r="CUY1" s="3" t="s">
        <v>2752</v>
      </c>
      <c r="CUZ1" s="3" t="s">
        <v>2753</v>
      </c>
      <c r="CVA1" s="3" t="s">
        <v>2754</v>
      </c>
      <c r="CVB1" s="3" t="s">
        <v>2755</v>
      </c>
      <c r="CVC1" s="3" t="s">
        <v>2756</v>
      </c>
      <c r="CVD1" s="3" t="s">
        <v>2757</v>
      </c>
      <c r="CVE1" s="3" t="s">
        <v>2758</v>
      </c>
      <c r="CVF1" s="3" t="s">
        <v>2759</v>
      </c>
      <c r="CVG1" s="3" t="s">
        <v>2760</v>
      </c>
      <c r="CVH1" s="3" t="s">
        <v>2761</v>
      </c>
      <c r="CVI1" s="3" t="s">
        <v>2762</v>
      </c>
      <c r="CVJ1" s="3" t="s">
        <v>2763</v>
      </c>
      <c r="CVK1" s="3" t="s">
        <v>2764</v>
      </c>
      <c r="CVL1" s="3" t="s">
        <v>2765</v>
      </c>
      <c r="CVM1" s="3" t="s">
        <v>2766</v>
      </c>
      <c r="CVN1" s="3" t="s">
        <v>2767</v>
      </c>
      <c r="CVO1" s="3" t="s">
        <v>2768</v>
      </c>
      <c r="CVP1" s="3" t="s">
        <v>2769</v>
      </c>
      <c r="CVQ1" s="3" t="s">
        <v>2770</v>
      </c>
      <c r="CVR1" s="3" t="s">
        <v>2771</v>
      </c>
      <c r="CVS1" s="3" t="s">
        <v>2772</v>
      </c>
      <c r="CVT1" s="3" t="s">
        <v>2773</v>
      </c>
      <c r="CVU1" s="3" t="s">
        <v>2774</v>
      </c>
      <c r="CVV1" s="3" t="s">
        <v>2775</v>
      </c>
      <c r="CVW1" s="3" t="s">
        <v>2776</v>
      </c>
      <c r="CVX1" s="3" t="s">
        <v>2777</v>
      </c>
      <c r="CVY1" s="3" t="s">
        <v>2778</v>
      </c>
      <c r="CVZ1" s="3" t="s">
        <v>2779</v>
      </c>
      <c r="CWA1" s="3" t="s">
        <v>2780</v>
      </c>
      <c r="CWB1" s="3" t="s">
        <v>2781</v>
      </c>
      <c r="CWC1" s="3" t="s">
        <v>2782</v>
      </c>
      <c r="CWD1" s="3" t="s">
        <v>2783</v>
      </c>
      <c r="CWE1" s="3" t="s">
        <v>2784</v>
      </c>
      <c r="CWF1" s="3" t="s">
        <v>2785</v>
      </c>
      <c r="CWG1" s="3" t="s">
        <v>2786</v>
      </c>
      <c r="CWH1" s="3" t="s">
        <v>2787</v>
      </c>
      <c r="CWI1" s="3" t="s">
        <v>2788</v>
      </c>
      <c r="CWJ1" s="3" t="s">
        <v>2789</v>
      </c>
      <c r="CWK1" s="3" t="s">
        <v>2790</v>
      </c>
      <c r="CWL1" s="3" t="s">
        <v>2791</v>
      </c>
      <c r="CWM1" s="3" t="s">
        <v>2792</v>
      </c>
      <c r="CWN1" s="3" t="s">
        <v>2793</v>
      </c>
      <c r="CWO1" s="3" t="s">
        <v>2794</v>
      </c>
      <c r="CWP1" s="3" t="s">
        <v>2795</v>
      </c>
      <c r="CWQ1" s="3" t="s">
        <v>2796</v>
      </c>
      <c r="CWR1" s="3" t="s">
        <v>2797</v>
      </c>
      <c r="CWS1" s="3" t="s">
        <v>2798</v>
      </c>
      <c r="CWT1" s="3" t="s">
        <v>2799</v>
      </c>
      <c r="CWU1" s="3" t="s">
        <v>2800</v>
      </c>
      <c r="CWV1" s="3" t="s">
        <v>2801</v>
      </c>
      <c r="CWW1" s="3" t="s">
        <v>2802</v>
      </c>
      <c r="CWX1" s="3" t="s">
        <v>2803</v>
      </c>
      <c r="CWY1" s="3" t="s">
        <v>2804</v>
      </c>
      <c r="CWZ1" s="3" t="s">
        <v>2805</v>
      </c>
      <c r="CXA1" s="3" t="s">
        <v>2806</v>
      </c>
      <c r="CXB1" s="3" t="s">
        <v>2807</v>
      </c>
      <c r="CXC1" s="3" t="s">
        <v>2808</v>
      </c>
      <c r="CXD1" s="3" t="s">
        <v>2809</v>
      </c>
      <c r="CXE1" s="3" t="s">
        <v>2810</v>
      </c>
      <c r="CXF1" s="3" t="s">
        <v>2811</v>
      </c>
      <c r="CXG1" s="3" t="s">
        <v>2812</v>
      </c>
      <c r="CXH1" s="3" t="s">
        <v>2813</v>
      </c>
      <c r="CXI1" s="3" t="s">
        <v>2814</v>
      </c>
      <c r="CXJ1" s="3" t="s">
        <v>2815</v>
      </c>
      <c r="CXK1" s="3" t="s">
        <v>2816</v>
      </c>
      <c r="CXL1" s="3" t="s">
        <v>2817</v>
      </c>
      <c r="CXM1" s="3" t="s">
        <v>2818</v>
      </c>
      <c r="CXN1" s="3" t="s">
        <v>2819</v>
      </c>
      <c r="CXO1" s="3" t="s">
        <v>2820</v>
      </c>
      <c r="CXP1" s="3" t="s">
        <v>2821</v>
      </c>
      <c r="CXQ1" s="3" t="s">
        <v>2822</v>
      </c>
      <c r="CXR1" s="3" t="s">
        <v>2823</v>
      </c>
      <c r="CXS1" s="3" t="s">
        <v>2824</v>
      </c>
      <c r="CXT1" s="3" t="s">
        <v>2825</v>
      </c>
      <c r="CXU1" s="3" t="s">
        <v>2826</v>
      </c>
      <c r="CXV1" s="3" t="s">
        <v>2827</v>
      </c>
      <c r="CXW1" s="3" t="s">
        <v>2828</v>
      </c>
      <c r="CXX1" s="3" t="s">
        <v>2829</v>
      </c>
      <c r="CXY1" s="3" t="s">
        <v>2830</v>
      </c>
      <c r="CXZ1" s="3" t="s">
        <v>2831</v>
      </c>
      <c r="CYA1" s="3" t="s">
        <v>2832</v>
      </c>
      <c r="CYB1" s="3" t="s">
        <v>2833</v>
      </c>
      <c r="CYC1" s="3" t="s">
        <v>2834</v>
      </c>
      <c r="CYD1" s="3" t="s">
        <v>2835</v>
      </c>
      <c r="CYE1" s="3" t="s">
        <v>2836</v>
      </c>
      <c r="CYF1" s="3" t="s">
        <v>2837</v>
      </c>
      <c r="CYG1" s="3" t="s">
        <v>2838</v>
      </c>
      <c r="CYH1" s="3" t="s">
        <v>2839</v>
      </c>
      <c r="CYI1" s="3" t="s">
        <v>2840</v>
      </c>
      <c r="CYJ1" s="3" t="s">
        <v>2841</v>
      </c>
      <c r="CYK1" s="3" t="s">
        <v>2842</v>
      </c>
      <c r="CYL1" s="3" t="s">
        <v>2843</v>
      </c>
      <c r="CYM1" s="3" t="s">
        <v>2844</v>
      </c>
      <c r="CYN1" s="3" t="s">
        <v>2845</v>
      </c>
      <c r="CYO1" s="3" t="s">
        <v>2846</v>
      </c>
      <c r="CYP1" s="3" t="s">
        <v>2847</v>
      </c>
      <c r="CYQ1" s="3" t="s">
        <v>2848</v>
      </c>
      <c r="CYR1" s="3" t="s">
        <v>2849</v>
      </c>
      <c r="CYS1" s="3" t="s">
        <v>2850</v>
      </c>
      <c r="CYT1" s="3" t="s">
        <v>2851</v>
      </c>
      <c r="CYU1" s="3" t="s">
        <v>2852</v>
      </c>
      <c r="CYV1" s="3" t="s">
        <v>2853</v>
      </c>
      <c r="CYW1" s="3" t="s">
        <v>2854</v>
      </c>
      <c r="CYX1" s="3" t="s">
        <v>2855</v>
      </c>
      <c r="CYY1" s="3" t="s">
        <v>2856</v>
      </c>
      <c r="CYZ1" s="3" t="s">
        <v>2857</v>
      </c>
      <c r="CZA1" s="3" t="s">
        <v>2858</v>
      </c>
      <c r="CZB1" s="3" t="s">
        <v>2859</v>
      </c>
      <c r="CZC1" s="3" t="s">
        <v>2860</v>
      </c>
      <c r="CZD1" s="3" t="s">
        <v>2861</v>
      </c>
      <c r="CZE1" s="3" t="s">
        <v>2862</v>
      </c>
      <c r="CZF1" s="3" t="s">
        <v>2863</v>
      </c>
      <c r="CZG1" s="3" t="s">
        <v>2864</v>
      </c>
      <c r="CZH1" s="3" t="s">
        <v>2865</v>
      </c>
      <c r="CZI1" s="3" t="s">
        <v>2866</v>
      </c>
      <c r="CZJ1" s="3" t="s">
        <v>2867</v>
      </c>
      <c r="CZK1" s="3" t="s">
        <v>2868</v>
      </c>
      <c r="CZL1" s="3" t="s">
        <v>2869</v>
      </c>
      <c r="CZM1" s="3" t="s">
        <v>2870</v>
      </c>
      <c r="CZN1" s="3" t="s">
        <v>2871</v>
      </c>
      <c r="CZO1" s="3" t="s">
        <v>2872</v>
      </c>
      <c r="CZP1" s="3" t="s">
        <v>2873</v>
      </c>
      <c r="CZQ1" s="3" t="s">
        <v>2874</v>
      </c>
      <c r="CZR1" s="3" t="s">
        <v>2875</v>
      </c>
      <c r="CZS1" s="3" t="s">
        <v>2876</v>
      </c>
      <c r="CZT1" s="3" t="s">
        <v>2877</v>
      </c>
      <c r="CZU1" s="3" t="s">
        <v>2878</v>
      </c>
      <c r="CZV1" s="3" t="s">
        <v>2879</v>
      </c>
      <c r="CZW1" s="3" t="s">
        <v>2880</v>
      </c>
      <c r="CZX1" s="3" t="s">
        <v>2881</v>
      </c>
      <c r="CZY1" s="3" t="s">
        <v>2882</v>
      </c>
      <c r="CZZ1" s="3" t="s">
        <v>2883</v>
      </c>
      <c r="DAA1" s="3" t="s">
        <v>2884</v>
      </c>
      <c r="DAB1" s="3" t="s">
        <v>2885</v>
      </c>
      <c r="DAC1" s="3" t="s">
        <v>2886</v>
      </c>
      <c r="DAD1" s="3" t="s">
        <v>2887</v>
      </c>
      <c r="DAE1" s="3" t="s">
        <v>2888</v>
      </c>
      <c r="DAF1" s="3" t="s">
        <v>2889</v>
      </c>
      <c r="DAG1" s="3" t="s">
        <v>2890</v>
      </c>
      <c r="DAH1" s="3" t="s">
        <v>2891</v>
      </c>
      <c r="DAI1" s="3" t="s">
        <v>2892</v>
      </c>
      <c r="DAJ1" s="3" t="s">
        <v>2893</v>
      </c>
      <c r="DAK1" s="3" t="s">
        <v>2894</v>
      </c>
      <c r="DAL1" s="3" t="s">
        <v>2895</v>
      </c>
      <c r="DAM1" s="3" t="s">
        <v>2896</v>
      </c>
      <c r="DAN1" s="3" t="s">
        <v>2897</v>
      </c>
      <c r="DAO1" s="3" t="s">
        <v>2898</v>
      </c>
      <c r="DAP1" s="3" t="s">
        <v>2899</v>
      </c>
      <c r="DAQ1" s="3" t="s">
        <v>2900</v>
      </c>
      <c r="DAR1" s="3" t="s">
        <v>2901</v>
      </c>
      <c r="DAS1" s="3" t="s">
        <v>2902</v>
      </c>
      <c r="DAT1" s="3" t="s">
        <v>2903</v>
      </c>
      <c r="DAU1" s="3" t="s">
        <v>2904</v>
      </c>
      <c r="DAV1" s="3" t="s">
        <v>2905</v>
      </c>
      <c r="DAW1" s="3" t="s">
        <v>2906</v>
      </c>
      <c r="DAX1" s="3" t="s">
        <v>2907</v>
      </c>
      <c r="DAY1" s="3" t="s">
        <v>2908</v>
      </c>
      <c r="DAZ1" s="3" t="s">
        <v>2909</v>
      </c>
      <c r="DBA1" s="3" t="s">
        <v>2910</v>
      </c>
      <c r="DBB1" s="3" t="s">
        <v>2911</v>
      </c>
      <c r="DBC1" s="3" t="s">
        <v>2912</v>
      </c>
      <c r="DBD1" s="3" t="s">
        <v>2913</v>
      </c>
      <c r="DBE1" s="3" t="s">
        <v>2914</v>
      </c>
      <c r="DBF1" s="3" t="s">
        <v>2915</v>
      </c>
      <c r="DBG1" s="3" t="s">
        <v>2916</v>
      </c>
      <c r="DBH1" s="3" t="s">
        <v>2917</v>
      </c>
      <c r="DBI1" s="3" t="s">
        <v>2918</v>
      </c>
      <c r="DBJ1" s="3" t="s">
        <v>2919</v>
      </c>
      <c r="DBK1" s="3" t="s">
        <v>2920</v>
      </c>
      <c r="DBL1" s="3" t="s">
        <v>2921</v>
      </c>
      <c r="DBM1" s="3" t="s">
        <v>2922</v>
      </c>
      <c r="DBN1" s="3" t="s">
        <v>2923</v>
      </c>
      <c r="DBO1" s="3" t="s">
        <v>2924</v>
      </c>
      <c r="DBP1" s="3" t="s">
        <v>2925</v>
      </c>
      <c r="DBQ1" s="3" t="s">
        <v>2926</v>
      </c>
      <c r="DBR1" s="3" t="s">
        <v>2927</v>
      </c>
      <c r="DBS1" s="3" t="s">
        <v>2928</v>
      </c>
      <c r="DBT1" s="3" t="s">
        <v>2929</v>
      </c>
      <c r="DBU1" s="3" t="s">
        <v>2930</v>
      </c>
      <c r="DBV1" s="3" t="s">
        <v>2931</v>
      </c>
      <c r="DBW1" s="3" t="s">
        <v>2932</v>
      </c>
      <c r="DBX1" s="3" t="s">
        <v>2933</v>
      </c>
      <c r="DBY1" s="3" t="s">
        <v>2934</v>
      </c>
      <c r="DBZ1" s="3" t="s">
        <v>2935</v>
      </c>
      <c r="DCA1" s="3" t="s">
        <v>2936</v>
      </c>
      <c r="DCB1" s="3" t="s">
        <v>2937</v>
      </c>
      <c r="DCC1" s="3" t="s">
        <v>2938</v>
      </c>
      <c r="DCD1" s="3" t="s">
        <v>2939</v>
      </c>
      <c r="DCE1" s="3" t="s">
        <v>2940</v>
      </c>
      <c r="DCF1" s="3" t="s">
        <v>2941</v>
      </c>
      <c r="DCG1" s="3" t="s">
        <v>2942</v>
      </c>
      <c r="DCH1" s="3" t="s">
        <v>2943</v>
      </c>
      <c r="DCI1" s="3" t="s">
        <v>2944</v>
      </c>
      <c r="DCJ1" s="3" t="s">
        <v>2945</v>
      </c>
      <c r="DCK1" s="3" t="s">
        <v>2946</v>
      </c>
      <c r="DCL1" s="3" t="s">
        <v>2947</v>
      </c>
      <c r="DCM1" s="3" t="s">
        <v>2948</v>
      </c>
      <c r="DCN1" s="3" t="s">
        <v>2949</v>
      </c>
      <c r="DCO1" s="3" t="s">
        <v>2950</v>
      </c>
      <c r="DCP1" s="3" t="s">
        <v>2951</v>
      </c>
      <c r="DCQ1" s="3" t="s">
        <v>2952</v>
      </c>
      <c r="DCR1" s="3" t="s">
        <v>2953</v>
      </c>
      <c r="DCS1" s="3" t="s">
        <v>2954</v>
      </c>
      <c r="DCT1" s="3" t="s">
        <v>2955</v>
      </c>
      <c r="DCU1" s="3" t="s">
        <v>2956</v>
      </c>
      <c r="DCV1" s="3" t="s">
        <v>2957</v>
      </c>
      <c r="DCW1" s="3" t="s">
        <v>2958</v>
      </c>
      <c r="DCX1" s="3" t="s">
        <v>2959</v>
      </c>
      <c r="DCY1" s="3" t="s">
        <v>2960</v>
      </c>
      <c r="DCZ1" s="3" t="s">
        <v>2961</v>
      </c>
      <c r="DDA1" s="3" t="s">
        <v>2962</v>
      </c>
      <c r="DDB1" s="3" t="s">
        <v>2963</v>
      </c>
      <c r="DDC1" s="3" t="s">
        <v>2964</v>
      </c>
      <c r="DDD1" s="3" t="s">
        <v>2965</v>
      </c>
      <c r="DDE1" s="3" t="s">
        <v>2966</v>
      </c>
      <c r="DDF1" s="3" t="s">
        <v>2967</v>
      </c>
      <c r="DDG1" s="3" t="s">
        <v>2968</v>
      </c>
      <c r="DDH1" s="3" t="s">
        <v>2969</v>
      </c>
      <c r="DDI1" s="3" t="s">
        <v>2970</v>
      </c>
      <c r="DDJ1" s="3" t="s">
        <v>2971</v>
      </c>
      <c r="DDK1" s="3" t="s">
        <v>2972</v>
      </c>
      <c r="DDL1" s="3" t="s">
        <v>2973</v>
      </c>
      <c r="DDM1" s="3" t="s">
        <v>2974</v>
      </c>
      <c r="DDN1" s="3" t="s">
        <v>2975</v>
      </c>
      <c r="DDO1" s="3" t="s">
        <v>2976</v>
      </c>
      <c r="DDP1" s="3" t="s">
        <v>2977</v>
      </c>
      <c r="DDQ1" s="3" t="s">
        <v>2978</v>
      </c>
      <c r="DDR1" s="3" t="s">
        <v>2979</v>
      </c>
      <c r="DDS1" s="3" t="s">
        <v>2980</v>
      </c>
      <c r="DDT1" s="3" t="s">
        <v>2981</v>
      </c>
      <c r="DDU1" s="3" t="s">
        <v>2982</v>
      </c>
      <c r="DDV1" s="3" t="s">
        <v>2983</v>
      </c>
      <c r="DDW1" s="3" t="s">
        <v>2984</v>
      </c>
      <c r="DDX1" s="3" t="s">
        <v>2985</v>
      </c>
      <c r="DDY1" s="3" t="s">
        <v>2986</v>
      </c>
      <c r="DDZ1" s="3" t="s">
        <v>2987</v>
      </c>
      <c r="DEA1" s="3" t="s">
        <v>2988</v>
      </c>
      <c r="DEB1" s="3" t="s">
        <v>2989</v>
      </c>
      <c r="DEC1" s="3" t="s">
        <v>2990</v>
      </c>
      <c r="DED1" s="3" t="s">
        <v>2991</v>
      </c>
      <c r="DEE1" s="3" t="s">
        <v>2992</v>
      </c>
      <c r="DEF1" s="3" t="s">
        <v>2993</v>
      </c>
      <c r="DEG1" s="3" t="s">
        <v>2994</v>
      </c>
      <c r="DEH1" s="3" t="s">
        <v>2995</v>
      </c>
      <c r="DEI1" s="3" t="s">
        <v>2996</v>
      </c>
      <c r="DEJ1" s="3" t="s">
        <v>2997</v>
      </c>
      <c r="DEK1" s="3" t="s">
        <v>2998</v>
      </c>
      <c r="DEL1" s="3" t="s">
        <v>2999</v>
      </c>
      <c r="DEM1" s="3" t="s">
        <v>3000</v>
      </c>
      <c r="DEN1" s="3" t="s">
        <v>3001</v>
      </c>
      <c r="DEO1" s="3" t="s">
        <v>3002</v>
      </c>
      <c r="DEP1" s="3" t="s">
        <v>3003</v>
      </c>
      <c r="DEQ1" s="3" t="s">
        <v>3004</v>
      </c>
      <c r="DER1" s="3" t="s">
        <v>3005</v>
      </c>
      <c r="DES1" s="3" t="s">
        <v>3006</v>
      </c>
      <c r="DET1" s="3" t="s">
        <v>3007</v>
      </c>
      <c r="DEU1" s="3" t="s">
        <v>3008</v>
      </c>
      <c r="DEV1" s="3" t="s">
        <v>3009</v>
      </c>
      <c r="DEW1" s="3" t="s">
        <v>3010</v>
      </c>
      <c r="DEX1" s="3" t="s">
        <v>3011</v>
      </c>
      <c r="DEY1" s="3" t="s">
        <v>3012</v>
      </c>
      <c r="DEZ1" s="3" t="s">
        <v>3013</v>
      </c>
      <c r="DFA1" s="3" t="s">
        <v>3014</v>
      </c>
      <c r="DFB1" s="3" t="s">
        <v>3015</v>
      </c>
      <c r="DFC1" s="3" t="s">
        <v>3016</v>
      </c>
      <c r="DFD1" s="3" t="s">
        <v>3017</v>
      </c>
      <c r="DFE1" s="3" t="s">
        <v>3018</v>
      </c>
      <c r="DFF1" s="3" t="s">
        <v>3019</v>
      </c>
      <c r="DFG1" s="3" t="s">
        <v>3020</v>
      </c>
      <c r="DFH1" s="3" t="s">
        <v>3021</v>
      </c>
      <c r="DFI1" s="3" t="s">
        <v>3022</v>
      </c>
      <c r="DFJ1" s="3" t="s">
        <v>3023</v>
      </c>
      <c r="DFK1" s="3" t="s">
        <v>3024</v>
      </c>
      <c r="DFL1" s="3" t="s">
        <v>3025</v>
      </c>
      <c r="DFM1" s="3" t="s">
        <v>3026</v>
      </c>
      <c r="DFN1" s="3" t="s">
        <v>3027</v>
      </c>
      <c r="DFO1" s="3" t="s">
        <v>3028</v>
      </c>
      <c r="DFP1" s="3" t="s">
        <v>3029</v>
      </c>
      <c r="DFQ1" s="3" t="s">
        <v>3030</v>
      </c>
      <c r="DFR1" s="3" t="s">
        <v>3031</v>
      </c>
      <c r="DFS1" s="3" t="s">
        <v>3032</v>
      </c>
      <c r="DFT1" s="3" t="s">
        <v>3033</v>
      </c>
      <c r="DFU1" s="3" t="s">
        <v>3034</v>
      </c>
      <c r="DFV1" s="3" t="s">
        <v>3035</v>
      </c>
      <c r="DFW1" s="3" t="s">
        <v>3036</v>
      </c>
      <c r="DFX1" s="3" t="s">
        <v>3037</v>
      </c>
      <c r="DFY1" s="3" t="s">
        <v>3038</v>
      </c>
      <c r="DFZ1" s="3" t="s">
        <v>3039</v>
      </c>
      <c r="DGA1" s="3" t="s">
        <v>3040</v>
      </c>
      <c r="DGB1" s="3" t="s">
        <v>3041</v>
      </c>
      <c r="DGC1" s="3" t="s">
        <v>3042</v>
      </c>
      <c r="DGD1" s="3" t="s">
        <v>3043</v>
      </c>
      <c r="DGE1" s="3" t="s">
        <v>3044</v>
      </c>
      <c r="DGF1" s="3" t="s">
        <v>3045</v>
      </c>
      <c r="DGG1" s="3" t="s">
        <v>3046</v>
      </c>
      <c r="DGH1" s="3" t="s">
        <v>3047</v>
      </c>
      <c r="DGI1" s="3" t="s">
        <v>3048</v>
      </c>
      <c r="DGJ1" s="3" t="s">
        <v>3049</v>
      </c>
      <c r="DGK1" s="3" t="s">
        <v>3050</v>
      </c>
      <c r="DGL1" s="3" t="s">
        <v>3051</v>
      </c>
      <c r="DGM1" s="3" t="s">
        <v>3052</v>
      </c>
      <c r="DGN1" s="3" t="s">
        <v>3053</v>
      </c>
      <c r="DGO1" s="3" t="s">
        <v>3054</v>
      </c>
      <c r="DGP1" s="3" t="s">
        <v>3055</v>
      </c>
      <c r="DGQ1" s="3" t="s">
        <v>3056</v>
      </c>
      <c r="DGR1" s="3" t="s">
        <v>3057</v>
      </c>
      <c r="DGS1" s="3" t="s">
        <v>3058</v>
      </c>
      <c r="DGT1" s="3" t="s">
        <v>3059</v>
      </c>
      <c r="DGU1" s="3" t="s">
        <v>3060</v>
      </c>
      <c r="DGV1" s="3" t="s">
        <v>3061</v>
      </c>
      <c r="DGW1" s="3" t="s">
        <v>3062</v>
      </c>
      <c r="DGX1" s="3" t="s">
        <v>3063</v>
      </c>
      <c r="DGY1" s="3" t="s">
        <v>3064</v>
      </c>
      <c r="DGZ1" s="3" t="s">
        <v>3065</v>
      </c>
      <c r="DHA1" s="3" t="s">
        <v>3066</v>
      </c>
      <c r="DHB1" s="3" t="s">
        <v>3067</v>
      </c>
      <c r="DHC1" s="3" t="s">
        <v>3068</v>
      </c>
      <c r="DHD1" s="3" t="s">
        <v>3069</v>
      </c>
      <c r="DHE1" s="3" t="s">
        <v>3070</v>
      </c>
      <c r="DHF1" s="3" t="s">
        <v>3071</v>
      </c>
      <c r="DHG1" s="3" t="s">
        <v>3072</v>
      </c>
      <c r="DHH1" s="3" t="s">
        <v>3073</v>
      </c>
      <c r="DHI1" s="3" t="s">
        <v>3074</v>
      </c>
      <c r="DHJ1" s="3" t="s">
        <v>3075</v>
      </c>
      <c r="DHK1" s="3" t="s">
        <v>3076</v>
      </c>
      <c r="DHL1" s="3" t="s">
        <v>3077</v>
      </c>
      <c r="DHM1" s="3" t="s">
        <v>3078</v>
      </c>
      <c r="DHN1" s="3" t="s">
        <v>3079</v>
      </c>
      <c r="DHO1" s="3" t="s">
        <v>3080</v>
      </c>
      <c r="DHP1" s="3" t="s">
        <v>3081</v>
      </c>
      <c r="DHQ1" s="3" t="s">
        <v>3082</v>
      </c>
      <c r="DHR1" s="3" t="s">
        <v>3083</v>
      </c>
      <c r="DHS1" s="3" t="s">
        <v>3084</v>
      </c>
      <c r="DHT1" s="3" t="s">
        <v>3085</v>
      </c>
      <c r="DHU1" s="3" t="s">
        <v>3086</v>
      </c>
      <c r="DHV1" s="3" t="s">
        <v>3087</v>
      </c>
      <c r="DHW1" s="3" t="s">
        <v>3088</v>
      </c>
      <c r="DHX1" s="3" t="s">
        <v>3089</v>
      </c>
      <c r="DHY1" s="3" t="s">
        <v>3090</v>
      </c>
      <c r="DHZ1" s="3" t="s">
        <v>3091</v>
      </c>
      <c r="DIA1" s="3" t="s">
        <v>3092</v>
      </c>
      <c r="DIB1" s="3" t="s">
        <v>3093</v>
      </c>
      <c r="DIC1" s="3" t="s">
        <v>3094</v>
      </c>
      <c r="DID1" s="3" t="s">
        <v>3095</v>
      </c>
      <c r="DIE1" s="3" t="s">
        <v>3096</v>
      </c>
      <c r="DIF1" s="3" t="s">
        <v>3097</v>
      </c>
      <c r="DIG1" s="3" t="s">
        <v>3098</v>
      </c>
      <c r="DIH1" s="3" t="s">
        <v>3099</v>
      </c>
      <c r="DII1" s="3" t="s">
        <v>3100</v>
      </c>
      <c r="DIJ1" s="3" t="s">
        <v>3101</v>
      </c>
      <c r="DIK1" s="3" t="s">
        <v>3102</v>
      </c>
      <c r="DIL1" s="3" t="s">
        <v>3103</v>
      </c>
      <c r="DIM1" s="3" t="s">
        <v>3104</v>
      </c>
      <c r="DIN1" s="3" t="s">
        <v>3105</v>
      </c>
      <c r="DIO1" s="3" t="s">
        <v>3106</v>
      </c>
      <c r="DIP1" s="3" t="s">
        <v>3107</v>
      </c>
      <c r="DIQ1" s="3" t="s">
        <v>3108</v>
      </c>
      <c r="DIR1" s="3" t="s">
        <v>3109</v>
      </c>
      <c r="DIS1" s="3" t="s">
        <v>3110</v>
      </c>
      <c r="DIT1" s="3" t="s">
        <v>3111</v>
      </c>
      <c r="DIU1" s="3" t="s">
        <v>3112</v>
      </c>
      <c r="DIV1" s="3" t="s">
        <v>3113</v>
      </c>
      <c r="DIW1" s="3" t="s">
        <v>3114</v>
      </c>
      <c r="DIX1" s="3" t="s">
        <v>3115</v>
      </c>
      <c r="DIY1" s="3" t="s">
        <v>3116</v>
      </c>
      <c r="DIZ1" s="3" t="s">
        <v>3117</v>
      </c>
      <c r="DJA1" s="3" t="s">
        <v>3118</v>
      </c>
      <c r="DJB1" s="3" t="s">
        <v>3119</v>
      </c>
      <c r="DJC1" s="3" t="s">
        <v>3120</v>
      </c>
      <c r="DJD1" s="3" t="s">
        <v>3121</v>
      </c>
      <c r="DJE1" s="3" t="s">
        <v>3122</v>
      </c>
      <c r="DJF1" s="3" t="s">
        <v>3123</v>
      </c>
      <c r="DJG1" s="3" t="s">
        <v>3124</v>
      </c>
      <c r="DJH1" s="3" t="s">
        <v>3125</v>
      </c>
      <c r="DJI1" s="3" t="s">
        <v>3126</v>
      </c>
      <c r="DJJ1" s="3" t="s">
        <v>3127</v>
      </c>
      <c r="DJK1" s="3" t="s">
        <v>3128</v>
      </c>
      <c r="DJL1" s="3" t="s">
        <v>3129</v>
      </c>
      <c r="DJM1" s="3" t="s">
        <v>3130</v>
      </c>
      <c r="DJN1" s="3" t="s">
        <v>3131</v>
      </c>
      <c r="DJO1" s="3" t="s">
        <v>3132</v>
      </c>
      <c r="DJP1" s="3" t="s">
        <v>3133</v>
      </c>
      <c r="DJQ1" s="3" t="s">
        <v>3134</v>
      </c>
      <c r="DJR1" s="3" t="s">
        <v>3135</v>
      </c>
      <c r="DJS1" s="3" t="s">
        <v>3136</v>
      </c>
      <c r="DJT1" s="3" t="s">
        <v>3137</v>
      </c>
      <c r="DJU1" s="3" t="s">
        <v>3138</v>
      </c>
      <c r="DJV1" s="3" t="s">
        <v>3139</v>
      </c>
      <c r="DJW1" s="3" t="s">
        <v>3140</v>
      </c>
      <c r="DJX1" s="3" t="s">
        <v>3141</v>
      </c>
      <c r="DJY1" s="3" t="s">
        <v>3142</v>
      </c>
      <c r="DJZ1" s="3" t="s">
        <v>3143</v>
      </c>
      <c r="DKA1" s="3" t="s">
        <v>3144</v>
      </c>
      <c r="DKB1" s="3" t="s">
        <v>3145</v>
      </c>
      <c r="DKC1" s="3" t="s">
        <v>3146</v>
      </c>
      <c r="DKD1" s="3" t="s">
        <v>3147</v>
      </c>
      <c r="DKE1" s="3" t="s">
        <v>3148</v>
      </c>
      <c r="DKF1" s="3" t="s">
        <v>3149</v>
      </c>
      <c r="DKG1" s="3" t="s">
        <v>3150</v>
      </c>
      <c r="DKH1" s="3" t="s">
        <v>3151</v>
      </c>
      <c r="DKI1" s="3" t="s">
        <v>3152</v>
      </c>
      <c r="DKJ1" s="3" t="s">
        <v>3153</v>
      </c>
      <c r="DKK1" s="3" t="s">
        <v>3154</v>
      </c>
      <c r="DKL1" s="3" t="s">
        <v>3155</v>
      </c>
      <c r="DKM1" s="3" t="s">
        <v>3156</v>
      </c>
      <c r="DKN1" s="3" t="s">
        <v>3157</v>
      </c>
      <c r="DKO1" s="3" t="s">
        <v>3158</v>
      </c>
      <c r="DKP1" s="3" t="s">
        <v>3159</v>
      </c>
      <c r="DKQ1" s="3" t="s">
        <v>3160</v>
      </c>
      <c r="DKR1" s="3" t="s">
        <v>3161</v>
      </c>
      <c r="DKS1" s="3" t="s">
        <v>3162</v>
      </c>
      <c r="DKT1" s="3" t="s">
        <v>3163</v>
      </c>
      <c r="DKU1" s="3" t="s">
        <v>3164</v>
      </c>
      <c r="DKV1" s="3" t="s">
        <v>3165</v>
      </c>
      <c r="DKW1" s="3" t="s">
        <v>3166</v>
      </c>
      <c r="DKX1" s="3" t="s">
        <v>3167</v>
      </c>
      <c r="DKY1" s="3" t="s">
        <v>3168</v>
      </c>
      <c r="DKZ1" s="3" t="s">
        <v>3169</v>
      </c>
      <c r="DLA1" s="3" t="s">
        <v>3170</v>
      </c>
      <c r="DLB1" s="3" t="s">
        <v>3171</v>
      </c>
      <c r="DLC1" s="3" t="s">
        <v>3172</v>
      </c>
      <c r="DLD1" s="3" t="s">
        <v>3173</v>
      </c>
      <c r="DLE1" s="3" t="s">
        <v>3174</v>
      </c>
      <c r="DLF1" s="3" t="s">
        <v>3175</v>
      </c>
      <c r="DLG1" s="3" t="s">
        <v>3176</v>
      </c>
      <c r="DLH1" s="3" t="s">
        <v>3177</v>
      </c>
      <c r="DLI1" s="3" t="s">
        <v>3178</v>
      </c>
      <c r="DLJ1" s="3" t="s">
        <v>3179</v>
      </c>
      <c r="DLK1" s="3" t="s">
        <v>3180</v>
      </c>
      <c r="DLL1" s="3" t="s">
        <v>3181</v>
      </c>
      <c r="DLM1" s="3" t="s">
        <v>3182</v>
      </c>
      <c r="DLN1" s="3" t="s">
        <v>3183</v>
      </c>
      <c r="DLO1" s="3" t="s">
        <v>3184</v>
      </c>
      <c r="DLP1" s="3" t="s">
        <v>3185</v>
      </c>
      <c r="DLQ1" s="3" t="s">
        <v>3186</v>
      </c>
      <c r="DLR1" s="3" t="s">
        <v>3187</v>
      </c>
      <c r="DLS1" s="3" t="s">
        <v>3188</v>
      </c>
      <c r="DLT1" s="3" t="s">
        <v>3189</v>
      </c>
      <c r="DLU1" s="3" t="s">
        <v>3190</v>
      </c>
      <c r="DLV1" s="3" t="s">
        <v>3191</v>
      </c>
      <c r="DLW1" s="3" t="s">
        <v>3192</v>
      </c>
      <c r="DLX1" s="3" t="s">
        <v>3193</v>
      </c>
      <c r="DLY1" s="3" t="s">
        <v>3194</v>
      </c>
      <c r="DLZ1" s="3" t="s">
        <v>3195</v>
      </c>
      <c r="DMA1" s="3" t="s">
        <v>3196</v>
      </c>
      <c r="DMB1" s="3" t="s">
        <v>3197</v>
      </c>
      <c r="DMC1" s="3" t="s">
        <v>3198</v>
      </c>
      <c r="DMD1" s="3" t="s">
        <v>3199</v>
      </c>
      <c r="DME1" s="3" t="s">
        <v>3200</v>
      </c>
      <c r="DMF1" s="3" t="s">
        <v>3201</v>
      </c>
      <c r="DMG1" s="3" t="s">
        <v>3202</v>
      </c>
      <c r="DMH1" s="3" t="s">
        <v>3203</v>
      </c>
      <c r="DMI1" s="3" t="s">
        <v>3204</v>
      </c>
      <c r="DMJ1" s="3" t="s">
        <v>3205</v>
      </c>
      <c r="DMK1" s="3" t="s">
        <v>3206</v>
      </c>
      <c r="DML1" s="3" t="s">
        <v>3207</v>
      </c>
      <c r="DMM1" s="3" t="s">
        <v>3208</v>
      </c>
      <c r="DMN1" s="3" t="s">
        <v>3209</v>
      </c>
      <c r="DMO1" s="3" t="s">
        <v>3210</v>
      </c>
      <c r="DMP1" s="3" t="s">
        <v>3211</v>
      </c>
      <c r="DMQ1" s="3" t="s">
        <v>3212</v>
      </c>
      <c r="DMR1" s="3" t="s">
        <v>3213</v>
      </c>
      <c r="DMS1" s="3" t="s">
        <v>3214</v>
      </c>
      <c r="DMT1" s="3" t="s">
        <v>3215</v>
      </c>
      <c r="DMU1" s="3" t="s">
        <v>3216</v>
      </c>
      <c r="DMV1" s="3" t="s">
        <v>3217</v>
      </c>
      <c r="DMW1" s="3" t="s">
        <v>3218</v>
      </c>
      <c r="DMX1" s="3" t="s">
        <v>3219</v>
      </c>
      <c r="DMY1" s="3" t="s">
        <v>3220</v>
      </c>
      <c r="DMZ1" s="3" t="s">
        <v>3221</v>
      </c>
      <c r="DNA1" s="3" t="s">
        <v>3222</v>
      </c>
      <c r="DNB1" s="3" t="s">
        <v>3223</v>
      </c>
      <c r="DNC1" s="3" t="s">
        <v>3224</v>
      </c>
      <c r="DND1" s="3" t="s">
        <v>3225</v>
      </c>
      <c r="DNE1" s="3" t="s">
        <v>3226</v>
      </c>
      <c r="DNF1" s="3" t="s">
        <v>3227</v>
      </c>
      <c r="DNG1" s="3" t="s">
        <v>3228</v>
      </c>
      <c r="DNH1" s="3" t="s">
        <v>3229</v>
      </c>
      <c r="DNI1" s="3" t="s">
        <v>3230</v>
      </c>
      <c r="DNJ1" s="3" t="s">
        <v>3231</v>
      </c>
      <c r="DNK1" s="3" t="s">
        <v>3232</v>
      </c>
      <c r="DNL1" s="3" t="s">
        <v>3233</v>
      </c>
      <c r="DNM1" s="3" t="s">
        <v>3234</v>
      </c>
      <c r="DNN1" s="3" t="s">
        <v>3235</v>
      </c>
      <c r="DNO1" s="3" t="s">
        <v>3236</v>
      </c>
      <c r="DNP1" s="3" t="s">
        <v>3237</v>
      </c>
      <c r="DNQ1" s="3" t="s">
        <v>3238</v>
      </c>
      <c r="DNR1" s="3" t="s">
        <v>3239</v>
      </c>
      <c r="DNS1" s="3" t="s">
        <v>3240</v>
      </c>
      <c r="DNT1" s="3" t="s">
        <v>3241</v>
      </c>
      <c r="DNU1" s="3" t="s">
        <v>3242</v>
      </c>
      <c r="DNV1" s="3" t="s">
        <v>3243</v>
      </c>
      <c r="DNW1" s="3" t="s">
        <v>3244</v>
      </c>
      <c r="DNX1" s="3" t="s">
        <v>3245</v>
      </c>
      <c r="DNY1" s="3" t="s">
        <v>3246</v>
      </c>
      <c r="DNZ1" s="3" t="s">
        <v>3247</v>
      </c>
      <c r="DOA1" s="3" t="s">
        <v>3248</v>
      </c>
      <c r="DOB1" s="3" t="s">
        <v>3249</v>
      </c>
      <c r="DOC1" s="3" t="s">
        <v>3250</v>
      </c>
      <c r="DOD1" s="3" t="s">
        <v>3251</v>
      </c>
      <c r="DOE1" s="3" t="s">
        <v>3252</v>
      </c>
      <c r="DOF1" s="3" t="s">
        <v>3253</v>
      </c>
      <c r="DOG1" s="3" t="s">
        <v>3254</v>
      </c>
      <c r="DOH1" s="3" t="s">
        <v>3255</v>
      </c>
      <c r="DOI1" s="3" t="s">
        <v>3256</v>
      </c>
      <c r="DOJ1" s="3" t="s">
        <v>3257</v>
      </c>
      <c r="DOK1" s="3" t="s">
        <v>3258</v>
      </c>
      <c r="DOL1" s="3" t="s">
        <v>3259</v>
      </c>
      <c r="DOM1" s="3" t="s">
        <v>3260</v>
      </c>
      <c r="DON1" s="3" t="s">
        <v>3261</v>
      </c>
      <c r="DOO1" s="3" t="s">
        <v>3262</v>
      </c>
      <c r="DOP1" s="3" t="s">
        <v>3263</v>
      </c>
      <c r="DOQ1" s="3" t="s">
        <v>3264</v>
      </c>
      <c r="DOR1" s="3" t="s">
        <v>3265</v>
      </c>
      <c r="DOS1" s="3" t="s">
        <v>3266</v>
      </c>
      <c r="DOT1" s="3" t="s">
        <v>3267</v>
      </c>
      <c r="DOU1" s="3" t="s">
        <v>3268</v>
      </c>
      <c r="DOV1" s="3" t="s">
        <v>3269</v>
      </c>
      <c r="DOW1" s="3" t="s">
        <v>3270</v>
      </c>
      <c r="DOX1" s="3" t="s">
        <v>3271</v>
      </c>
      <c r="DOY1" s="3" t="s">
        <v>3272</v>
      </c>
      <c r="DOZ1" s="3" t="s">
        <v>3273</v>
      </c>
      <c r="DPA1" s="3" t="s">
        <v>3274</v>
      </c>
      <c r="DPB1" s="3" t="s">
        <v>3275</v>
      </c>
      <c r="DPC1" s="3" t="s">
        <v>3276</v>
      </c>
      <c r="DPD1" s="3" t="s">
        <v>3277</v>
      </c>
      <c r="DPE1" s="3" t="s">
        <v>3278</v>
      </c>
      <c r="DPF1" s="3" t="s">
        <v>3279</v>
      </c>
      <c r="DPG1" s="3" t="s">
        <v>3280</v>
      </c>
      <c r="DPH1" s="3" t="s">
        <v>3281</v>
      </c>
      <c r="DPI1" s="3" t="s">
        <v>3282</v>
      </c>
      <c r="DPJ1" s="3" t="s">
        <v>3283</v>
      </c>
      <c r="DPK1" s="3" t="s">
        <v>3284</v>
      </c>
      <c r="DPL1" s="3" t="s">
        <v>3285</v>
      </c>
      <c r="DPM1" s="3" t="s">
        <v>3286</v>
      </c>
      <c r="DPN1" s="3" t="s">
        <v>3287</v>
      </c>
      <c r="DPO1" s="3" t="s">
        <v>3288</v>
      </c>
      <c r="DPP1" s="3" t="s">
        <v>3289</v>
      </c>
      <c r="DPQ1" s="3" t="s">
        <v>3290</v>
      </c>
      <c r="DPR1" s="3" t="s">
        <v>3291</v>
      </c>
      <c r="DPS1" s="3" t="s">
        <v>3292</v>
      </c>
      <c r="DPT1" s="3" t="s">
        <v>3293</v>
      </c>
      <c r="DPU1" s="3" t="s">
        <v>3294</v>
      </c>
      <c r="DPV1" s="3" t="s">
        <v>3295</v>
      </c>
      <c r="DPW1" s="3" t="s">
        <v>3296</v>
      </c>
      <c r="DPX1" s="3" t="s">
        <v>3297</v>
      </c>
      <c r="DPY1" s="3" t="s">
        <v>3298</v>
      </c>
      <c r="DPZ1" s="3" t="s">
        <v>3299</v>
      </c>
      <c r="DQA1" s="3" t="s">
        <v>3300</v>
      </c>
      <c r="DQB1" s="3" t="s">
        <v>3301</v>
      </c>
      <c r="DQC1" s="3" t="s">
        <v>3302</v>
      </c>
      <c r="DQD1" s="3" t="s">
        <v>3303</v>
      </c>
      <c r="DQE1" s="3" t="s">
        <v>3304</v>
      </c>
      <c r="DQF1" s="3" t="s">
        <v>3305</v>
      </c>
      <c r="DQG1" s="3" t="s">
        <v>3306</v>
      </c>
      <c r="DQH1" s="3" t="s">
        <v>3307</v>
      </c>
      <c r="DQI1" s="3" t="s">
        <v>3308</v>
      </c>
      <c r="DQJ1" s="3" t="s">
        <v>3309</v>
      </c>
      <c r="DQK1" s="3" t="s">
        <v>3310</v>
      </c>
      <c r="DQL1" s="3" t="s">
        <v>3311</v>
      </c>
      <c r="DQM1" s="3" t="s">
        <v>3312</v>
      </c>
      <c r="DQN1" s="3" t="s">
        <v>3313</v>
      </c>
      <c r="DQO1" s="3" t="s">
        <v>3314</v>
      </c>
      <c r="DQP1" s="3" t="s">
        <v>3315</v>
      </c>
      <c r="DQQ1" s="3" t="s">
        <v>3316</v>
      </c>
      <c r="DQR1" s="3" t="s">
        <v>3317</v>
      </c>
      <c r="DQS1" s="3" t="s">
        <v>3318</v>
      </c>
      <c r="DQT1" s="3" t="s">
        <v>3319</v>
      </c>
      <c r="DQU1" s="3" t="s">
        <v>3320</v>
      </c>
      <c r="DQV1" s="3" t="s">
        <v>3321</v>
      </c>
      <c r="DQW1" s="3" t="s">
        <v>3322</v>
      </c>
      <c r="DQX1" s="3" t="s">
        <v>3323</v>
      </c>
      <c r="DQY1" s="3" t="s">
        <v>3324</v>
      </c>
      <c r="DQZ1" s="3" t="s">
        <v>3325</v>
      </c>
      <c r="DRA1" s="3" t="s">
        <v>3326</v>
      </c>
      <c r="DRB1" s="3" t="s">
        <v>3327</v>
      </c>
      <c r="DRC1" s="3" t="s">
        <v>3328</v>
      </c>
      <c r="DRD1" s="3" t="s">
        <v>3329</v>
      </c>
      <c r="DRE1" s="3" t="s">
        <v>3330</v>
      </c>
      <c r="DRF1" s="3" t="s">
        <v>3331</v>
      </c>
      <c r="DRG1" s="3" t="s">
        <v>3332</v>
      </c>
      <c r="DRH1" s="3" t="s">
        <v>3333</v>
      </c>
      <c r="DRI1" s="3" t="s">
        <v>3334</v>
      </c>
      <c r="DRJ1" s="3" t="s">
        <v>3335</v>
      </c>
      <c r="DRK1" s="3" t="s">
        <v>3336</v>
      </c>
      <c r="DRL1" s="3" t="s">
        <v>3337</v>
      </c>
      <c r="DRM1" s="3" t="s">
        <v>3338</v>
      </c>
      <c r="DRN1" s="3" t="s">
        <v>3339</v>
      </c>
      <c r="DRO1" s="3" t="s">
        <v>3340</v>
      </c>
      <c r="DRP1" s="3" t="s">
        <v>3341</v>
      </c>
      <c r="DRQ1" s="3" t="s">
        <v>3342</v>
      </c>
      <c r="DRR1" s="3" t="s">
        <v>3343</v>
      </c>
      <c r="DRS1" s="3" t="s">
        <v>3344</v>
      </c>
      <c r="DRT1" s="3" t="s">
        <v>3345</v>
      </c>
      <c r="DRU1" s="3" t="s">
        <v>3346</v>
      </c>
      <c r="DRV1" s="3" t="s">
        <v>3347</v>
      </c>
      <c r="DRW1" s="3" t="s">
        <v>3348</v>
      </c>
      <c r="DRX1" s="3" t="s">
        <v>3349</v>
      </c>
      <c r="DRY1" s="3" t="s">
        <v>3350</v>
      </c>
      <c r="DRZ1" s="3" t="s">
        <v>3351</v>
      </c>
      <c r="DSA1" s="3" t="s">
        <v>3352</v>
      </c>
      <c r="DSB1" s="3" t="s">
        <v>3353</v>
      </c>
      <c r="DSC1" s="3" t="s">
        <v>3354</v>
      </c>
      <c r="DSD1" s="3" t="s">
        <v>3355</v>
      </c>
      <c r="DSE1" s="3" t="s">
        <v>3356</v>
      </c>
      <c r="DSF1" s="3" t="s">
        <v>3357</v>
      </c>
      <c r="DSG1" s="3" t="s">
        <v>3358</v>
      </c>
      <c r="DSH1" s="3" t="s">
        <v>3359</v>
      </c>
      <c r="DSI1" s="3" t="s">
        <v>3360</v>
      </c>
      <c r="DSJ1" s="3" t="s">
        <v>3361</v>
      </c>
      <c r="DSK1" s="3" t="s">
        <v>3362</v>
      </c>
      <c r="DSL1" s="3" t="s">
        <v>3363</v>
      </c>
      <c r="DSM1" s="3" t="s">
        <v>3364</v>
      </c>
      <c r="DSN1" s="3" t="s">
        <v>3365</v>
      </c>
      <c r="DSO1" s="3" t="s">
        <v>3366</v>
      </c>
      <c r="DSP1" s="3" t="s">
        <v>3367</v>
      </c>
      <c r="DSQ1" s="3" t="s">
        <v>3368</v>
      </c>
      <c r="DSR1" s="3" t="s">
        <v>3369</v>
      </c>
      <c r="DSS1" s="3" t="s">
        <v>3370</v>
      </c>
      <c r="DST1" s="3" t="s">
        <v>3371</v>
      </c>
      <c r="DSU1" s="3" t="s">
        <v>3372</v>
      </c>
      <c r="DSV1" s="3" t="s">
        <v>3373</v>
      </c>
      <c r="DSW1" s="3" t="s">
        <v>3374</v>
      </c>
      <c r="DSX1" s="3" t="s">
        <v>3375</v>
      </c>
      <c r="DSY1" s="3" t="s">
        <v>3376</v>
      </c>
      <c r="DSZ1" s="3" t="s">
        <v>3377</v>
      </c>
      <c r="DTA1" s="3" t="s">
        <v>3378</v>
      </c>
      <c r="DTB1" s="3" t="s">
        <v>3379</v>
      </c>
      <c r="DTC1" s="3" t="s">
        <v>3380</v>
      </c>
      <c r="DTD1" s="3" t="s">
        <v>3381</v>
      </c>
      <c r="DTE1" s="3" t="s">
        <v>3382</v>
      </c>
      <c r="DTF1" s="3" t="s">
        <v>3383</v>
      </c>
      <c r="DTG1" s="3" t="s">
        <v>3384</v>
      </c>
      <c r="DTH1" s="3" t="s">
        <v>3385</v>
      </c>
      <c r="DTI1" s="3" t="s">
        <v>3386</v>
      </c>
      <c r="DTJ1" s="3" t="s">
        <v>3387</v>
      </c>
      <c r="DTK1" s="3" t="s">
        <v>3388</v>
      </c>
      <c r="DTL1" s="3" t="s">
        <v>3389</v>
      </c>
      <c r="DTM1" s="3" t="s">
        <v>3390</v>
      </c>
      <c r="DTN1" s="3" t="s">
        <v>3391</v>
      </c>
      <c r="DTO1" s="3" t="s">
        <v>3392</v>
      </c>
      <c r="DTP1" s="3" t="s">
        <v>3393</v>
      </c>
      <c r="DTQ1" s="3" t="s">
        <v>3394</v>
      </c>
      <c r="DTR1" s="3" t="s">
        <v>3395</v>
      </c>
      <c r="DTS1" s="3" t="s">
        <v>3396</v>
      </c>
      <c r="DTT1" s="3" t="s">
        <v>3397</v>
      </c>
      <c r="DTU1" s="3" t="s">
        <v>3398</v>
      </c>
      <c r="DTV1" s="3" t="s">
        <v>3399</v>
      </c>
      <c r="DTW1" s="3" t="s">
        <v>3400</v>
      </c>
      <c r="DTX1" s="3" t="s">
        <v>3401</v>
      </c>
      <c r="DTY1" s="3" t="s">
        <v>3402</v>
      </c>
      <c r="DTZ1" s="3" t="s">
        <v>3403</v>
      </c>
      <c r="DUA1" s="3" t="s">
        <v>3404</v>
      </c>
      <c r="DUB1" s="3" t="s">
        <v>3405</v>
      </c>
      <c r="DUC1" s="3" t="s">
        <v>3406</v>
      </c>
      <c r="DUD1" s="3" t="s">
        <v>3407</v>
      </c>
      <c r="DUE1" s="3" t="s">
        <v>3408</v>
      </c>
      <c r="DUF1" s="3" t="s">
        <v>3409</v>
      </c>
      <c r="DUG1" s="3" t="s">
        <v>3410</v>
      </c>
      <c r="DUH1" s="3" t="s">
        <v>3411</v>
      </c>
      <c r="DUI1" s="3" t="s">
        <v>3412</v>
      </c>
      <c r="DUJ1" s="3" t="s">
        <v>3413</v>
      </c>
      <c r="DUK1" s="3" t="s">
        <v>3414</v>
      </c>
      <c r="DUL1" s="3" t="s">
        <v>3415</v>
      </c>
      <c r="DUM1" s="3" t="s">
        <v>3416</v>
      </c>
      <c r="DUN1" s="3" t="s">
        <v>3417</v>
      </c>
      <c r="DUO1" s="3" t="s">
        <v>3418</v>
      </c>
      <c r="DUP1" s="3" t="s">
        <v>3419</v>
      </c>
      <c r="DUQ1" s="3" t="s">
        <v>3420</v>
      </c>
      <c r="DUR1" s="3" t="s">
        <v>3421</v>
      </c>
      <c r="DUS1" s="3" t="s">
        <v>3422</v>
      </c>
      <c r="DUT1" s="3" t="s">
        <v>3423</v>
      </c>
      <c r="DUU1" s="3" t="s">
        <v>3424</v>
      </c>
      <c r="DUV1" s="3" t="s">
        <v>3425</v>
      </c>
      <c r="DUW1" s="3" t="s">
        <v>3426</v>
      </c>
      <c r="DUX1" s="3" t="s">
        <v>3427</v>
      </c>
      <c r="DUY1" s="3" t="s">
        <v>3428</v>
      </c>
      <c r="DUZ1" s="3" t="s">
        <v>3429</v>
      </c>
      <c r="DVA1" s="3" t="s">
        <v>3430</v>
      </c>
      <c r="DVB1" s="3" t="s">
        <v>3431</v>
      </c>
      <c r="DVC1" s="3" t="s">
        <v>3432</v>
      </c>
      <c r="DVD1" s="3" t="s">
        <v>3433</v>
      </c>
      <c r="DVE1" s="3" t="s">
        <v>3434</v>
      </c>
      <c r="DVF1" s="3" t="s">
        <v>3435</v>
      </c>
      <c r="DVG1" s="3" t="s">
        <v>3436</v>
      </c>
      <c r="DVH1" s="3" t="s">
        <v>3437</v>
      </c>
      <c r="DVI1" s="3" t="s">
        <v>3438</v>
      </c>
      <c r="DVJ1" s="3" t="s">
        <v>3439</v>
      </c>
      <c r="DVK1" s="3" t="s">
        <v>3440</v>
      </c>
      <c r="DVL1" s="3" t="s">
        <v>3441</v>
      </c>
      <c r="DVM1" s="3" t="s">
        <v>3442</v>
      </c>
      <c r="DVN1" s="3" t="s">
        <v>3443</v>
      </c>
      <c r="DVO1" s="3" t="s">
        <v>3444</v>
      </c>
      <c r="DVP1" s="3" t="s">
        <v>3445</v>
      </c>
      <c r="DVQ1" s="3" t="s">
        <v>3446</v>
      </c>
      <c r="DVR1" s="3" t="s">
        <v>3447</v>
      </c>
      <c r="DVS1" s="3" t="s">
        <v>3448</v>
      </c>
      <c r="DVT1" s="3" t="s">
        <v>3449</v>
      </c>
      <c r="DVU1" s="3" t="s">
        <v>3450</v>
      </c>
      <c r="DVV1" s="3" t="s">
        <v>3451</v>
      </c>
      <c r="DVW1" s="3" t="s">
        <v>3452</v>
      </c>
      <c r="DVX1" s="3" t="s">
        <v>3453</v>
      </c>
      <c r="DVY1" s="3" t="s">
        <v>3454</v>
      </c>
      <c r="DVZ1" s="3" t="s">
        <v>3455</v>
      </c>
      <c r="DWA1" s="3" t="s">
        <v>3456</v>
      </c>
      <c r="DWB1" s="3" t="s">
        <v>3457</v>
      </c>
      <c r="DWC1" s="3" t="s">
        <v>3458</v>
      </c>
      <c r="DWD1" s="3" t="s">
        <v>3459</v>
      </c>
      <c r="DWE1" s="3" t="s">
        <v>3460</v>
      </c>
      <c r="DWF1" s="3" t="s">
        <v>3461</v>
      </c>
      <c r="DWG1" s="3" t="s">
        <v>3462</v>
      </c>
      <c r="DWH1" s="3" t="s">
        <v>3463</v>
      </c>
      <c r="DWI1" s="3" t="s">
        <v>3464</v>
      </c>
      <c r="DWJ1" s="3" t="s">
        <v>3465</v>
      </c>
      <c r="DWK1" s="3" t="s">
        <v>3466</v>
      </c>
      <c r="DWL1" s="3" t="s">
        <v>3467</v>
      </c>
      <c r="DWM1" s="3" t="s">
        <v>3468</v>
      </c>
      <c r="DWN1" s="3" t="s">
        <v>3469</v>
      </c>
      <c r="DWO1" s="3" t="s">
        <v>3470</v>
      </c>
      <c r="DWP1" s="3" t="s">
        <v>3471</v>
      </c>
      <c r="DWQ1" s="3" t="s">
        <v>3472</v>
      </c>
      <c r="DWR1" s="3" t="s">
        <v>3473</v>
      </c>
      <c r="DWS1" s="3" t="s">
        <v>3474</v>
      </c>
      <c r="DWT1" s="3" t="s">
        <v>3475</v>
      </c>
      <c r="DWU1" s="3" t="s">
        <v>3476</v>
      </c>
      <c r="DWV1" s="3" t="s">
        <v>3477</v>
      </c>
      <c r="DWW1" s="3" t="s">
        <v>3478</v>
      </c>
      <c r="DWX1" s="3" t="s">
        <v>3479</v>
      </c>
      <c r="DWY1" s="3" t="s">
        <v>3480</v>
      </c>
      <c r="DWZ1" s="3" t="s">
        <v>3481</v>
      </c>
      <c r="DXA1" s="3" t="s">
        <v>3482</v>
      </c>
      <c r="DXB1" s="3" t="s">
        <v>3483</v>
      </c>
      <c r="DXC1" s="3" t="s">
        <v>3484</v>
      </c>
      <c r="DXD1" s="3" t="s">
        <v>3485</v>
      </c>
      <c r="DXE1" s="3" t="s">
        <v>3486</v>
      </c>
      <c r="DXF1" s="3" t="s">
        <v>3487</v>
      </c>
      <c r="DXG1" s="3" t="s">
        <v>3488</v>
      </c>
      <c r="DXH1" s="3" t="s">
        <v>3489</v>
      </c>
      <c r="DXI1" s="3" t="s">
        <v>3490</v>
      </c>
      <c r="DXJ1" s="3" t="s">
        <v>3491</v>
      </c>
      <c r="DXK1" s="3" t="s">
        <v>3492</v>
      </c>
      <c r="DXL1" s="3" t="s">
        <v>3493</v>
      </c>
      <c r="DXM1" s="3" t="s">
        <v>3494</v>
      </c>
      <c r="DXN1" s="3" t="s">
        <v>3495</v>
      </c>
      <c r="DXO1" s="3" t="s">
        <v>3496</v>
      </c>
      <c r="DXP1" s="3" t="s">
        <v>3497</v>
      </c>
      <c r="DXQ1" s="3" t="s">
        <v>3498</v>
      </c>
      <c r="DXR1" s="3" t="s">
        <v>3499</v>
      </c>
      <c r="DXS1" s="3" t="s">
        <v>3500</v>
      </c>
      <c r="DXT1" s="3" t="s">
        <v>3501</v>
      </c>
      <c r="DXU1" s="3" t="s">
        <v>3502</v>
      </c>
      <c r="DXV1" s="3" t="s">
        <v>3503</v>
      </c>
      <c r="DXW1" s="3" t="s">
        <v>3504</v>
      </c>
      <c r="DXX1" s="3" t="s">
        <v>3505</v>
      </c>
      <c r="DXY1" s="3" t="s">
        <v>3506</v>
      </c>
      <c r="DXZ1" s="3" t="s">
        <v>3507</v>
      </c>
      <c r="DYA1" s="3" t="s">
        <v>3508</v>
      </c>
      <c r="DYB1" s="3" t="s">
        <v>3509</v>
      </c>
      <c r="DYC1" s="3" t="s">
        <v>3510</v>
      </c>
      <c r="DYD1" s="3" t="s">
        <v>3511</v>
      </c>
      <c r="DYE1" s="3" t="s">
        <v>3512</v>
      </c>
      <c r="DYF1" s="3" t="s">
        <v>3513</v>
      </c>
      <c r="DYG1" s="3" t="s">
        <v>3514</v>
      </c>
      <c r="DYH1" s="3" t="s">
        <v>3515</v>
      </c>
      <c r="DYI1" s="3" t="s">
        <v>3516</v>
      </c>
      <c r="DYJ1" s="3" t="s">
        <v>3517</v>
      </c>
      <c r="DYK1" s="3" t="s">
        <v>3518</v>
      </c>
      <c r="DYL1" s="3" t="s">
        <v>3519</v>
      </c>
      <c r="DYM1" s="3" t="s">
        <v>3520</v>
      </c>
      <c r="DYN1" s="3" t="s">
        <v>3521</v>
      </c>
      <c r="DYO1" s="3" t="s">
        <v>3522</v>
      </c>
      <c r="DYP1" s="3" t="s">
        <v>3523</v>
      </c>
      <c r="DYQ1" s="3" t="s">
        <v>3524</v>
      </c>
      <c r="DYR1" s="3" t="s">
        <v>3525</v>
      </c>
      <c r="DYS1" s="3" t="s">
        <v>3526</v>
      </c>
      <c r="DYT1" s="3" t="s">
        <v>3527</v>
      </c>
      <c r="DYU1" s="3" t="s">
        <v>3528</v>
      </c>
      <c r="DYV1" s="3" t="s">
        <v>3529</v>
      </c>
      <c r="DYW1" s="3" t="s">
        <v>3530</v>
      </c>
      <c r="DYX1" s="3" t="s">
        <v>3531</v>
      </c>
      <c r="DYY1" s="3" t="s">
        <v>3532</v>
      </c>
      <c r="DYZ1" s="3" t="s">
        <v>3533</v>
      </c>
      <c r="DZA1" s="3" t="s">
        <v>3534</v>
      </c>
      <c r="DZB1" s="3" t="s">
        <v>3535</v>
      </c>
      <c r="DZC1" s="3" t="s">
        <v>3536</v>
      </c>
      <c r="DZD1" s="3" t="s">
        <v>3537</v>
      </c>
      <c r="DZE1" s="3" t="s">
        <v>3538</v>
      </c>
      <c r="DZF1" s="3" t="s">
        <v>3539</v>
      </c>
      <c r="DZG1" s="3" t="s">
        <v>3540</v>
      </c>
      <c r="DZH1" s="3" t="s">
        <v>3541</v>
      </c>
      <c r="DZI1" s="3" t="s">
        <v>3542</v>
      </c>
      <c r="DZJ1" s="3" t="s">
        <v>3543</v>
      </c>
      <c r="DZK1" s="3" t="s">
        <v>3544</v>
      </c>
      <c r="DZL1" s="3" t="s">
        <v>3545</v>
      </c>
      <c r="DZM1" s="3" t="s">
        <v>3546</v>
      </c>
      <c r="DZN1" s="3" t="s">
        <v>3547</v>
      </c>
      <c r="DZO1" s="3" t="s">
        <v>3548</v>
      </c>
      <c r="DZP1" s="3" t="s">
        <v>3549</v>
      </c>
      <c r="DZQ1" s="3" t="s">
        <v>3550</v>
      </c>
      <c r="DZR1" s="3" t="s">
        <v>3551</v>
      </c>
      <c r="DZS1" s="3" t="s">
        <v>3552</v>
      </c>
      <c r="DZT1" s="3" t="s">
        <v>3553</v>
      </c>
      <c r="DZU1" s="3" t="s">
        <v>3554</v>
      </c>
      <c r="DZV1" s="3" t="s">
        <v>3555</v>
      </c>
      <c r="DZW1" s="3" t="s">
        <v>3556</v>
      </c>
      <c r="DZX1" s="3" t="s">
        <v>3557</v>
      </c>
      <c r="DZY1" s="3" t="s">
        <v>3558</v>
      </c>
      <c r="DZZ1" s="3" t="s">
        <v>3559</v>
      </c>
      <c r="EAA1" s="3" t="s">
        <v>3560</v>
      </c>
      <c r="EAB1" s="3" t="s">
        <v>3561</v>
      </c>
      <c r="EAC1" s="3" t="s">
        <v>3562</v>
      </c>
      <c r="EAD1" s="3" t="s">
        <v>3563</v>
      </c>
      <c r="EAE1" s="3" t="s">
        <v>3564</v>
      </c>
      <c r="EAF1" s="3" t="s">
        <v>3565</v>
      </c>
      <c r="EAG1" s="3" t="s">
        <v>3566</v>
      </c>
      <c r="EAH1" s="3" t="s">
        <v>3567</v>
      </c>
      <c r="EAI1" s="3" t="s">
        <v>3568</v>
      </c>
      <c r="EAJ1" s="3" t="s">
        <v>3569</v>
      </c>
      <c r="EAK1" s="3" t="s">
        <v>3570</v>
      </c>
      <c r="EAL1" s="3" t="s">
        <v>3571</v>
      </c>
      <c r="EAM1" s="3" t="s">
        <v>3572</v>
      </c>
      <c r="EAN1" s="3" t="s">
        <v>3573</v>
      </c>
      <c r="EAO1" s="3" t="s">
        <v>3574</v>
      </c>
      <c r="EAP1" s="3" t="s">
        <v>3575</v>
      </c>
      <c r="EAQ1" s="3" t="s">
        <v>3576</v>
      </c>
      <c r="EAR1" s="3" t="s">
        <v>3577</v>
      </c>
      <c r="EAS1" s="3" t="s">
        <v>3578</v>
      </c>
      <c r="EAT1" s="3" t="s">
        <v>3579</v>
      </c>
      <c r="EAU1" s="3" t="s">
        <v>3580</v>
      </c>
      <c r="EAV1" s="3" t="s">
        <v>3581</v>
      </c>
      <c r="EAW1" s="3" t="s">
        <v>3582</v>
      </c>
      <c r="EAX1" s="3" t="s">
        <v>3583</v>
      </c>
      <c r="EAY1" s="3" t="s">
        <v>3584</v>
      </c>
      <c r="EAZ1" s="3" t="s">
        <v>3585</v>
      </c>
      <c r="EBA1" s="3" t="s">
        <v>3586</v>
      </c>
      <c r="EBB1" s="3" t="s">
        <v>3587</v>
      </c>
      <c r="EBC1" s="3" t="s">
        <v>3588</v>
      </c>
      <c r="EBD1" s="3" t="s">
        <v>3589</v>
      </c>
      <c r="EBE1" s="3" t="s">
        <v>3590</v>
      </c>
      <c r="EBF1" s="3" t="s">
        <v>3591</v>
      </c>
      <c r="EBG1" s="3" t="s">
        <v>3592</v>
      </c>
      <c r="EBH1" s="3" t="s">
        <v>3593</v>
      </c>
      <c r="EBI1" s="3" t="s">
        <v>3594</v>
      </c>
      <c r="EBJ1" s="3" t="s">
        <v>3595</v>
      </c>
      <c r="EBK1" s="3" t="s">
        <v>3596</v>
      </c>
      <c r="EBL1" s="3" t="s">
        <v>3597</v>
      </c>
      <c r="EBM1" s="3" t="s">
        <v>3598</v>
      </c>
      <c r="EBN1" s="3" t="s">
        <v>3599</v>
      </c>
      <c r="EBO1" s="3" t="s">
        <v>3600</v>
      </c>
      <c r="EBP1" s="3" t="s">
        <v>3601</v>
      </c>
      <c r="EBQ1" s="3" t="s">
        <v>3602</v>
      </c>
      <c r="EBR1" s="3" t="s">
        <v>3603</v>
      </c>
      <c r="EBS1" s="3" t="s">
        <v>3604</v>
      </c>
      <c r="EBT1" s="3" t="s">
        <v>3605</v>
      </c>
      <c r="EBU1" s="3" t="s">
        <v>3606</v>
      </c>
      <c r="EBV1" s="3" t="s">
        <v>3607</v>
      </c>
      <c r="EBW1" s="3" t="s">
        <v>3608</v>
      </c>
      <c r="EBX1" s="3" t="s">
        <v>3609</v>
      </c>
      <c r="EBY1" s="3" t="s">
        <v>3610</v>
      </c>
      <c r="EBZ1" s="3" t="s">
        <v>3611</v>
      </c>
      <c r="ECA1" s="3" t="s">
        <v>3612</v>
      </c>
      <c r="ECB1" s="3" t="s">
        <v>3613</v>
      </c>
      <c r="ECC1" s="3" t="s">
        <v>3614</v>
      </c>
      <c r="ECD1" s="3" t="s">
        <v>3615</v>
      </c>
      <c r="ECE1" s="3" t="s">
        <v>3616</v>
      </c>
      <c r="ECF1" s="3" t="s">
        <v>3617</v>
      </c>
      <c r="ECG1" s="3" t="s">
        <v>3618</v>
      </c>
      <c r="ECH1" s="3" t="s">
        <v>3619</v>
      </c>
      <c r="ECI1" s="3" t="s">
        <v>3620</v>
      </c>
      <c r="ECJ1" s="3" t="s">
        <v>3621</v>
      </c>
      <c r="ECK1" s="3" t="s">
        <v>3622</v>
      </c>
      <c r="ECL1" s="3" t="s">
        <v>3623</v>
      </c>
      <c r="ECM1" s="3" t="s">
        <v>3624</v>
      </c>
      <c r="ECN1" s="3" t="s">
        <v>3625</v>
      </c>
      <c r="ECO1" s="3" t="s">
        <v>3626</v>
      </c>
      <c r="ECP1" s="3" t="s">
        <v>3627</v>
      </c>
      <c r="ECQ1" s="3" t="s">
        <v>3628</v>
      </c>
      <c r="ECR1" s="3" t="s">
        <v>3629</v>
      </c>
      <c r="ECS1" s="3" t="s">
        <v>3630</v>
      </c>
      <c r="ECT1" s="3" t="s">
        <v>3631</v>
      </c>
      <c r="ECU1" s="3" t="s">
        <v>3632</v>
      </c>
      <c r="ECV1" s="3" t="s">
        <v>3633</v>
      </c>
      <c r="ECW1" s="3" t="s">
        <v>3634</v>
      </c>
      <c r="ECX1" s="3" t="s">
        <v>3635</v>
      </c>
      <c r="ECY1" s="3" t="s">
        <v>3636</v>
      </c>
      <c r="ECZ1" s="3" t="s">
        <v>3637</v>
      </c>
      <c r="EDA1" s="3" t="s">
        <v>3638</v>
      </c>
      <c r="EDB1" s="3" t="s">
        <v>3639</v>
      </c>
      <c r="EDC1" s="3" t="s">
        <v>3640</v>
      </c>
      <c r="EDD1" s="3" t="s">
        <v>3641</v>
      </c>
      <c r="EDE1" s="3" t="s">
        <v>3642</v>
      </c>
      <c r="EDF1" s="3" t="s">
        <v>3643</v>
      </c>
      <c r="EDG1" s="3" t="s">
        <v>3644</v>
      </c>
      <c r="EDH1" s="3" t="s">
        <v>3645</v>
      </c>
      <c r="EDI1" s="3" t="s">
        <v>3646</v>
      </c>
      <c r="EDJ1" s="3" t="s">
        <v>3647</v>
      </c>
      <c r="EDK1" s="3" t="s">
        <v>3648</v>
      </c>
      <c r="EDL1" s="3" t="s">
        <v>3649</v>
      </c>
      <c r="EDM1" s="3" t="s">
        <v>3650</v>
      </c>
      <c r="EDN1" s="3" t="s">
        <v>3651</v>
      </c>
      <c r="EDO1" s="3" t="s">
        <v>3652</v>
      </c>
      <c r="EDP1" s="3" t="s">
        <v>3653</v>
      </c>
      <c r="EDQ1" s="3" t="s">
        <v>3654</v>
      </c>
      <c r="EDR1" s="3" t="s">
        <v>3655</v>
      </c>
      <c r="EDS1" s="3" t="s">
        <v>3656</v>
      </c>
      <c r="EDT1" s="3" t="s">
        <v>3657</v>
      </c>
      <c r="EDU1" s="3" t="s">
        <v>3658</v>
      </c>
      <c r="EDV1" s="3" t="s">
        <v>3659</v>
      </c>
      <c r="EDW1" s="3" t="s">
        <v>3660</v>
      </c>
      <c r="EDX1" s="3" t="s">
        <v>3661</v>
      </c>
      <c r="EDY1" s="3" t="s">
        <v>3662</v>
      </c>
      <c r="EDZ1" s="3" t="s">
        <v>3663</v>
      </c>
      <c r="EEA1" s="3" t="s">
        <v>3664</v>
      </c>
      <c r="EEB1" s="3" t="s">
        <v>3665</v>
      </c>
      <c r="EEC1" s="3" t="s">
        <v>3666</v>
      </c>
      <c r="EED1" s="3" t="s">
        <v>3667</v>
      </c>
      <c r="EEE1" s="3" t="s">
        <v>3668</v>
      </c>
      <c r="EEF1" s="3" t="s">
        <v>3669</v>
      </c>
      <c r="EEG1" s="3" t="s">
        <v>3670</v>
      </c>
      <c r="EEH1" s="3" t="s">
        <v>3671</v>
      </c>
      <c r="EEI1" s="3" t="s">
        <v>3672</v>
      </c>
      <c r="EEJ1" s="3" t="s">
        <v>3673</v>
      </c>
      <c r="EEK1" s="3" t="s">
        <v>3674</v>
      </c>
      <c r="EEL1" s="3" t="s">
        <v>3675</v>
      </c>
      <c r="EEM1" s="3" t="s">
        <v>3676</v>
      </c>
      <c r="EEN1" s="3" t="s">
        <v>3677</v>
      </c>
      <c r="EEO1" s="3" t="s">
        <v>3678</v>
      </c>
      <c r="EEP1" s="3" t="s">
        <v>3679</v>
      </c>
      <c r="EEQ1" s="3" t="s">
        <v>3680</v>
      </c>
      <c r="EER1" s="3" t="s">
        <v>3681</v>
      </c>
      <c r="EES1" s="3" t="s">
        <v>3682</v>
      </c>
      <c r="EET1" s="3" t="s">
        <v>3683</v>
      </c>
      <c r="EEU1" s="3" t="s">
        <v>3684</v>
      </c>
      <c r="EEV1" s="3" t="s">
        <v>3685</v>
      </c>
      <c r="EEW1" s="3" t="s">
        <v>3686</v>
      </c>
      <c r="EEX1" s="3" t="s">
        <v>3687</v>
      </c>
      <c r="EEY1" s="3" t="s">
        <v>3688</v>
      </c>
      <c r="EEZ1" s="3" t="s">
        <v>3689</v>
      </c>
      <c r="EFA1" s="3" t="s">
        <v>3690</v>
      </c>
      <c r="EFB1" s="3" t="s">
        <v>3691</v>
      </c>
      <c r="EFC1" s="3" t="s">
        <v>3692</v>
      </c>
      <c r="EFD1" s="3" t="s">
        <v>3693</v>
      </c>
      <c r="EFE1" s="3" t="s">
        <v>3694</v>
      </c>
      <c r="EFF1" s="3" t="s">
        <v>3695</v>
      </c>
      <c r="EFG1" s="3" t="s">
        <v>3696</v>
      </c>
      <c r="EFH1" s="3" t="s">
        <v>3697</v>
      </c>
      <c r="EFI1" s="3" t="s">
        <v>3698</v>
      </c>
      <c r="EFJ1" s="3" t="s">
        <v>3699</v>
      </c>
      <c r="EFK1" s="3" t="s">
        <v>3700</v>
      </c>
      <c r="EFL1" s="3" t="s">
        <v>3701</v>
      </c>
      <c r="EFM1" s="3" t="s">
        <v>3702</v>
      </c>
      <c r="EFN1" s="3" t="s">
        <v>3703</v>
      </c>
      <c r="EFO1" s="3" t="s">
        <v>3704</v>
      </c>
      <c r="EFP1" s="3" t="s">
        <v>3705</v>
      </c>
      <c r="EFQ1" s="3" t="s">
        <v>3706</v>
      </c>
      <c r="EFR1" s="3" t="s">
        <v>3707</v>
      </c>
      <c r="EFS1" s="3" t="s">
        <v>3708</v>
      </c>
      <c r="EFT1" s="3" t="s">
        <v>3709</v>
      </c>
      <c r="EFU1" s="3" t="s">
        <v>3710</v>
      </c>
      <c r="EFV1" s="3" t="s">
        <v>3711</v>
      </c>
      <c r="EFW1" s="3" t="s">
        <v>3712</v>
      </c>
      <c r="EFX1" s="3" t="s">
        <v>3713</v>
      </c>
      <c r="EFY1" s="3" t="s">
        <v>3714</v>
      </c>
      <c r="EFZ1" s="3" t="s">
        <v>3715</v>
      </c>
      <c r="EGA1" s="3" t="s">
        <v>3716</v>
      </c>
      <c r="EGB1" s="3" t="s">
        <v>3717</v>
      </c>
      <c r="EGC1" s="3" t="s">
        <v>3718</v>
      </c>
      <c r="EGD1" s="3" t="s">
        <v>3719</v>
      </c>
      <c r="EGE1" s="3" t="s">
        <v>3720</v>
      </c>
      <c r="EGF1" s="3" t="s">
        <v>3721</v>
      </c>
      <c r="EGG1" s="3" t="s">
        <v>3722</v>
      </c>
      <c r="EGH1" s="3" t="s">
        <v>3723</v>
      </c>
      <c r="EGI1" s="3" t="s">
        <v>3724</v>
      </c>
      <c r="EGJ1" s="3" t="s">
        <v>3725</v>
      </c>
      <c r="EGK1" s="3" t="s">
        <v>3726</v>
      </c>
      <c r="EGL1" s="3" t="s">
        <v>3727</v>
      </c>
      <c r="EGM1" s="3" t="s">
        <v>3728</v>
      </c>
      <c r="EGN1" s="3" t="s">
        <v>3729</v>
      </c>
      <c r="EGO1" s="3" t="s">
        <v>3730</v>
      </c>
      <c r="EGP1" s="3" t="s">
        <v>3731</v>
      </c>
      <c r="EGQ1" s="3" t="s">
        <v>3732</v>
      </c>
      <c r="EGR1" s="3" t="s">
        <v>3733</v>
      </c>
      <c r="EGS1" s="3" t="s">
        <v>3734</v>
      </c>
      <c r="EGT1" s="3" t="s">
        <v>3735</v>
      </c>
      <c r="EGU1" s="3" t="s">
        <v>3736</v>
      </c>
      <c r="EGV1" s="3" t="s">
        <v>3737</v>
      </c>
      <c r="EGW1" s="3" t="s">
        <v>3738</v>
      </c>
      <c r="EGX1" s="3" t="s">
        <v>3739</v>
      </c>
      <c r="EGY1" s="3" t="s">
        <v>3740</v>
      </c>
      <c r="EGZ1" s="3" t="s">
        <v>3741</v>
      </c>
      <c r="EHA1" s="3" t="s">
        <v>3742</v>
      </c>
      <c r="EHB1" s="3" t="s">
        <v>3743</v>
      </c>
      <c r="EHC1" s="3" t="s">
        <v>3744</v>
      </c>
      <c r="EHD1" s="3" t="s">
        <v>3745</v>
      </c>
      <c r="EHE1" s="3" t="s">
        <v>3746</v>
      </c>
      <c r="EHF1" s="3" t="s">
        <v>3747</v>
      </c>
      <c r="EHG1" s="3" t="s">
        <v>3748</v>
      </c>
      <c r="EHH1" s="3" t="s">
        <v>3749</v>
      </c>
      <c r="EHI1" s="3" t="s">
        <v>3750</v>
      </c>
      <c r="EHJ1" s="3" t="s">
        <v>3751</v>
      </c>
      <c r="EHK1" s="3" t="s">
        <v>3752</v>
      </c>
      <c r="EHL1" s="3" t="s">
        <v>3753</v>
      </c>
      <c r="EHM1" s="3" t="s">
        <v>3754</v>
      </c>
      <c r="EHN1" s="3" t="s">
        <v>3755</v>
      </c>
      <c r="EHO1" s="3" t="s">
        <v>3756</v>
      </c>
      <c r="EHP1" s="3" t="s">
        <v>3757</v>
      </c>
      <c r="EHQ1" s="3" t="s">
        <v>3758</v>
      </c>
      <c r="EHR1" s="3" t="s">
        <v>3759</v>
      </c>
      <c r="EHS1" s="3" t="s">
        <v>3760</v>
      </c>
      <c r="EHT1" s="3" t="s">
        <v>3761</v>
      </c>
      <c r="EHU1" s="3" t="s">
        <v>3762</v>
      </c>
      <c r="EHV1" s="3" t="s">
        <v>3763</v>
      </c>
      <c r="EHW1" s="3" t="s">
        <v>3764</v>
      </c>
      <c r="EHX1" s="3" t="s">
        <v>3765</v>
      </c>
      <c r="EHY1" s="3" t="s">
        <v>3766</v>
      </c>
      <c r="EHZ1" s="3" t="s">
        <v>3767</v>
      </c>
      <c r="EIA1" s="3" t="s">
        <v>3768</v>
      </c>
      <c r="EIB1" s="3" t="s">
        <v>3769</v>
      </c>
      <c r="EIC1" s="3" t="s">
        <v>3770</v>
      </c>
      <c r="EID1" s="3" t="s">
        <v>3771</v>
      </c>
      <c r="EIE1" s="3" t="s">
        <v>3772</v>
      </c>
      <c r="EIF1" s="3" t="s">
        <v>3773</v>
      </c>
      <c r="EIG1" s="3" t="s">
        <v>3774</v>
      </c>
      <c r="EIH1" s="3" t="s">
        <v>3775</v>
      </c>
      <c r="EII1" s="3" t="s">
        <v>3776</v>
      </c>
      <c r="EIJ1" s="3" t="s">
        <v>3777</v>
      </c>
      <c r="EIK1" s="3" t="s">
        <v>3778</v>
      </c>
      <c r="EIL1" s="3" t="s">
        <v>3779</v>
      </c>
      <c r="EIM1" s="3" t="s">
        <v>3780</v>
      </c>
      <c r="EIN1" s="3" t="s">
        <v>3781</v>
      </c>
      <c r="EIO1" s="3" t="s">
        <v>3782</v>
      </c>
      <c r="EIP1" s="3" t="s">
        <v>3783</v>
      </c>
      <c r="EIQ1" s="3" t="s">
        <v>3784</v>
      </c>
      <c r="EIR1" s="3" t="s">
        <v>3785</v>
      </c>
      <c r="EIS1" s="3" t="s">
        <v>3786</v>
      </c>
      <c r="EIT1" s="3" t="s">
        <v>3787</v>
      </c>
      <c r="EIU1" s="3" t="s">
        <v>3788</v>
      </c>
      <c r="EIV1" s="3" t="s">
        <v>3789</v>
      </c>
      <c r="EIW1" s="3" t="s">
        <v>3790</v>
      </c>
      <c r="EIX1" s="3" t="s">
        <v>3791</v>
      </c>
      <c r="EIY1" s="3" t="s">
        <v>3792</v>
      </c>
      <c r="EIZ1" s="3" t="s">
        <v>3793</v>
      </c>
      <c r="EJA1" s="3" t="s">
        <v>3794</v>
      </c>
      <c r="EJB1" s="3" t="s">
        <v>3795</v>
      </c>
      <c r="EJC1" s="3" t="s">
        <v>3796</v>
      </c>
      <c r="EJD1" s="3" t="s">
        <v>3797</v>
      </c>
      <c r="EJE1" s="3" t="s">
        <v>3798</v>
      </c>
      <c r="EJF1" s="3" t="s">
        <v>3799</v>
      </c>
      <c r="EJG1" s="3" t="s">
        <v>3800</v>
      </c>
      <c r="EJH1" s="3" t="s">
        <v>3801</v>
      </c>
      <c r="EJI1" s="3" t="s">
        <v>3802</v>
      </c>
      <c r="EJJ1" s="3" t="s">
        <v>3803</v>
      </c>
      <c r="EJK1" s="3" t="s">
        <v>3804</v>
      </c>
      <c r="EJL1" s="3" t="s">
        <v>3805</v>
      </c>
      <c r="EJM1" s="3" t="s">
        <v>3806</v>
      </c>
      <c r="EJN1" s="3" t="s">
        <v>3807</v>
      </c>
      <c r="EJO1" s="3" t="s">
        <v>3808</v>
      </c>
      <c r="EJP1" s="3" t="s">
        <v>3809</v>
      </c>
      <c r="EJQ1" s="3" t="s">
        <v>3810</v>
      </c>
      <c r="EJR1" s="3" t="s">
        <v>3811</v>
      </c>
      <c r="EJS1" s="3" t="s">
        <v>3812</v>
      </c>
      <c r="EJT1" s="3" t="s">
        <v>3813</v>
      </c>
      <c r="EJU1" s="3" t="s">
        <v>3814</v>
      </c>
      <c r="EJV1" s="3" t="s">
        <v>3815</v>
      </c>
      <c r="EJW1" s="3" t="s">
        <v>3816</v>
      </c>
      <c r="EJX1" s="3" t="s">
        <v>3817</v>
      </c>
      <c r="EJY1" s="3" t="s">
        <v>3818</v>
      </c>
      <c r="EJZ1" s="3" t="s">
        <v>3819</v>
      </c>
      <c r="EKA1" s="3" t="s">
        <v>3820</v>
      </c>
      <c r="EKB1" s="3" t="s">
        <v>3821</v>
      </c>
      <c r="EKC1" s="3" t="s">
        <v>3822</v>
      </c>
      <c r="EKD1" s="3" t="s">
        <v>3823</v>
      </c>
      <c r="EKE1" s="3" t="s">
        <v>3824</v>
      </c>
      <c r="EKF1" s="3" t="s">
        <v>3825</v>
      </c>
      <c r="EKG1" s="3" t="s">
        <v>3826</v>
      </c>
      <c r="EKH1" s="3" t="s">
        <v>3827</v>
      </c>
      <c r="EKI1" s="3" t="s">
        <v>3828</v>
      </c>
      <c r="EKJ1" s="3" t="s">
        <v>3829</v>
      </c>
      <c r="EKK1" s="3" t="s">
        <v>3830</v>
      </c>
      <c r="EKL1" s="3" t="s">
        <v>3831</v>
      </c>
      <c r="EKM1" s="3" t="s">
        <v>3832</v>
      </c>
      <c r="EKN1" s="3" t="s">
        <v>3833</v>
      </c>
      <c r="EKO1" s="3" t="s">
        <v>3834</v>
      </c>
      <c r="EKP1" s="3" t="s">
        <v>3835</v>
      </c>
      <c r="EKQ1" s="3" t="s">
        <v>3836</v>
      </c>
      <c r="EKR1" s="3" t="s">
        <v>3837</v>
      </c>
      <c r="EKS1" s="3" t="s">
        <v>3838</v>
      </c>
      <c r="EKT1" s="3" t="s">
        <v>3839</v>
      </c>
      <c r="EKU1" s="3" t="s">
        <v>3840</v>
      </c>
      <c r="EKV1" s="3" t="s">
        <v>3841</v>
      </c>
      <c r="EKW1" s="3" t="s">
        <v>3842</v>
      </c>
      <c r="EKX1" s="3" t="s">
        <v>3843</v>
      </c>
      <c r="EKY1" s="3" t="s">
        <v>3844</v>
      </c>
      <c r="EKZ1" s="3" t="s">
        <v>3845</v>
      </c>
      <c r="ELA1" s="3" t="s">
        <v>3846</v>
      </c>
      <c r="ELB1" s="3" t="s">
        <v>3847</v>
      </c>
      <c r="ELC1" s="3" t="s">
        <v>3848</v>
      </c>
      <c r="ELD1" s="3" t="s">
        <v>3849</v>
      </c>
      <c r="ELE1" s="3" t="s">
        <v>3850</v>
      </c>
      <c r="ELF1" s="3" t="s">
        <v>3851</v>
      </c>
      <c r="ELG1" s="3" t="s">
        <v>3852</v>
      </c>
      <c r="ELH1" s="3" t="s">
        <v>3853</v>
      </c>
      <c r="ELI1" s="3" t="s">
        <v>3854</v>
      </c>
      <c r="ELJ1" s="3" t="s">
        <v>3855</v>
      </c>
      <c r="ELK1" s="3" t="s">
        <v>3856</v>
      </c>
      <c r="ELL1" s="3" t="s">
        <v>3857</v>
      </c>
      <c r="ELM1" s="3" t="s">
        <v>3858</v>
      </c>
      <c r="ELN1" s="3" t="s">
        <v>3859</v>
      </c>
      <c r="ELO1" s="3" t="s">
        <v>3860</v>
      </c>
      <c r="ELP1" s="3" t="s">
        <v>3861</v>
      </c>
      <c r="ELQ1" s="3" t="s">
        <v>3862</v>
      </c>
      <c r="ELR1" s="3" t="s">
        <v>3863</v>
      </c>
      <c r="ELS1" s="3" t="s">
        <v>3864</v>
      </c>
      <c r="ELT1" s="3" t="s">
        <v>3865</v>
      </c>
      <c r="ELU1" s="3" t="s">
        <v>3866</v>
      </c>
      <c r="ELV1" s="3" t="s">
        <v>3867</v>
      </c>
      <c r="ELW1" s="3" t="s">
        <v>3868</v>
      </c>
      <c r="ELX1" s="3" t="s">
        <v>3869</v>
      </c>
      <c r="ELY1" s="3" t="s">
        <v>3870</v>
      </c>
      <c r="ELZ1" s="3" t="s">
        <v>3871</v>
      </c>
      <c r="EMA1" s="3" t="s">
        <v>3872</v>
      </c>
      <c r="EMB1" s="3" t="s">
        <v>3873</v>
      </c>
      <c r="EMC1" s="3" t="s">
        <v>3874</v>
      </c>
      <c r="EMD1" s="3" t="s">
        <v>3875</v>
      </c>
      <c r="EME1" s="3" t="s">
        <v>3876</v>
      </c>
      <c r="EMF1" s="3" t="s">
        <v>3877</v>
      </c>
      <c r="EMG1" s="3" t="s">
        <v>3878</v>
      </c>
      <c r="EMH1" s="3" t="s">
        <v>3879</v>
      </c>
      <c r="EMI1" s="3" t="s">
        <v>3880</v>
      </c>
      <c r="EMJ1" s="3" t="s">
        <v>3881</v>
      </c>
      <c r="EMK1" s="3" t="s">
        <v>3882</v>
      </c>
      <c r="EML1" s="3" t="s">
        <v>3883</v>
      </c>
      <c r="EMM1" s="3" t="s">
        <v>3884</v>
      </c>
      <c r="EMN1" s="3" t="s">
        <v>3885</v>
      </c>
      <c r="EMO1" s="3" t="s">
        <v>3886</v>
      </c>
      <c r="EMP1" s="3" t="s">
        <v>3887</v>
      </c>
      <c r="EMQ1" s="3" t="s">
        <v>3888</v>
      </c>
      <c r="EMR1" s="3" t="s">
        <v>3889</v>
      </c>
      <c r="EMS1" s="3" t="s">
        <v>3890</v>
      </c>
      <c r="EMT1" s="3" t="s">
        <v>3891</v>
      </c>
      <c r="EMU1" s="3" t="s">
        <v>3892</v>
      </c>
      <c r="EMV1" s="3" t="s">
        <v>3893</v>
      </c>
      <c r="EMW1" s="3" t="s">
        <v>3894</v>
      </c>
      <c r="EMX1" s="3" t="s">
        <v>3895</v>
      </c>
      <c r="EMY1" s="3" t="s">
        <v>3896</v>
      </c>
      <c r="EMZ1" s="3" t="s">
        <v>3897</v>
      </c>
      <c r="ENA1" s="3" t="s">
        <v>3898</v>
      </c>
      <c r="ENB1" s="3" t="s">
        <v>3899</v>
      </c>
      <c r="ENC1" s="3" t="s">
        <v>3900</v>
      </c>
      <c r="END1" s="3" t="s">
        <v>3901</v>
      </c>
      <c r="ENE1" s="3" t="s">
        <v>3902</v>
      </c>
      <c r="ENF1" s="3" t="s">
        <v>3903</v>
      </c>
      <c r="ENG1" s="3" t="s">
        <v>3904</v>
      </c>
      <c r="ENH1" s="3" t="s">
        <v>3905</v>
      </c>
      <c r="ENI1" s="3" t="s">
        <v>3906</v>
      </c>
      <c r="ENJ1" s="3" t="s">
        <v>3907</v>
      </c>
      <c r="ENK1" s="3" t="s">
        <v>3908</v>
      </c>
      <c r="ENL1" s="3" t="s">
        <v>3909</v>
      </c>
      <c r="ENM1" s="3" t="s">
        <v>3910</v>
      </c>
      <c r="ENN1" s="3" t="s">
        <v>3911</v>
      </c>
      <c r="ENO1" s="3" t="s">
        <v>3912</v>
      </c>
      <c r="ENP1" s="3" t="s">
        <v>3913</v>
      </c>
      <c r="ENQ1" s="3" t="s">
        <v>3914</v>
      </c>
      <c r="ENR1" s="3" t="s">
        <v>3915</v>
      </c>
      <c r="ENS1" s="3" t="s">
        <v>3916</v>
      </c>
      <c r="ENT1" s="3" t="s">
        <v>3917</v>
      </c>
      <c r="ENU1" s="3" t="s">
        <v>3918</v>
      </c>
      <c r="ENV1" s="3" t="s">
        <v>3919</v>
      </c>
      <c r="ENW1" s="3" t="s">
        <v>3920</v>
      </c>
      <c r="ENX1" s="3" t="s">
        <v>3921</v>
      </c>
      <c r="ENY1" s="3" t="s">
        <v>3922</v>
      </c>
      <c r="ENZ1" s="3" t="s">
        <v>3923</v>
      </c>
      <c r="EOA1" s="3" t="s">
        <v>3924</v>
      </c>
      <c r="EOB1" s="3" t="s">
        <v>3925</v>
      </c>
      <c r="EOC1" s="3" t="s">
        <v>3926</v>
      </c>
      <c r="EOD1" s="3" t="s">
        <v>3927</v>
      </c>
      <c r="EOE1" s="3" t="s">
        <v>3928</v>
      </c>
      <c r="EOF1" s="3" t="s">
        <v>3929</v>
      </c>
      <c r="EOG1" s="3" t="s">
        <v>3930</v>
      </c>
      <c r="EOH1" s="3" t="s">
        <v>3931</v>
      </c>
      <c r="EOI1" s="3" t="s">
        <v>3932</v>
      </c>
      <c r="EOJ1" s="3" t="s">
        <v>3933</v>
      </c>
      <c r="EOK1" s="3" t="s">
        <v>3934</v>
      </c>
      <c r="EOL1" s="3" t="s">
        <v>3935</v>
      </c>
      <c r="EOM1" s="3" t="s">
        <v>3936</v>
      </c>
      <c r="EON1" s="3" t="s">
        <v>3937</v>
      </c>
      <c r="EOO1" s="3" t="s">
        <v>3938</v>
      </c>
      <c r="EOP1" s="3" t="s">
        <v>3939</v>
      </c>
      <c r="EOQ1" s="3" t="s">
        <v>3940</v>
      </c>
      <c r="EOR1" s="3" t="s">
        <v>3941</v>
      </c>
      <c r="EOS1" s="3" t="s">
        <v>3942</v>
      </c>
      <c r="EOT1" s="3" t="s">
        <v>3943</v>
      </c>
      <c r="EOU1" s="3" t="s">
        <v>3944</v>
      </c>
      <c r="EOV1" s="3" t="s">
        <v>3945</v>
      </c>
      <c r="EOW1" s="3" t="s">
        <v>3946</v>
      </c>
      <c r="EOX1" s="3" t="s">
        <v>3947</v>
      </c>
      <c r="EOY1" s="3" t="s">
        <v>3948</v>
      </c>
      <c r="EOZ1" s="3" t="s">
        <v>3949</v>
      </c>
      <c r="EPA1" s="3" t="s">
        <v>3950</v>
      </c>
      <c r="EPB1" s="3" t="s">
        <v>3951</v>
      </c>
      <c r="EPC1" s="3" t="s">
        <v>3952</v>
      </c>
      <c r="EPD1" s="3" t="s">
        <v>3953</v>
      </c>
      <c r="EPE1" s="3" t="s">
        <v>3954</v>
      </c>
      <c r="EPF1" s="3" t="s">
        <v>3955</v>
      </c>
      <c r="EPG1" s="3" t="s">
        <v>3956</v>
      </c>
      <c r="EPH1" s="3" t="s">
        <v>3957</v>
      </c>
      <c r="EPI1" s="3" t="s">
        <v>3958</v>
      </c>
      <c r="EPJ1" s="3" t="s">
        <v>3959</v>
      </c>
      <c r="EPK1" s="3" t="s">
        <v>3960</v>
      </c>
      <c r="EPL1" s="3" t="s">
        <v>3961</v>
      </c>
      <c r="EPM1" s="3" t="s">
        <v>3962</v>
      </c>
      <c r="EPN1" s="3" t="s">
        <v>3963</v>
      </c>
      <c r="EPO1" s="3" t="s">
        <v>3964</v>
      </c>
      <c r="EPP1" s="3" t="s">
        <v>3965</v>
      </c>
      <c r="EPQ1" s="3" t="s">
        <v>3966</v>
      </c>
      <c r="EPR1" s="3" t="s">
        <v>3967</v>
      </c>
      <c r="EPS1" s="3" t="s">
        <v>3968</v>
      </c>
      <c r="EPT1" s="3" t="s">
        <v>3969</v>
      </c>
      <c r="EPU1" s="3" t="s">
        <v>3970</v>
      </c>
      <c r="EPV1" s="3" t="s">
        <v>3971</v>
      </c>
      <c r="EPW1" s="3" t="s">
        <v>3972</v>
      </c>
      <c r="EPX1" s="3" t="s">
        <v>3973</v>
      </c>
      <c r="EPY1" s="3" t="s">
        <v>3974</v>
      </c>
      <c r="EPZ1" s="3" t="s">
        <v>3975</v>
      </c>
      <c r="EQA1" s="3" t="s">
        <v>3976</v>
      </c>
      <c r="EQB1" s="3" t="s">
        <v>3977</v>
      </c>
      <c r="EQC1" s="3" t="s">
        <v>3978</v>
      </c>
      <c r="EQD1" s="3" t="s">
        <v>3979</v>
      </c>
      <c r="EQE1" s="3" t="s">
        <v>3980</v>
      </c>
      <c r="EQF1" s="3" t="s">
        <v>3981</v>
      </c>
      <c r="EQG1" s="3" t="s">
        <v>3982</v>
      </c>
      <c r="EQH1" s="3" t="s">
        <v>3983</v>
      </c>
      <c r="EQI1" s="3" t="s">
        <v>3984</v>
      </c>
      <c r="EQJ1" s="3" t="s">
        <v>3985</v>
      </c>
      <c r="EQK1" s="3" t="s">
        <v>3986</v>
      </c>
      <c r="EQL1" s="3" t="s">
        <v>3987</v>
      </c>
      <c r="EQM1" s="3" t="s">
        <v>3988</v>
      </c>
      <c r="EQN1" s="3" t="s">
        <v>3989</v>
      </c>
      <c r="EQO1" s="3" t="s">
        <v>3990</v>
      </c>
      <c r="EQP1" s="3" t="s">
        <v>3991</v>
      </c>
      <c r="EQQ1" s="3" t="s">
        <v>3992</v>
      </c>
      <c r="EQR1" s="3" t="s">
        <v>3993</v>
      </c>
      <c r="EQS1" s="3" t="s">
        <v>3994</v>
      </c>
      <c r="EQT1" s="3" t="s">
        <v>3995</v>
      </c>
      <c r="EQU1" s="3" t="s">
        <v>3996</v>
      </c>
      <c r="EQV1" s="3" t="s">
        <v>3997</v>
      </c>
      <c r="EQW1" s="3" t="s">
        <v>3998</v>
      </c>
      <c r="EQX1" s="3" t="s">
        <v>3999</v>
      </c>
      <c r="EQY1" s="3" t="s">
        <v>4000</v>
      </c>
      <c r="EQZ1" s="3" t="s">
        <v>4001</v>
      </c>
      <c r="ERA1" s="3" t="s">
        <v>4002</v>
      </c>
      <c r="ERB1" s="3" t="s">
        <v>4003</v>
      </c>
      <c r="ERC1" s="3" t="s">
        <v>4004</v>
      </c>
      <c r="ERD1" s="3" t="s">
        <v>4005</v>
      </c>
      <c r="ERE1" s="3" t="s">
        <v>4006</v>
      </c>
      <c r="ERF1" s="3" t="s">
        <v>4007</v>
      </c>
      <c r="ERG1" s="3" t="s">
        <v>4008</v>
      </c>
      <c r="ERH1" s="3" t="s">
        <v>4009</v>
      </c>
      <c r="ERI1" s="3" t="s">
        <v>4010</v>
      </c>
      <c r="ERJ1" s="3" t="s">
        <v>4011</v>
      </c>
      <c r="ERK1" s="3" t="s">
        <v>4012</v>
      </c>
      <c r="ERL1" s="3" t="s">
        <v>4013</v>
      </c>
      <c r="ERM1" s="3" t="s">
        <v>4014</v>
      </c>
      <c r="ERN1" s="3" t="s">
        <v>4015</v>
      </c>
      <c r="ERO1" s="3" t="s">
        <v>4016</v>
      </c>
      <c r="ERP1" s="3" t="s">
        <v>4017</v>
      </c>
      <c r="ERQ1" s="3" t="s">
        <v>4018</v>
      </c>
      <c r="ERR1" s="3" t="s">
        <v>4019</v>
      </c>
      <c r="ERS1" s="3" t="s">
        <v>4020</v>
      </c>
      <c r="ERT1" s="3" t="s">
        <v>4021</v>
      </c>
      <c r="ERU1" s="3" t="s">
        <v>4022</v>
      </c>
      <c r="ERV1" s="3" t="s">
        <v>4023</v>
      </c>
      <c r="ERW1" s="3" t="s">
        <v>4024</v>
      </c>
      <c r="ERX1" s="3" t="s">
        <v>4025</v>
      </c>
      <c r="ERY1" s="3" t="s">
        <v>4026</v>
      </c>
      <c r="ERZ1" s="3" t="s">
        <v>4027</v>
      </c>
      <c r="ESA1" s="3" t="s">
        <v>4028</v>
      </c>
      <c r="ESB1" s="3" t="s">
        <v>4029</v>
      </c>
      <c r="ESC1" s="3" t="s">
        <v>4030</v>
      </c>
      <c r="ESD1" s="3" t="s">
        <v>4031</v>
      </c>
      <c r="ESE1" s="3" t="s">
        <v>4032</v>
      </c>
      <c r="ESF1" s="3" t="s">
        <v>4033</v>
      </c>
      <c r="ESG1" s="3" t="s">
        <v>4034</v>
      </c>
      <c r="ESH1" s="3" t="s">
        <v>4035</v>
      </c>
      <c r="ESI1" s="3" t="s">
        <v>4036</v>
      </c>
      <c r="ESJ1" s="3" t="s">
        <v>4037</v>
      </c>
      <c r="ESK1" s="3" t="s">
        <v>4038</v>
      </c>
      <c r="ESL1" s="3" t="s">
        <v>4039</v>
      </c>
      <c r="ESM1" s="3" t="s">
        <v>4040</v>
      </c>
      <c r="ESN1" s="3" t="s">
        <v>4041</v>
      </c>
      <c r="ESO1" s="3" t="s">
        <v>4042</v>
      </c>
      <c r="ESP1" s="3" t="s">
        <v>4043</v>
      </c>
      <c r="ESQ1" s="3" t="s">
        <v>4044</v>
      </c>
      <c r="ESR1" s="3" t="s">
        <v>4045</v>
      </c>
      <c r="ESS1" s="3" t="s">
        <v>4046</v>
      </c>
      <c r="EST1" s="3" t="s">
        <v>4047</v>
      </c>
      <c r="ESU1" s="3" t="s">
        <v>4048</v>
      </c>
      <c r="ESV1" s="3" t="s">
        <v>4049</v>
      </c>
      <c r="ESW1" s="3" t="s">
        <v>4050</v>
      </c>
      <c r="ESX1" s="3" t="s">
        <v>4051</v>
      </c>
      <c r="ESY1" s="3" t="s">
        <v>4052</v>
      </c>
      <c r="ESZ1" s="3" t="s">
        <v>4053</v>
      </c>
      <c r="ETA1" s="3" t="s">
        <v>4054</v>
      </c>
      <c r="ETB1" s="3" t="s">
        <v>4055</v>
      </c>
      <c r="ETC1" s="3" t="s">
        <v>4056</v>
      </c>
      <c r="ETD1" s="3" t="s">
        <v>4057</v>
      </c>
      <c r="ETE1" s="3" t="s">
        <v>4058</v>
      </c>
      <c r="ETF1" s="3" t="s">
        <v>4059</v>
      </c>
      <c r="ETG1" s="3" t="s">
        <v>4060</v>
      </c>
      <c r="ETH1" s="3" t="s">
        <v>4061</v>
      </c>
      <c r="ETI1" s="3" t="s">
        <v>4062</v>
      </c>
      <c r="ETJ1" s="3" t="s">
        <v>4063</v>
      </c>
      <c r="ETK1" s="3" t="s">
        <v>4064</v>
      </c>
      <c r="ETL1" s="3" t="s">
        <v>4065</v>
      </c>
      <c r="ETM1" s="3" t="s">
        <v>4066</v>
      </c>
      <c r="ETN1" s="3" t="s">
        <v>4067</v>
      </c>
      <c r="ETO1" s="3" t="s">
        <v>4068</v>
      </c>
      <c r="ETP1" s="3" t="s">
        <v>4069</v>
      </c>
      <c r="ETQ1" s="3" t="s">
        <v>4070</v>
      </c>
      <c r="ETR1" s="3" t="s">
        <v>4071</v>
      </c>
      <c r="ETS1" s="3" t="s">
        <v>4072</v>
      </c>
      <c r="ETT1" s="3" t="s">
        <v>4073</v>
      </c>
      <c r="ETU1" s="3" t="s">
        <v>4074</v>
      </c>
      <c r="ETV1" s="3" t="s">
        <v>4075</v>
      </c>
      <c r="ETW1" s="3" t="s">
        <v>4076</v>
      </c>
      <c r="ETX1" s="3" t="s">
        <v>4077</v>
      </c>
      <c r="ETY1" s="3" t="s">
        <v>4078</v>
      </c>
      <c r="ETZ1" s="3" t="s">
        <v>4079</v>
      </c>
      <c r="EUA1" s="3" t="s">
        <v>4080</v>
      </c>
      <c r="EUB1" s="3" t="s">
        <v>4081</v>
      </c>
      <c r="EUC1" s="3" t="s">
        <v>4082</v>
      </c>
      <c r="EUD1" s="3" t="s">
        <v>4083</v>
      </c>
      <c r="EUE1" s="3" t="s">
        <v>4084</v>
      </c>
      <c r="EUF1" s="3" t="s">
        <v>4085</v>
      </c>
      <c r="EUG1" s="3" t="s">
        <v>4086</v>
      </c>
      <c r="EUH1" s="3" t="s">
        <v>4087</v>
      </c>
      <c r="EUI1" s="3" t="s">
        <v>4088</v>
      </c>
      <c r="EUJ1" s="3" t="s">
        <v>4089</v>
      </c>
      <c r="EUK1" s="3" t="s">
        <v>4090</v>
      </c>
      <c r="EUL1" s="3" t="s">
        <v>4091</v>
      </c>
      <c r="EUM1" s="3" t="s">
        <v>4092</v>
      </c>
      <c r="EUN1" s="3" t="s">
        <v>4093</v>
      </c>
      <c r="EUO1" s="3" t="s">
        <v>4094</v>
      </c>
      <c r="EUP1" s="3" t="s">
        <v>4095</v>
      </c>
      <c r="EUQ1" s="3" t="s">
        <v>4096</v>
      </c>
      <c r="EUR1" s="3" t="s">
        <v>4097</v>
      </c>
      <c r="EUS1" s="3" t="s">
        <v>4098</v>
      </c>
      <c r="EUT1" s="3" t="s">
        <v>4099</v>
      </c>
      <c r="EUU1" s="3" t="s">
        <v>4100</v>
      </c>
      <c r="EUV1" s="3" t="s">
        <v>4101</v>
      </c>
      <c r="EUW1" s="3" t="s">
        <v>4102</v>
      </c>
      <c r="EUX1" s="3" t="s">
        <v>4103</v>
      </c>
      <c r="EUY1" s="3" t="s">
        <v>4104</v>
      </c>
      <c r="EUZ1" s="3" t="s">
        <v>4105</v>
      </c>
      <c r="EVA1" s="3" t="s">
        <v>4106</v>
      </c>
      <c r="EVB1" s="3" t="s">
        <v>4107</v>
      </c>
      <c r="EVC1" s="3" t="s">
        <v>4108</v>
      </c>
      <c r="EVD1" s="3" t="s">
        <v>4109</v>
      </c>
      <c r="EVE1" s="3" t="s">
        <v>4110</v>
      </c>
      <c r="EVF1" s="3" t="s">
        <v>4111</v>
      </c>
      <c r="EVG1" s="3" t="s">
        <v>4112</v>
      </c>
      <c r="EVH1" s="3" t="s">
        <v>4113</v>
      </c>
      <c r="EVI1" s="3" t="s">
        <v>4114</v>
      </c>
      <c r="EVJ1" s="3" t="s">
        <v>4115</v>
      </c>
      <c r="EVK1" s="3" t="s">
        <v>4116</v>
      </c>
      <c r="EVL1" s="3" t="s">
        <v>4117</v>
      </c>
      <c r="EVM1" s="3" t="s">
        <v>4118</v>
      </c>
      <c r="EVN1" s="3" t="s">
        <v>4119</v>
      </c>
      <c r="EVO1" s="3" t="s">
        <v>4120</v>
      </c>
      <c r="EVP1" s="3" t="s">
        <v>4121</v>
      </c>
      <c r="EVQ1" s="3" t="s">
        <v>4122</v>
      </c>
      <c r="EVR1" s="3" t="s">
        <v>4123</v>
      </c>
      <c r="EVS1" s="3" t="s">
        <v>4124</v>
      </c>
      <c r="EVT1" s="3" t="s">
        <v>4125</v>
      </c>
      <c r="EVU1" s="3" t="s">
        <v>4126</v>
      </c>
      <c r="EVV1" s="3" t="s">
        <v>4127</v>
      </c>
      <c r="EVW1" s="3" t="s">
        <v>4128</v>
      </c>
      <c r="EVX1" s="3" t="s">
        <v>4129</v>
      </c>
      <c r="EVY1" s="3" t="s">
        <v>4130</v>
      </c>
      <c r="EVZ1" s="3" t="s">
        <v>4131</v>
      </c>
      <c r="EWA1" s="3" t="s">
        <v>4132</v>
      </c>
      <c r="EWB1" s="3" t="s">
        <v>4133</v>
      </c>
      <c r="EWC1" s="3" t="s">
        <v>4134</v>
      </c>
      <c r="EWD1" s="3" t="s">
        <v>4135</v>
      </c>
      <c r="EWE1" s="3" t="s">
        <v>4136</v>
      </c>
      <c r="EWF1" s="3" t="s">
        <v>4137</v>
      </c>
      <c r="EWG1" s="3" t="s">
        <v>4138</v>
      </c>
      <c r="EWH1" s="3" t="s">
        <v>4139</v>
      </c>
      <c r="EWI1" s="3" t="s">
        <v>4140</v>
      </c>
      <c r="EWJ1" s="3" t="s">
        <v>4141</v>
      </c>
      <c r="EWK1" s="3" t="s">
        <v>4142</v>
      </c>
      <c r="EWL1" s="3" t="s">
        <v>4143</v>
      </c>
      <c r="EWM1" s="3" t="s">
        <v>4144</v>
      </c>
      <c r="EWN1" s="3" t="s">
        <v>4145</v>
      </c>
      <c r="EWO1" s="3" t="s">
        <v>4146</v>
      </c>
      <c r="EWP1" s="3" t="s">
        <v>4147</v>
      </c>
      <c r="EWQ1" s="3" t="s">
        <v>4148</v>
      </c>
      <c r="EWR1" s="3" t="s">
        <v>4149</v>
      </c>
      <c r="EWS1" s="3" t="s">
        <v>4150</v>
      </c>
      <c r="EWT1" s="3" t="s">
        <v>4151</v>
      </c>
      <c r="EWU1" s="3" t="s">
        <v>4152</v>
      </c>
      <c r="EWV1" s="3" t="s">
        <v>4153</v>
      </c>
      <c r="EWW1" s="3" t="s">
        <v>4154</v>
      </c>
      <c r="EWX1" s="3" t="s">
        <v>4155</v>
      </c>
      <c r="EWY1" s="3" t="s">
        <v>4156</v>
      </c>
      <c r="EWZ1" s="3" t="s">
        <v>4157</v>
      </c>
      <c r="EXA1" s="3" t="s">
        <v>4158</v>
      </c>
      <c r="EXB1" s="3" t="s">
        <v>4159</v>
      </c>
      <c r="EXC1" s="3" t="s">
        <v>4160</v>
      </c>
      <c r="EXD1" s="3" t="s">
        <v>4161</v>
      </c>
      <c r="EXE1" s="3" t="s">
        <v>4162</v>
      </c>
      <c r="EXF1" s="3" t="s">
        <v>4163</v>
      </c>
      <c r="EXG1" s="3" t="s">
        <v>4164</v>
      </c>
      <c r="EXH1" s="3" t="s">
        <v>4165</v>
      </c>
      <c r="EXI1" s="3" t="s">
        <v>4166</v>
      </c>
      <c r="EXJ1" s="3" t="s">
        <v>4167</v>
      </c>
      <c r="EXK1" s="3" t="s">
        <v>4168</v>
      </c>
      <c r="EXL1" s="3" t="s">
        <v>4169</v>
      </c>
      <c r="EXM1" s="3" t="s">
        <v>4170</v>
      </c>
      <c r="EXN1" s="3" t="s">
        <v>4171</v>
      </c>
      <c r="EXO1" s="3" t="s">
        <v>4172</v>
      </c>
      <c r="EXP1" s="3" t="s">
        <v>4173</v>
      </c>
      <c r="EXQ1" s="3" t="s">
        <v>4174</v>
      </c>
      <c r="EXR1" s="3" t="s">
        <v>4175</v>
      </c>
      <c r="EXS1" s="3" t="s">
        <v>4176</v>
      </c>
      <c r="EXT1" s="3" t="s">
        <v>4177</v>
      </c>
      <c r="EXU1" s="3" t="s">
        <v>4178</v>
      </c>
      <c r="EXV1" s="3" t="s">
        <v>4179</v>
      </c>
      <c r="EXW1" s="3" t="s">
        <v>4180</v>
      </c>
      <c r="EXX1" s="3" t="s">
        <v>4181</v>
      </c>
      <c r="EXY1" s="3" t="s">
        <v>4182</v>
      </c>
      <c r="EXZ1" s="3" t="s">
        <v>4183</v>
      </c>
      <c r="EYA1" s="3" t="s">
        <v>4184</v>
      </c>
      <c r="EYB1" s="3" t="s">
        <v>4185</v>
      </c>
      <c r="EYC1" s="3" t="s">
        <v>4186</v>
      </c>
      <c r="EYD1" s="3" t="s">
        <v>4187</v>
      </c>
      <c r="EYE1" s="3" t="s">
        <v>4188</v>
      </c>
      <c r="EYF1" s="3" t="s">
        <v>4189</v>
      </c>
      <c r="EYG1" s="3" t="s">
        <v>4190</v>
      </c>
      <c r="EYH1" s="3" t="s">
        <v>4191</v>
      </c>
      <c r="EYI1" s="3" t="s">
        <v>4192</v>
      </c>
      <c r="EYJ1" s="3" t="s">
        <v>4193</v>
      </c>
      <c r="EYK1" s="3" t="s">
        <v>4194</v>
      </c>
      <c r="EYL1" s="3" t="s">
        <v>4195</v>
      </c>
      <c r="EYM1" s="3" t="s">
        <v>4196</v>
      </c>
      <c r="EYN1" s="3" t="s">
        <v>4197</v>
      </c>
      <c r="EYO1" s="3" t="s">
        <v>4198</v>
      </c>
      <c r="EYP1" s="3" t="s">
        <v>4199</v>
      </c>
      <c r="EYQ1" s="3" t="s">
        <v>4200</v>
      </c>
      <c r="EYR1" s="3" t="s">
        <v>4201</v>
      </c>
      <c r="EYS1" s="3" t="s">
        <v>4202</v>
      </c>
      <c r="EYT1" s="3" t="s">
        <v>4203</v>
      </c>
      <c r="EYU1" s="3" t="s">
        <v>4204</v>
      </c>
      <c r="EYV1" s="3" t="s">
        <v>4205</v>
      </c>
      <c r="EYW1" s="3" t="s">
        <v>4206</v>
      </c>
      <c r="EYX1" s="3" t="s">
        <v>4207</v>
      </c>
      <c r="EYY1" s="3" t="s">
        <v>4208</v>
      </c>
      <c r="EYZ1" s="3" t="s">
        <v>4209</v>
      </c>
      <c r="EZA1" s="3" t="s">
        <v>4210</v>
      </c>
      <c r="EZB1" s="3" t="s">
        <v>4211</v>
      </c>
      <c r="EZC1" s="3" t="s">
        <v>4212</v>
      </c>
      <c r="EZD1" s="3" t="s">
        <v>4213</v>
      </c>
      <c r="EZE1" s="3" t="s">
        <v>4214</v>
      </c>
      <c r="EZF1" s="3" t="s">
        <v>4215</v>
      </c>
      <c r="EZG1" s="3" t="s">
        <v>4216</v>
      </c>
      <c r="EZH1" s="3" t="s">
        <v>4217</v>
      </c>
      <c r="EZI1" s="3" t="s">
        <v>4218</v>
      </c>
      <c r="EZJ1" s="3" t="s">
        <v>4219</v>
      </c>
      <c r="EZK1" s="3" t="s">
        <v>4220</v>
      </c>
      <c r="EZL1" s="3" t="s">
        <v>4221</v>
      </c>
      <c r="EZM1" s="3" t="s">
        <v>4222</v>
      </c>
      <c r="EZN1" s="3" t="s">
        <v>4223</v>
      </c>
      <c r="EZO1" s="3" t="s">
        <v>4224</v>
      </c>
      <c r="EZP1" s="3" t="s">
        <v>4225</v>
      </c>
      <c r="EZQ1" s="3" t="s">
        <v>4226</v>
      </c>
      <c r="EZR1" s="3" t="s">
        <v>4227</v>
      </c>
      <c r="EZS1" s="3" t="s">
        <v>4228</v>
      </c>
      <c r="EZT1" s="3" t="s">
        <v>4229</v>
      </c>
      <c r="EZU1" s="3" t="s">
        <v>4230</v>
      </c>
      <c r="EZV1" s="3" t="s">
        <v>4231</v>
      </c>
      <c r="EZW1" s="3" t="s">
        <v>4232</v>
      </c>
      <c r="EZX1" s="3" t="s">
        <v>4233</v>
      </c>
      <c r="EZY1" s="3" t="s">
        <v>4234</v>
      </c>
      <c r="EZZ1" s="3" t="s">
        <v>4235</v>
      </c>
      <c r="FAA1" s="3" t="s">
        <v>4236</v>
      </c>
      <c r="FAB1" s="3" t="s">
        <v>4237</v>
      </c>
      <c r="FAC1" s="3" t="s">
        <v>4238</v>
      </c>
      <c r="FAD1" s="3" t="s">
        <v>4239</v>
      </c>
      <c r="FAE1" s="3" t="s">
        <v>4240</v>
      </c>
      <c r="FAF1" s="3" t="s">
        <v>4241</v>
      </c>
      <c r="FAG1" s="3" t="s">
        <v>4242</v>
      </c>
      <c r="FAH1" s="3" t="s">
        <v>4243</v>
      </c>
      <c r="FAI1" s="3" t="s">
        <v>4244</v>
      </c>
      <c r="FAJ1" s="3" t="s">
        <v>4245</v>
      </c>
      <c r="FAK1" s="3" t="s">
        <v>4246</v>
      </c>
      <c r="FAL1" s="3" t="s">
        <v>4247</v>
      </c>
      <c r="FAM1" s="3" t="s">
        <v>4248</v>
      </c>
      <c r="FAN1" s="3" t="s">
        <v>4249</v>
      </c>
      <c r="FAO1" s="3" t="s">
        <v>4250</v>
      </c>
      <c r="FAP1" s="3" t="s">
        <v>4251</v>
      </c>
      <c r="FAQ1" s="3" t="s">
        <v>4252</v>
      </c>
      <c r="FAR1" s="3" t="s">
        <v>4253</v>
      </c>
      <c r="FAS1" s="3" t="s">
        <v>4254</v>
      </c>
      <c r="FAT1" s="3" t="s">
        <v>4255</v>
      </c>
      <c r="FAU1" s="3" t="s">
        <v>4256</v>
      </c>
      <c r="FAV1" s="3" t="s">
        <v>4257</v>
      </c>
      <c r="FAW1" s="3" t="s">
        <v>4258</v>
      </c>
      <c r="FAX1" s="3" t="s">
        <v>4259</v>
      </c>
      <c r="FAY1" s="3" t="s">
        <v>4260</v>
      </c>
      <c r="FAZ1" s="3" t="s">
        <v>4261</v>
      </c>
      <c r="FBA1" s="3" t="s">
        <v>4262</v>
      </c>
      <c r="FBB1" s="3" t="s">
        <v>4263</v>
      </c>
      <c r="FBC1" s="3" t="s">
        <v>4264</v>
      </c>
      <c r="FBD1" s="3" t="s">
        <v>4265</v>
      </c>
      <c r="FBE1" s="3" t="s">
        <v>4266</v>
      </c>
      <c r="FBF1" s="3" t="s">
        <v>4267</v>
      </c>
      <c r="FBG1" s="3" t="s">
        <v>4268</v>
      </c>
      <c r="FBH1" s="3" t="s">
        <v>4269</v>
      </c>
      <c r="FBI1" s="3" t="s">
        <v>4270</v>
      </c>
      <c r="FBJ1" s="3" t="s">
        <v>4271</v>
      </c>
      <c r="FBK1" s="3" t="s">
        <v>4272</v>
      </c>
      <c r="FBL1" s="3" t="s">
        <v>4273</v>
      </c>
      <c r="FBM1" s="3" t="s">
        <v>4274</v>
      </c>
      <c r="FBN1" s="3" t="s">
        <v>4275</v>
      </c>
      <c r="FBO1" s="3" t="s">
        <v>4276</v>
      </c>
      <c r="FBP1" s="3" t="s">
        <v>4277</v>
      </c>
      <c r="FBQ1" s="3" t="s">
        <v>4278</v>
      </c>
      <c r="FBR1" s="3" t="s">
        <v>4279</v>
      </c>
      <c r="FBS1" s="3" t="s">
        <v>4280</v>
      </c>
      <c r="FBT1" s="3" t="s">
        <v>4281</v>
      </c>
      <c r="FBU1" s="3" t="s">
        <v>4282</v>
      </c>
      <c r="FBV1" s="3" t="s">
        <v>4283</v>
      </c>
      <c r="FBW1" s="3" t="s">
        <v>4284</v>
      </c>
      <c r="FBX1" s="3" t="s">
        <v>4285</v>
      </c>
      <c r="FBY1" s="3" t="s">
        <v>4286</v>
      </c>
      <c r="FBZ1" s="3" t="s">
        <v>4287</v>
      </c>
      <c r="FCA1" s="3" t="s">
        <v>4288</v>
      </c>
      <c r="FCB1" s="3" t="s">
        <v>4289</v>
      </c>
      <c r="FCC1" s="3" t="s">
        <v>4290</v>
      </c>
      <c r="FCD1" s="3" t="s">
        <v>4291</v>
      </c>
      <c r="FCE1" s="3" t="s">
        <v>4292</v>
      </c>
      <c r="FCF1" s="3" t="s">
        <v>4293</v>
      </c>
      <c r="FCG1" s="3" t="s">
        <v>4294</v>
      </c>
      <c r="FCH1" s="3" t="s">
        <v>4295</v>
      </c>
      <c r="FCI1" s="3" t="s">
        <v>4296</v>
      </c>
      <c r="FCJ1" s="3" t="s">
        <v>4297</v>
      </c>
      <c r="FCK1" s="3" t="s">
        <v>4298</v>
      </c>
      <c r="FCL1" s="3" t="s">
        <v>4299</v>
      </c>
      <c r="FCM1" s="3" t="s">
        <v>4300</v>
      </c>
      <c r="FCN1" s="3" t="s">
        <v>4301</v>
      </c>
      <c r="FCO1" s="3" t="s">
        <v>4302</v>
      </c>
      <c r="FCP1" s="3" t="s">
        <v>4303</v>
      </c>
      <c r="FCQ1" s="3" t="s">
        <v>4304</v>
      </c>
      <c r="FCR1" s="3" t="s">
        <v>4305</v>
      </c>
      <c r="FCS1" s="3" t="s">
        <v>4306</v>
      </c>
      <c r="FCT1" s="3" t="s">
        <v>4307</v>
      </c>
      <c r="FCU1" s="3" t="s">
        <v>4308</v>
      </c>
      <c r="FCV1" s="3" t="s">
        <v>4309</v>
      </c>
      <c r="FCW1" s="3" t="s">
        <v>4310</v>
      </c>
      <c r="FCX1" s="3" t="s">
        <v>4311</v>
      </c>
      <c r="FCY1" s="3" t="s">
        <v>4312</v>
      </c>
      <c r="FCZ1" s="3" t="s">
        <v>4313</v>
      </c>
      <c r="FDA1" s="3" t="s">
        <v>4314</v>
      </c>
      <c r="FDB1" s="3" t="s">
        <v>4315</v>
      </c>
      <c r="FDC1" s="3" t="s">
        <v>4316</v>
      </c>
      <c r="FDD1" s="3" t="s">
        <v>4317</v>
      </c>
      <c r="FDE1" s="3" t="s">
        <v>4318</v>
      </c>
      <c r="FDF1" s="3" t="s">
        <v>4319</v>
      </c>
      <c r="FDG1" s="3" t="s">
        <v>4320</v>
      </c>
      <c r="FDH1" s="3" t="s">
        <v>4321</v>
      </c>
      <c r="FDI1" s="3" t="s">
        <v>4322</v>
      </c>
      <c r="FDJ1" s="3" t="s">
        <v>4323</v>
      </c>
      <c r="FDK1" s="3" t="s">
        <v>4324</v>
      </c>
      <c r="FDL1" s="3" t="s">
        <v>4325</v>
      </c>
      <c r="FDM1" s="3" t="s">
        <v>4326</v>
      </c>
      <c r="FDN1" s="3" t="s">
        <v>4327</v>
      </c>
      <c r="FDO1" s="3" t="s">
        <v>4328</v>
      </c>
      <c r="FDP1" s="3" t="s">
        <v>4329</v>
      </c>
      <c r="FDQ1" s="3" t="s">
        <v>4330</v>
      </c>
      <c r="FDR1" s="3" t="s">
        <v>4331</v>
      </c>
      <c r="FDS1" s="3" t="s">
        <v>4332</v>
      </c>
      <c r="FDT1" s="3" t="s">
        <v>4333</v>
      </c>
      <c r="FDU1" s="3" t="s">
        <v>4334</v>
      </c>
      <c r="FDV1" s="3" t="s">
        <v>4335</v>
      </c>
      <c r="FDW1" s="3" t="s">
        <v>4336</v>
      </c>
      <c r="FDX1" s="3" t="s">
        <v>4337</v>
      </c>
      <c r="FDY1" s="3" t="s">
        <v>4338</v>
      </c>
      <c r="FDZ1" s="3" t="s">
        <v>4339</v>
      </c>
      <c r="FEA1" s="3" t="s">
        <v>4340</v>
      </c>
      <c r="FEB1" s="3" t="s">
        <v>4341</v>
      </c>
      <c r="FEC1" s="3" t="s">
        <v>4342</v>
      </c>
      <c r="FED1" s="3" t="s">
        <v>4343</v>
      </c>
      <c r="FEE1" s="3" t="s">
        <v>4344</v>
      </c>
      <c r="FEF1" s="3" t="s">
        <v>4345</v>
      </c>
      <c r="FEG1" s="3" t="s">
        <v>4346</v>
      </c>
      <c r="FEH1" s="3" t="s">
        <v>4347</v>
      </c>
      <c r="FEI1" s="3" t="s">
        <v>4348</v>
      </c>
      <c r="FEJ1" s="3" t="s">
        <v>4349</v>
      </c>
      <c r="FEK1" s="3" t="s">
        <v>4350</v>
      </c>
      <c r="FEL1" s="3" t="s">
        <v>4351</v>
      </c>
      <c r="FEM1" s="3" t="s">
        <v>4352</v>
      </c>
      <c r="FEN1" s="3" t="s">
        <v>4353</v>
      </c>
      <c r="FEO1" s="3" t="s">
        <v>4354</v>
      </c>
      <c r="FEP1" s="3" t="s">
        <v>4355</v>
      </c>
      <c r="FEQ1" s="3" t="s">
        <v>4356</v>
      </c>
      <c r="FER1" s="3" t="s">
        <v>4357</v>
      </c>
      <c r="FES1" s="3" t="s">
        <v>4358</v>
      </c>
      <c r="FET1" s="3" t="s">
        <v>4359</v>
      </c>
      <c r="FEU1" s="3" t="s">
        <v>4360</v>
      </c>
      <c r="FEV1" s="3" t="s">
        <v>4361</v>
      </c>
      <c r="FEW1" s="3" t="s">
        <v>4362</v>
      </c>
      <c r="FEX1" s="3" t="s">
        <v>4363</v>
      </c>
      <c r="FEY1" s="3" t="s">
        <v>4364</v>
      </c>
      <c r="FEZ1" s="3" t="s">
        <v>4365</v>
      </c>
      <c r="FFA1" s="3" t="s">
        <v>4366</v>
      </c>
      <c r="FFB1" s="3" t="s">
        <v>4367</v>
      </c>
      <c r="FFC1" s="3" t="s">
        <v>4368</v>
      </c>
      <c r="FFD1" s="3" t="s">
        <v>4369</v>
      </c>
      <c r="FFE1" s="3" t="s">
        <v>4370</v>
      </c>
      <c r="FFF1" s="3" t="s">
        <v>4371</v>
      </c>
      <c r="FFG1" s="3" t="s">
        <v>4372</v>
      </c>
      <c r="FFH1" s="3" t="s">
        <v>4373</v>
      </c>
      <c r="FFI1" s="3" t="s">
        <v>4374</v>
      </c>
      <c r="FFJ1" s="3" t="s">
        <v>4375</v>
      </c>
      <c r="FFK1" s="3" t="s">
        <v>4376</v>
      </c>
      <c r="FFL1" s="3" t="s">
        <v>4377</v>
      </c>
      <c r="FFM1" s="3" t="s">
        <v>4378</v>
      </c>
      <c r="FFN1" s="3" t="s">
        <v>4379</v>
      </c>
      <c r="FFO1" s="3" t="s">
        <v>4380</v>
      </c>
      <c r="FFP1" s="3" t="s">
        <v>4381</v>
      </c>
      <c r="FFQ1" s="3" t="s">
        <v>4382</v>
      </c>
      <c r="FFR1" s="3" t="s">
        <v>4383</v>
      </c>
      <c r="FFS1" s="3" t="s">
        <v>4384</v>
      </c>
      <c r="FFT1" s="3" t="s">
        <v>4385</v>
      </c>
      <c r="FFU1" s="3" t="s">
        <v>4386</v>
      </c>
      <c r="FFV1" s="3" t="s">
        <v>4387</v>
      </c>
      <c r="FFW1" s="3" t="s">
        <v>4388</v>
      </c>
      <c r="FFX1" s="3" t="s">
        <v>4389</v>
      </c>
      <c r="FFY1" s="3" t="s">
        <v>4390</v>
      </c>
      <c r="FFZ1" s="3" t="s">
        <v>4391</v>
      </c>
      <c r="FGA1" s="3" t="s">
        <v>4392</v>
      </c>
      <c r="FGB1" s="3" t="s">
        <v>4393</v>
      </c>
      <c r="FGC1" s="3" t="s">
        <v>4394</v>
      </c>
      <c r="FGD1" s="3" t="s">
        <v>4395</v>
      </c>
      <c r="FGE1" s="3" t="s">
        <v>4396</v>
      </c>
      <c r="FGF1" s="3" t="s">
        <v>4397</v>
      </c>
      <c r="FGG1" s="3" t="s">
        <v>4398</v>
      </c>
      <c r="FGH1" s="3" t="s">
        <v>4399</v>
      </c>
      <c r="FGI1" s="3" t="s">
        <v>4400</v>
      </c>
      <c r="FGJ1" s="3" t="s">
        <v>4401</v>
      </c>
      <c r="FGK1" s="3" t="s">
        <v>4402</v>
      </c>
      <c r="FGL1" s="3" t="s">
        <v>4403</v>
      </c>
      <c r="FGM1" s="3" t="s">
        <v>4404</v>
      </c>
      <c r="FGN1" s="3" t="s">
        <v>4405</v>
      </c>
      <c r="FGO1" s="3" t="s">
        <v>4406</v>
      </c>
      <c r="FGP1" s="3" t="s">
        <v>4407</v>
      </c>
      <c r="FGQ1" s="3" t="s">
        <v>4408</v>
      </c>
      <c r="FGR1" s="3" t="s">
        <v>4409</v>
      </c>
      <c r="FGS1" s="3" t="s">
        <v>4410</v>
      </c>
      <c r="FGT1" s="3" t="s">
        <v>4411</v>
      </c>
      <c r="FGU1" s="3" t="s">
        <v>4412</v>
      </c>
      <c r="FGV1" s="3" t="s">
        <v>4413</v>
      </c>
      <c r="FGW1" s="3" t="s">
        <v>4414</v>
      </c>
      <c r="FGX1" s="3" t="s">
        <v>4415</v>
      </c>
      <c r="FGY1" s="3" t="s">
        <v>4416</v>
      </c>
      <c r="FGZ1" s="3" t="s">
        <v>4417</v>
      </c>
      <c r="FHA1" s="3" t="s">
        <v>4418</v>
      </c>
      <c r="FHB1" s="3" t="s">
        <v>4419</v>
      </c>
      <c r="FHC1" s="3" t="s">
        <v>4420</v>
      </c>
      <c r="FHD1" s="3" t="s">
        <v>4421</v>
      </c>
      <c r="FHE1" s="3" t="s">
        <v>4422</v>
      </c>
      <c r="FHF1" s="3" t="s">
        <v>4423</v>
      </c>
      <c r="FHG1" s="3" t="s">
        <v>4424</v>
      </c>
      <c r="FHH1" s="3" t="s">
        <v>4425</v>
      </c>
      <c r="FHI1" s="3" t="s">
        <v>4426</v>
      </c>
      <c r="FHJ1" s="3" t="s">
        <v>4427</v>
      </c>
      <c r="FHK1" s="3" t="s">
        <v>4428</v>
      </c>
      <c r="FHL1" s="3" t="s">
        <v>4429</v>
      </c>
      <c r="FHM1" s="3" t="s">
        <v>4430</v>
      </c>
      <c r="FHN1" s="3" t="s">
        <v>4431</v>
      </c>
      <c r="FHO1" s="3" t="s">
        <v>4432</v>
      </c>
      <c r="FHP1" s="3" t="s">
        <v>4433</v>
      </c>
      <c r="FHQ1" s="3" t="s">
        <v>4434</v>
      </c>
      <c r="FHR1" s="3" t="s">
        <v>4435</v>
      </c>
      <c r="FHS1" s="3" t="s">
        <v>4436</v>
      </c>
      <c r="FHT1" s="3" t="s">
        <v>4437</v>
      </c>
      <c r="FHU1" s="3" t="s">
        <v>4438</v>
      </c>
      <c r="FHV1" s="3" t="s">
        <v>4439</v>
      </c>
      <c r="FHW1" s="3" t="s">
        <v>4440</v>
      </c>
      <c r="FHX1" s="3" t="s">
        <v>4441</v>
      </c>
      <c r="FHY1" s="3" t="s">
        <v>4442</v>
      </c>
      <c r="FHZ1" s="3" t="s">
        <v>4443</v>
      </c>
      <c r="FIA1" s="3" t="s">
        <v>4444</v>
      </c>
      <c r="FIB1" s="3" t="s">
        <v>4445</v>
      </c>
      <c r="FIC1" s="3" t="s">
        <v>4446</v>
      </c>
      <c r="FID1" s="3" t="s">
        <v>4447</v>
      </c>
      <c r="FIE1" s="3" t="s">
        <v>4448</v>
      </c>
      <c r="FIF1" s="3" t="s">
        <v>4449</v>
      </c>
      <c r="FIG1" s="3" t="s">
        <v>4450</v>
      </c>
      <c r="FIH1" s="3" t="s">
        <v>4451</v>
      </c>
      <c r="FII1" s="3" t="s">
        <v>4452</v>
      </c>
      <c r="FIJ1" s="3" t="s">
        <v>4453</v>
      </c>
      <c r="FIK1" s="3" t="s">
        <v>4454</v>
      </c>
      <c r="FIL1" s="3" t="s">
        <v>4455</v>
      </c>
      <c r="FIM1" s="3" t="s">
        <v>4456</v>
      </c>
      <c r="FIN1" s="3" t="s">
        <v>4457</v>
      </c>
      <c r="FIO1" s="3" t="s">
        <v>4458</v>
      </c>
      <c r="FIP1" s="3" t="s">
        <v>4459</v>
      </c>
      <c r="FIQ1" s="3" t="s">
        <v>4460</v>
      </c>
      <c r="FIR1" s="3" t="s">
        <v>4461</v>
      </c>
      <c r="FIS1" s="3" t="s">
        <v>4462</v>
      </c>
      <c r="FIT1" s="3" t="s">
        <v>4463</v>
      </c>
      <c r="FIU1" s="3" t="s">
        <v>4464</v>
      </c>
      <c r="FIV1" s="3" t="s">
        <v>4465</v>
      </c>
      <c r="FIW1" s="3" t="s">
        <v>4466</v>
      </c>
      <c r="FIX1" s="3" t="s">
        <v>4467</v>
      </c>
      <c r="FIY1" s="3" t="s">
        <v>4468</v>
      </c>
      <c r="FIZ1" s="3" t="s">
        <v>4469</v>
      </c>
      <c r="FJA1" s="3" t="s">
        <v>4470</v>
      </c>
      <c r="FJB1" s="3" t="s">
        <v>4471</v>
      </c>
      <c r="FJC1" s="3" t="s">
        <v>4472</v>
      </c>
      <c r="FJD1" s="3" t="s">
        <v>4473</v>
      </c>
      <c r="FJE1" s="3" t="s">
        <v>4474</v>
      </c>
      <c r="FJF1" s="3" t="s">
        <v>4475</v>
      </c>
      <c r="FJG1" s="3" t="s">
        <v>4476</v>
      </c>
      <c r="FJH1" s="3" t="s">
        <v>4477</v>
      </c>
      <c r="FJI1" s="3" t="s">
        <v>4478</v>
      </c>
      <c r="FJJ1" s="3" t="s">
        <v>4479</v>
      </c>
      <c r="FJK1" s="3" t="s">
        <v>4480</v>
      </c>
      <c r="FJL1" s="3" t="s">
        <v>4481</v>
      </c>
      <c r="FJM1" s="3" t="s">
        <v>4482</v>
      </c>
      <c r="FJN1" s="3" t="s">
        <v>4483</v>
      </c>
      <c r="FJO1" s="3" t="s">
        <v>4484</v>
      </c>
      <c r="FJP1" s="3" t="s">
        <v>4485</v>
      </c>
      <c r="FJQ1" s="3" t="s">
        <v>4486</v>
      </c>
      <c r="FJR1" s="3" t="s">
        <v>4487</v>
      </c>
      <c r="FJS1" s="3" t="s">
        <v>4488</v>
      </c>
      <c r="FJT1" s="3" t="s">
        <v>4489</v>
      </c>
      <c r="FJU1" s="3" t="s">
        <v>4490</v>
      </c>
      <c r="FJV1" s="3" t="s">
        <v>4491</v>
      </c>
      <c r="FJW1" s="3" t="s">
        <v>4492</v>
      </c>
      <c r="FJX1" s="3" t="s">
        <v>4493</v>
      </c>
      <c r="FJY1" s="3" t="s">
        <v>4494</v>
      </c>
      <c r="FJZ1" s="3" t="s">
        <v>4495</v>
      </c>
      <c r="FKA1" s="3" t="s">
        <v>4496</v>
      </c>
      <c r="FKB1" s="3" t="s">
        <v>4497</v>
      </c>
      <c r="FKC1" s="3" t="s">
        <v>4498</v>
      </c>
      <c r="FKD1" s="3" t="s">
        <v>4499</v>
      </c>
      <c r="FKE1" s="3" t="s">
        <v>4500</v>
      </c>
      <c r="FKF1" s="3" t="s">
        <v>4501</v>
      </c>
      <c r="FKG1" s="3" t="s">
        <v>4502</v>
      </c>
      <c r="FKH1" s="3" t="s">
        <v>4503</v>
      </c>
      <c r="FKI1" s="3" t="s">
        <v>4504</v>
      </c>
      <c r="FKJ1" s="3" t="s">
        <v>4505</v>
      </c>
      <c r="FKK1" s="3" t="s">
        <v>4506</v>
      </c>
      <c r="FKL1" s="3" t="s">
        <v>4507</v>
      </c>
      <c r="FKM1" s="3" t="s">
        <v>4508</v>
      </c>
      <c r="FKN1" s="3" t="s">
        <v>4509</v>
      </c>
      <c r="FKO1" s="3" t="s">
        <v>4510</v>
      </c>
      <c r="FKP1" s="3" t="s">
        <v>4511</v>
      </c>
      <c r="FKQ1" s="3" t="s">
        <v>4512</v>
      </c>
      <c r="FKR1" s="3" t="s">
        <v>4513</v>
      </c>
      <c r="FKS1" s="3" t="s">
        <v>4514</v>
      </c>
      <c r="FKT1" s="3" t="s">
        <v>4515</v>
      </c>
      <c r="FKU1" s="3" t="s">
        <v>4516</v>
      </c>
      <c r="FKV1" s="3" t="s">
        <v>4517</v>
      </c>
      <c r="FKW1" s="3" t="s">
        <v>4518</v>
      </c>
      <c r="FKX1" s="3" t="s">
        <v>4519</v>
      </c>
      <c r="FKY1" s="3" t="s">
        <v>4520</v>
      </c>
      <c r="FKZ1" s="3" t="s">
        <v>4521</v>
      </c>
      <c r="FLA1" s="3" t="s">
        <v>4522</v>
      </c>
      <c r="FLB1" s="3" t="s">
        <v>4523</v>
      </c>
      <c r="FLC1" s="3" t="s">
        <v>4524</v>
      </c>
      <c r="FLD1" s="3" t="s">
        <v>4525</v>
      </c>
      <c r="FLE1" s="3" t="s">
        <v>4526</v>
      </c>
      <c r="FLF1" s="3" t="s">
        <v>4527</v>
      </c>
      <c r="FLG1" s="3" t="s">
        <v>4528</v>
      </c>
      <c r="FLH1" s="3" t="s">
        <v>4529</v>
      </c>
      <c r="FLI1" s="3" t="s">
        <v>4530</v>
      </c>
      <c r="FLJ1" s="3" t="s">
        <v>4531</v>
      </c>
      <c r="FLK1" s="3" t="s">
        <v>4532</v>
      </c>
      <c r="FLL1" s="3" t="s">
        <v>4533</v>
      </c>
      <c r="FLM1" s="3" t="s">
        <v>4534</v>
      </c>
      <c r="FLN1" s="3" t="s">
        <v>4535</v>
      </c>
      <c r="FLO1" s="3" t="s">
        <v>4536</v>
      </c>
      <c r="FLP1" s="3" t="s">
        <v>4537</v>
      </c>
      <c r="FLQ1" s="3" t="s">
        <v>4538</v>
      </c>
      <c r="FLR1" s="3" t="s">
        <v>4539</v>
      </c>
      <c r="FLS1" s="3" t="s">
        <v>4540</v>
      </c>
      <c r="FLT1" s="3" t="s">
        <v>4541</v>
      </c>
      <c r="FLU1" s="3" t="s">
        <v>4542</v>
      </c>
      <c r="FLV1" s="3" t="s">
        <v>4543</v>
      </c>
      <c r="FLW1" s="3" t="s">
        <v>4544</v>
      </c>
      <c r="FLX1" s="3" t="s">
        <v>4545</v>
      </c>
      <c r="FLY1" s="3" t="s">
        <v>4546</v>
      </c>
      <c r="FLZ1" s="3" t="s">
        <v>4547</v>
      </c>
      <c r="FMA1" s="3" t="s">
        <v>4548</v>
      </c>
      <c r="FMB1" s="3" t="s">
        <v>4549</v>
      </c>
      <c r="FMC1" s="3" t="s">
        <v>4550</v>
      </c>
      <c r="FMD1" s="3" t="s">
        <v>4551</v>
      </c>
      <c r="FME1" s="3" t="s">
        <v>4552</v>
      </c>
      <c r="FMF1" s="3" t="s">
        <v>4553</v>
      </c>
      <c r="FMG1" s="3" t="s">
        <v>4554</v>
      </c>
      <c r="FMH1" s="3" t="s">
        <v>4555</v>
      </c>
      <c r="FMI1" s="3" t="s">
        <v>4556</v>
      </c>
      <c r="FMJ1" s="3" t="s">
        <v>4557</v>
      </c>
      <c r="FMK1" s="3" t="s">
        <v>4558</v>
      </c>
      <c r="FML1" s="3" t="s">
        <v>4559</v>
      </c>
      <c r="FMM1" s="3" t="s">
        <v>4560</v>
      </c>
      <c r="FMN1" s="3" t="s">
        <v>4561</v>
      </c>
      <c r="FMO1" s="3" t="s">
        <v>4562</v>
      </c>
      <c r="FMP1" s="3" t="s">
        <v>4563</v>
      </c>
      <c r="FMQ1" s="3" t="s">
        <v>4564</v>
      </c>
      <c r="FMR1" s="3" t="s">
        <v>4565</v>
      </c>
      <c r="FMS1" s="3" t="s">
        <v>4566</v>
      </c>
      <c r="FMT1" s="3" t="s">
        <v>4567</v>
      </c>
      <c r="FMU1" s="3" t="s">
        <v>4568</v>
      </c>
      <c r="FMV1" s="3" t="s">
        <v>4569</v>
      </c>
      <c r="FMW1" s="3" t="s">
        <v>4570</v>
      </c>
      <c r="FMX1" s="3" t="s">
        <v>4571</v>
      </c>
      <c r="FMY1" s="3" t="s">
        <v>4572</v>
      </c>
      <c r="FMZ1" s="3" t="s">
        <v>4573</v>
      </c>
      <c r="FNA1" s="3" t="s">
        <v>4574</v>
      </c>
      <c r="FNB1" s="3" t="s">
        <v>4575</v>
      </c>
      <c r="FNC1" s="3" t="s">
        <v>4576</v>
      </c>
      <c r="FND1" s="3" t="s">
        <v>4577</v>
      </c>
      <c r="FNE1" s="3" t="s">
        <v>4578</v>
      </c>
      <c r="FNF1" s="3" t="s">
        <v>4579</v>
      </c>
      <c r="FNG1" s="3" t="s">
        <v>4580</v>
      </c>
      <c r="FNH1" s="3" t="s">
        <v>4581</v>
      </c>
      <c r="FNI1" s="3" t="s">
        <v>4582</v>
      </c>
      <c r="FNJ1" s="3" t="s">
        <v>4583</v>
      </c>
      <c r="FNK1" s="3" t="s">
        <v>4584</v>
      </c>
      <c r="FNL1" s="3" t="s">
        <v>4585</v>
      </c>
      <c r="FNM1" s="3" t="s">
        <v>4586</v>
      </c>
      <c r="FNN1" s="3" t="s">
        <v>4587</v>
      </c>
      <c r="FNO1" s="3" t="s">
        <v>4588</v>
      </c>
      <c r="FNP1" s="3" t="s">
        <v>4589</v>
      </c>
      <c r="FNQ1" s="3" t="s">
        <v>4590</v>
      </c>
      <c r="FNR1" s="3" t="s">
        <v>4591</v>
      </c>
      <c r="FNS1" s="3" t="s">
        <v>4592</v>
      </c>
      <c r="FNT1" s="3" t="s">
        <v>4593</v>
      </c>
      <c r="FNU1" s="3" t="s">
        <v>4594</v>
      </c>
      <c r="FNV1" s="3" t="s">
        <v>4595</v>
      </c>
      <c r="FNW1" s="3" t="s">
        <v>4596</v>
      </c>
      <c r="FNX1" s="3" t="s">
        <v>4597</v>
      </c>
      <c r="FNY1" s="3" t="s">
        <v>4598</v>
      </c>
      <c r="FNZ1" s="3" t="s">
        <v>4599</v>
      </c>
      <c r="FOA1" s="3" t="s">
        <v>4600</v>
      </c>
      <c r="FOB1" s="3" t="s">
        <v>4601</v>
      </c>
      <c r="FOC1" s="3" t="s">
        <v>4602</v>
      </c>
      <c r="FOD1" s="3" t="s">
        <v>4603</v>
      </c>
      <c r="FOE1" s="3" t="s">
        <v>4604</v>
      </c>
      <c r="FOF1" s="3" t="s">
        <v>4605</v>
      </c>
      <c r="FOG1" s="3" t="s">
        <v>4606</v>
      </c>
      <c r="FOH1" s="3" t="s">
        <v>4607</v>
      </c>
      <c r="FOI1" s="3" t="s">
        <v>4608</v>
      </c>
      <c r="FOJ1" s="3" t="s">
        <v>4609</v>
      </c>
      <c r="FOK1" s="3" t="s">
        <v>4610</v>
      </c>
      <c r="FOL1" s="3" t="s">
        <v>4611</v>
      </c>
      <c r="FOM1" s="3" t="s">
        <v>4612</v>
      </c>
      <c r="FON1" s="3" t="s">
        <v>4613</v>
      </c>
      <c r="FOO1" s="3" t="s">
        <v>4614</v>
      </c>
      <c r="FOP1" s="3" t="s">
        <v>4615</v>
      </c>
      <c r="FOQ1" s="3" t="s">
        <v>4616</v>
      </c>
      <c r="FOR1" s="3" t="s">
        <v>4617</v>
      </c>
      <c r="FOS1" s="3" t="s">
        <v>4618</v>
      </c>
      <c r="FOT1" s="3" t="s">
        <v>4619</v>
      </c>
      <c r="FOU1" s="3" t="s">
        <v>4620</v>
      </c>
      <c r="FOV1" s="3" t="s">
        <v>4621</v>
      </c>
      <c r="FOW1" s="3" t="s">
        <v>4622</v>
      </c>
      <c r="FOX1" s="3" t="s">
        <v>4623</v>
      </c>
      <c r="FOY1" s="3" t="s">
        <v>4624</v>
      </c>
      <c r="FOZ1" s="3" t="s">
        <v>4625</v>
      </c>
      <c r="FPA1" s="3" t="s">
        <v>4626</v>
      </c>
      <c r="FPB1" s="3" t="s">
        <v>4627</v>
      </c>
      <c r="FPC1" s="3" t="s">
        <v>4628</v>
      </c>
      <c r="FPD1" s="3" t="s">
        <v>4629</v>
      </c>
      <c r="FPE1" s="3" t="s">
        <v>4630</v>
      </c>
      <c r="FPF1" s="3" t="s">
        <v>4631</v>
      </c>
      <c r="FPG1" s="3" t="s">
        <v>4632</v>
      </c>
      <c r="FPH1" s="3" t="s">
        <v>4633</v>
      </c>
      <c r="FPI1" s="3" t="s">
        <v>4634</v>
      </c>
      <c r="FPJ1" s="3" t="s">
        <v>4635</v>
      </c>
      <c r="FPK1" s="3" t="s">
        <v>4636</v>
      </c>
      <c r="FPL1" s="3" t="s">
        <v>4637</v>
      </c>
      <c r="FPM1" s="3" t="s">
        <v>4638</v>
      </c>
      <c r="FPN1" s="3" t="s">
        <v>4639</v>
      </c>
      <c r="FPO1" s="3" t="s">
        <v>4640</v>
      </c>
      <c r="FPP1" s="3" t="s">
        <v>4641</v>
      </c>
      <c r="FPQ1" s="3" t="s">
        <v>4642</v>
      </c>
      <c r="FPR1" s="3" t="s">
        <v>4643</v>
      </c>
      <c r="FPS1" s="3" t="s">
        <v>4644</v>
      </c>
      <c r="FPT1" s="3" t="s">
        <v>4645</v>
      </c>
      <c r="FPU1" s="3" t="s">
        <v>4646</v>
      </c>
      <c r="FPV1" s="3" t="s">
        <v>4647</v>
      </c>
      <c r="FPW1" s="3" t="s">
        <v>4648</v>
      </c>
      <c r="FPX1" s="3" t="s">
        <v>4649</v>
      </c>
      <c r="FPY1" s="3" t="s">
        <v>4650</v>
      </c>
      <c r="FPZ1" s="3" t="s">
        <v>4651</v>
      </c>
      <c r="FQA1" s="3" t="s">
        <v>4652</v>
      </c>
      <c r="FQB1" s="3" t="s">
        <v>4653</v>
      </c>
      <c r="FQC1" s="3" t="s">
        <v>4654</v>
      </c>
      <c r="FQD1" s="3" t="s">
        <v>4655</v>
      </c>
      <c r="FQE1" s="3" t="s">
        <v>4656</v>
      </c>
      <c r="FQF1" s="3" t="s">
        <v>4657</v>
      </c>
      <c r="FQG1" s="3" t="s">
        <v>4658</v>
      </c>
      <c r="FQH1" s="3" t="s">
        <v>4659</v>
      </c>
      <c r="FQI1" s="3" t="s">
        <v>4660</v>
      </c>
      <c r="FQJ1" s="3" t="s">
        <v>4661</v>
      </c>
      <c r="FQK1" s="3" t="s">
        <v>4662</v>
      </c>
      <c r="FQL1" s="3" t="s">
        <v>4663</v>
      </c>
      <c r="FQM1" s="3" t="s">
        <v>4664</v>
      </c>
      <c r="FQN1" s="3" t="s">
        <v>4665</v>
      </c>
      <c r="FQO1" s="3" t="s">
        <v>4666</v>
      </c>
      <c r="FQP1" s="3" t="s">
        <v>4667</v>
      </c>
      <c r="FQQ1" s="3" t="s">
        <v>4668</v>
      </c>
      <c r="FQR1" s="3" t="s">
        <v>4669</v>
      </c>
      <c r="FQS1" s="3" t="s">
        <v>4670</v>
      </c>
      <c r="FQT1" s="3" t="s">
        <v>4671</v>
      </c>
      <c r="FQU1" s="3" t="s">
        <v>4672</v>
      </c>
      <c r="FQV1" s="3" t="s">
        <v>4673</v>
      </c>
      <c r="FQW1" s="3" t="s">
        <v>4674</v>
      </c>
      <c r="FQX1" s="3" t="s">
        <v>4675</v>
      </c>
      <c r="FQY1" s="3" t="s">
        <v>4676</v>
      </c>
      <c r="FQZ1" s="3" t="s">
        <v>4677</v>
      </c>
      <c r="FRA1" s="3" t="s">
        <v>4678</v>
      </c>
      <c r="FRB1" s="3" t="s">
        <v>4679</v>
      </c>
      <c r="FRC1" s="3" t="s">
        <v>4680</v>
      </c>
      <c r="FRD1" s="3" t="s">
        <v>4681</v>
      </c>
      <c r="FRE1" s="3" t="s">
        <v>4682</v>
      </c>
      <c r="FRF1" s="3" t="s">
        <v>4683</v>
      </c>
      <c r="FRG1" s="3" t="s">
        <v>4684</v>
      </c>
      <c r="FRH1" s="3" t="s">
        <v>4685</v>
      </c>
      <c r="FRI1" s="3" t="s">
        <v>4686</v>
      </c>
      <c r="FRJ1" s="3" t="s">
        <v>4687</v>
      </c>
      <c r="FRK1" s="3" t="s">
        <v>4688</v>
      </c>
      <c r="FRL1" s="3" t="s">
        <v>4689</v>
      </c>
      <c r="FRM1" s="3" t="s">
        <v>4690</v>
      </c>
      <c r="FRN1" s="3" t="s">
        <v>4691</v>
      </c>
      <c r="FRO1" s="3" t="s">
        <v>4692</v>
      </c>
      <c r="FRP1" s="3" t="s">
        <v>4693</v>
      </c>
      <c r="FRQ1" s="3" t="s">
        <v>4694</v>
      </c>
      <c r="FRR1" s="3" t="s">
        <v>4695</v>
      </c>
      <c r="FRS1" s="3" t="s">
        <v>4696</v>
      </c>
      <c r="FRT1" s="3" t="s">
        <v>4697</v>
      </c>
      <c r="FRU1" s="3" t="s">
        <v>4698</v>
      </c>
      <c r="FRV1" s="3" t="s">
        <v>4699</v>
      </c>
      <c r="FRW1" s="3" t="s">
        <v>4700</v>
      </c>
      <c r="FRX1" s="3" t="s">
        <v>4701</v>
      </c>
      <c r="FRY1" s="3" t="s">
        <v>4702</v>
      </c>
      <c r="FRZ1" s="3" t="s">
        <v>4703</v>
      </c>
      <c r="FSA1" s="3" t="s">
        <v>4704</v>
      </c>
      <c r="FSB1" s="3" t="s">
        <v>4705</v>
      </c>
      <c r="FSC1" s="3" t="s">
        <v>4706</v>
      </c>
      <c r="FSD1" s="3" t="s">
        <v>4707</v>
      </c>
      <c r="FSE1" s="3" t="s">
        <v>4708</v>
      </c>
      <c r="FSF1" s="3" t="s">
        <v>4709</v>
      </c>
      <c r="FSG1" s="3" t="s">
        <v>4710</v>
      </c>
      <c r="FSH1" s="3" t="s">
        <v>4711</v>
      </c>
      <c r="FSI1" s="3" t="s">
        <v>4712</v>
      </c>
      <c r="FSJ1" s="3" t="s">
        <v>4713</v>
      </c>
      <c r="FSK1" s="3" t="s">
        <v>4714</v>
      </c>
      <c r="FSL1" s="3" t="s">
        <v>4715</v>
      </c>
      <c r="FSM1" s="3" t="s">
        <v>4716</v>
      </c>
      <c r="FSN1" s="3" t="s">
        <v>4717</v>
      </c>
      <c r="FSO1" s="3" t="s">
        <v>4718</v>
      </c>
      <c r="FSP1" s="3" t="s">
        <v>4719</v>
      </c>
      <c r="FSQ1" s="3" t="s">
        <v>4720</v>
      </c>
      <c r="FSR1" s="3" t="s">
        <v>4721</v>
      </c>
      <c r="FSS1" s="3" t="s">
        <v>4722</v>
      </c>
      <c r="FST1" s="3" t="s">
        <v>4723</v>
      </c>
      <c r="FSU1" s="3" t="s">
        <v>4724</v>
      </c>
      <c r="FSV1" s="3" t="s">
        <v>4725</v>
      </c>
      <c r="FSW1" s="3" t="s">
        <v>4726</v>
      </c>
      <c r="FSX1" s="3" t="s">
        <v>4727</v>
      </c>
      <c r="FSY1" s="3" t="s">
        <v>4728</v>
      </c>
      <c r="FSZ1" s="3" t="s">
        <v>4729</v>
      </c>
      <c r="FTA1" s="3" t="s">
        <v>4730</v>
      </c>
      <c r="FTB1" s="3" t="s">
        <v>4731</v>
      </c>
      <c r="FTC1" s="3" t="s">
        <v>4732</v>
      </c>
      <c r="FTD1" s="3" t="s">
        <v>4733</v>
      </c>
      <c r="FTE1" s="3" t="s">
        <v>4734</v>
      </c>
      <c r="FTF1" s="3" t="s">
        <v>4735</v>
      </c>
      <c r="FTG1" s="3" t="s">
        <v>4736</v>
      </c>
      <c r="FTH1" s="3" t="s">
        <v>4737</v>
      </c>
      <c r="FTI1" s="3" t="s">
        <v>4738</v>
      </c>
      <c r="FTJ1" s="3" t="s">
        <v>4739</v>
      </c>
      <c r="FTK1" s="3" t="s">
        <v>4740</v>
      </c>
      <c r="FTL1" s="3" t="s">
        <v>4741</v>
      </c>
      <c r="FTM1" s="3" t="s">
        <v>4742</v>
      </c>
      <c r="FTN1" s="3" t="s">
        <v>4743</v>
      </c>
      <c r="FTO1" s="3" t="s">
        <v>4744</v>
      </c>
      <c r="FTP1" s="3" t="s">
        <v>4745</v>
      </c>
      <c r="FTQ1" s="3" t="s">
        <v>4746</v>
      </c>
      <c r="FTR1" s="3" t="s">
        <v>4747</v>
      </c>
      <c r="FTS1" s="3" t="s">
        <v>4748</v>
      </c>
      <c r="FTT1" s="3" t="s">
        <v>4749</v>
      </c>
      <c r="FTU1" s="3" t="s">
        <v>4750</v>
      </c>
      <c r="FTV1" s="3" t="s">
        <v>4751</v>
      </c>
      <c r="FTW1" s="3" t="s">
        <v>4752</v>
      </c>
      <c r="FTX1" s="3" t="s">
        <v>4753</v>
      </c>
      <c r="FTY1" s="3" t="s">
        <v>4754</v>
      </c>
      <c r="FTZ1" s="3" t="s">
        <v>4755</v>
      </c>
      <c r="FUA1" s="3" t="s">
        <v>4756</v>
      </c>
      <c r="FUB1" s="3" t="s">
        <v>4757</v>
      </c>
      <c r="FUC1" s="3" t="s">
        <v>4758</v>
      </c>
      <c r="FUD1" s="3" t="s">
        <v>4759</v>
      </c>
      <c r="FUE1" s="3" t="s">
        <v>4760</v>
      </c>
      <c r="FUF1" s="3" t="s">
        <v>4761</v>
      </c>
      <c r="FUG1" s="3" t="s">
        <v>4762</v>
      </c>
      <c r="FUH1" s="3" t="s">
        <v>4763</v>
      </c>
      <c r="FUI1" s="3" t="s">
        <v>4764</v>
      </c>
      <c r="FUJ1" s="3" t="s">
        <v>4765</v>
      </c>
      <c r="FUK1" s="3" t="s">
        <v>4766</v>
      </c>
      <c r="FUL1" s="3" t="s">
        <v>4767</v>
      </c>
      <c r="FUM1" s="3" t="s">
        <v>4768</v>
      </c>
      <c r="FUN1" s="3" t="s">
        <v>4769</v>
      </c>
      <c r="FUO1" s="3" t="s">
        <v>4770</v>
      </c>
      <c r="FUP1" s="3" t="s">
        <v>4771</v>
      </c>
      <c r="FUQ1" s="3" t="s">
        <v>4772</v>
      </c>
      <c r="FUR1" s="3" t="s">
        <v>4773</v>
      </c>
      <c r="FUS1" s="3" t="s">
        <v>4774</v>
      </c>
      <c r="FUT1" s="3" t="s">
        <v>4775</v>
      </c>
      <c r="FUU1" s="3" t="s">
        <v>4776</v>
      </c>
      <c r="FUV1" s="3" t="s">
        <v>4777</v>
      </c>
      <c r="FUW1" s="3" t="s">
        <v>4778</v>
      </c>
      <c r="FUX1" s="3" t="s">
        <v>4779</v>
      </c>
      <c r="FUY1" s="3" t="s">
        <v>4780</v>
      </c>
      <c r="FUZ1" s="3" t="s">
        <v>4781</v>
      </c>
      <c r="FVA1" s="3" t="s">
        <v>4782</v>
      </c>
      <c r="FVB1" s="3" t="s">
        <v>4783</v>
      </c>
      <c r="FVC1" s="3" t="s">
        <v>4784</v>
      </c>
      <c r="FVD1" s="3" t="s">
        <v>4785</v>
      </c>
      <c r="FVE1" s="3" t="s">
        <v>4786</v>
      </c>
      <c r="FVF1" s="3" t="s">
        <v>4787</v>
      </c>
      <c r="FVG1" s="3" t="s">
        <v>4788</v>
      </c>
      <c r="FVH1" s="3" t="s">
        <v>4789</v>
      </c>
      <c r="FVI1" s="3" t="s">
        <v>4790</v>
      </c>
      <c r="FVJ1" s="3" t="s">
        <v>4791</v>
      </c>
      <c r="FVK1" s="3" t="s">
        <v>4792</v>
      </c>
      <c r="FVL1" s="3" t="s">
        <v>4793</v>
      </c>
      <c r="FVM1" s="3" t="s">
        <v>4794</v>
      </c>
      <c r="FVN1" s="3" t="s">
        <v>4795</v>
      </c>
      <c r="FVO1" s="3" t="s">
        <v>4796</v>
      </c>
      <c r="FVP1" s="3" t="s">
        <v>4797</v>
      </c>
      <c r="FVQ1" s="3" t="s">
        <v>4798</v>
      </c>
      <c r="FVR1" s="3" t="s">
        <v>4799</v>
      </c>
      <c r="FVS1" s="3" t="s">
        <v>4800</v>
      </c>
      <c r="FVT1" s="3" t="s">
        <v>4801</v>
      </c>
      <c r="FVU1" s="3" t="s">
        <v>4802</v>
      </c>
      <c r="FVV1" s="3" t="s">
        <v>4803</v>
      </c>
      <c r="FVW1" s="3" t="s">
        <v>4804</v>
      </c>
      <c r="FVX1" s="3" t="s">
        <v>4805</v>
      </c>
      <c r="FVY1" s="3" t="s">
        <v>4806</v>
      </c>
      <c r="FVZ1" s="3" t="s">
        <v>4807</v>
      </c>
      <c r="FWA1" s="3" t="s">
        <v>4808</v>
      </c>
      <c r="FWB1" s="3" t="s">
        <v>4809</v>
      </c>
      <c r="FWC1" s="3" t="s">
        <v>4810</v>
      </c>
      <c r="FWD1" s="3" t="s">
        <v>4811</v>
      </c>
      <c r="FWE1" s="3" t="s">
        <v>4812</v>
      </c>
      <c r="FWF1" s="3" t="s">
        <v>4813</v>
      </c>
      <c r="FWG1" s="3" t="s">
        <v>4814</v>
      </c>
      <c r="FWH1" s="3" t="s">
        <v>4815</v>
      </c>
      <c r="FWI1" s="3" t="s">
        <v>4816</v>
      </c>
      <c r="FWJ1" s="3" t="s">
        <v>4817</v>
      </c>
      <c r="FWK1" s="3" t="s">
        <v>4818</v>
      </c>
      <c r="FWL1" s="3" t="s">
        <v>4819</v>
      </c>
      <c r="FWM1" s="3" t="s">
        <v>4820</v>
      </c>
      <c r="FWN1" s="3" t="s">
        <v>4821</v>
      </c>
      <c r="FWO1" s="3" t="s">
        <v>4822</v>
      </c>
      <c r="FWP1" s="3" t="s">
        <v>4823</v>
      </c>
      <c r="FWQ1" s="3" t="s">
        <v>4824</v>
      </c>
      <c r="FWR1" s="3" t="s">
        <v>4825</v>
      </c>
      <c r="FWS1" s="3" t="s">
        <v>4826</v>
      </c>
      <c r="FWT1" s="3" t="s">
        <v>4827</v>
      </c>
      <c r="FWU1" s="3" t="s">
        <v>4828</v>
      </c>
      <c r="FWV1" s="3" t="s">
        <v>4829</v>
      </c>
      <c r="FWW1" s="3" t="s">
        <v>4830</v>
      </c>
      <c r="FWX1" s="3" t="s">
        <v>4831</v>
      </c>
      <c r="FWY1" s="3" t="s">
        <v>4832</v>
      </c>
      <c r="FWZ1" s="3" t="s">
        <v>4833</v>
      </c>
      <c r="FXA1" s="3" t="s">
        <v>4834</v>
      </c>
      <c r="FXB1" s="3" t="s">
        <v>4835</v>
      </c>
      <c r="FXC1" s="3" t="s">
        <v>4836</v>
      </c>
      <c r="FXD1" s="3" t="s">
        <v>4837</v>
      </c>
      <c r="FXE1" s="3" t="s">
        <v>4838</v>
      </c>
      <c r="FXF1" s="3" t="s">
        <v>4839</v>
      </c>
      <c r="FXG1" s="3" t="s">
        <v>4840</v>
      </c>
      <c r="FXH1" s="3" t="s">
        <v>4841</v>
      </c>
      <c r="FXI1" s="3" t="s">
        <v>4842</v>
      </c>
      <c r="FXJ1" s="3" t="s">
        <v>4843</v>
      </c>
      <c r="FXK1" s="3" t="s">
        <v>4844</v>
      </c>
      <c r="FXL1" s="3" t="s">
        <v>4845</v>
      </c>
      <c r="FXM1" s="3" t="s">
        <v>4846</v>
      </c>
      <c r="FXN1" s="3" t="s">
        <v>4847</v>
      </c>
      <c r="FXO1" s="3" t="s">
        <v>4848</v>
      </c>
      <c r="FXP1" s="3" t="s">
        <v>4849</v>
      </c>
      <c r="FXQ1" s="3" t="s">
        <v>4850</v>
      </c>
      <c r="FXR1" s="3" t="s">
        <v>4851</v>
      </c>
      <c r="FXS1" s="3" t="s">
        <v>4852</v>
      </c>
      <c r="FXT1" s="3" t="s">
        <v>4853</v>
      </c>
      <c r="FXU1" s="3" t="s">
        <v>4854</v>
      </c>
      <c r="FXV1" s="3" t="s">
        <v>4855</v>
      </c>
      <c r="FXW1" s="3" t="s">
        <v>4856</v>
      </c>
      <c r="FXX1" s="3" t="s">
        <v>4857</v>
      </c>
      <c r="FXY1" s="3" t="s">
        <v>4858</v>
      </c>
      <c r="FXZ1" s="3" t="s">
        <v>4859</v>
      </c>
      <c r="FYA1" s="3" t="s">
        <v>4860</v>
      </c>
      <c r="FYB1" s="3" t="s">
        <v>4861</v>
      </c>
      <c r="FYC1" s="3" t="s">
        <v>4862</v>
      </c>
      <c r="FYD1" s="3" t="s">
        <v>4863</v>
      </c>
      <c r="FYE1" s="3" t="s">
        <v>4864</v>
      </c>
      <c r="FYF1" s="3" t="s">
        <v>4865</v>
      </c>
      <c r="FYG1" s="3" t="s">
        <v>4866</v>
      </c>
      <c r="FYH1" s="3" t="s">
        <v>4867</v>
      </c>
      <c r="FYI1" s="3" t="s">
        <v>4868</v>
      </c>
      <c r="FYJ1" s="3" t="s">
        <v>4869</v>
      </c>
      <c r="FYK1" s="3" t="s">
        <v>4870</v>
      </c>
      <c r="FYL1" s="3" t="s">
        <v>4871</v>
      </c>
      <c r="FYM1" s="3" t="s">
        <v>4872</v>
      </c>
      <c r="FYN1" s="3" t="s">
        <v>4873</v>
      </c>
      <c r="FYO1" s="3" t="s">
        <v>4874</v>
      </c>
      <c r="FYP1" s="3" t="s">
        <v>4875</v>
      </c>
      <c r="FYQ1" s="3" t="s">
        <v>4876</v>
      </c>
      <c r="FYR1" s="3" t="s">
        <v>4877</v>
      </c>
      <c r="FYS1" s="3" t="s">
        <v>4878</v>
      </c>
      <c r="FYT1" s="3" t="s">
        <v>4879</v>
      </c>
      <c r="FYU1" s="3" t="s">
        <v>4880</v>
      </c>
      <c r="FYV1" s="3" t="s">
        <v>4881</v>
      </c>
      <c r="FYW1" s="3" t="s">
        <v>4882</v>
      </c>
      <c r="FYX1" s="3" t="s">
        <v>4883</v>
      </c>
      <c r="FYY1" s="3" t="s">
        <v>4884</v>
      </c>
      <c r="FYZ1" s="3" t="s">
        <v>4885</v>
      </c>
      <c r="FZA1" s="3" t="s">
        <v>4886</v>
      </c>
      <c r="FZB1" s="3" t="s">
        <v>4887</v>
      </c>
      <c r="FZC1" s="3" t="s">
        <v>4888</v>
      </c>
      <c r="FZD1" s="3" t="s">
        <v>4889</v>
      </c>
      <c r="FZE1" s="3" t="s">
        <v>4890</v>
      </c>
      <c r="FZF1" s="3" t="s">
        <v>4891</v>
      </c>
      <c r="FZG1" s="3" t="s">
        <v>4892</v>
      </c>
      <c r="FZH1" s="3" t="s">
        <v>4893</v>
      </c>
      <c r="FZI1" s="3" t="s">
        <v>4894</v>
      </c>
      <c r="FZJ1" s="3" t="s">
        <v>4895</v>
      </c>
      <c r="FZK1" s="3" t="s">
        <v>4896</v>
      </c>
      <c r="FZL1" s="3" t="s">
        <v>4897</v>
      </c>
      <c r="FZM1" s="3" t="s">
        <v>4898</v>
      </c>
      <c r="FZN1" s="3" t="s">
        <v>4899</v>
      </c>
      <c r="FZO1" s="3" t="s">
        <v>4900</v>
      </c>
      <c r="FZP1" s="3" t="s">
        <v>4901</v>
      </c>
      <c r="FZQ1" s="3" t="s">
        <v>4902</v>
      </c>
      <c r="FZR1" s="3" t="s">
        <v>4903</v>
      </c>
      <c r="FZS1" s="3" t="s">
        <v>4904</v>
      </c>
      <c r="FZT1" s="3" t="s">
        <v>4905</v>
      </c>
      <c r="FZU1" s="3" t="s">
        <v>4906</v>
      </c>
      <c r="FZV1" s="3" t="s">
        <v>4907</v>
      </c>
      <c r="FZW1" s="3" t="s">
        <v>4908</v>
      </c>
      <c r="FZX1" s="3" t="s">
        <v>4909</v>
      </c>
      <c r="FZY1" s="3" t="s">
        <v>4910</v>
      </c>
      <c r="FZZ1" s="3" t="s">
        <v>4911</v>
      </c>
      <c r="GAA1" s="3" t="s">
        <v>4912</v>
      </c>
      <c r="GAB1" s="3" t="s">
        <v>4913</v>
      </c>
      <c r="GAC1" s="3" t="s">
        <v>4914</v>
      </c>
      <c r="GAD1" s="3" t="s">
        <v>4915</v>
      </c>
      <c r="GAE1" s="3" t="s">
        <v>4916</v>
      </c>
      <c r="GAF1" s="3" t="s">
        <v>4917</v>
      </c>
      <c r="GAG1" s="3" t="s">
        <v>4918</v>
      </c>
      <c r="GAH1" s="3" t="s">
        <v>4919</v>
      </c>
      <c r="GAI1" s="3" t="s">
        <v>4920</v>
      </c>
      <c r="GAJ1" s="3" t="s">
        <v>4921</v>
      </c>
      <c r="GAK1" s="3" t="s">
        <v>4922</v>
      </c>
      <c r="GAL1" s="3" t="s">
        <v>4923</v>
      </c>
      <c r="GAM1" s="3" t="s">
        <v>4924</v>
      </c>
      <c r="GAN1" s="3" t="s">
        <v>4925</v>
      </c>
      <c r="GAO1" s="3" t="s">
        <v>4926</v>
      </c>
      <c r="GAP1" s="3" t="s">
        <v>4927</v>
      </c>
      <c r="GAQ1" s="3" t="s">
        <v>4928</v>
      </c>
      <c r="GAR1" s="3" t="s">
        <v>4929</v>
      </c>
      <c r="GAS1" s="3" t="s">
        <v>4930</v>
      </c>
      <c r="GAT1" s="3" t="s">
        <v>4931</v>
      </c>
      <c r="GAU1" s="3" t="s">
        <v>4932</v>
      </c>
      <c r="GAV1" s="3" t="s">
        <v>4933</v>
      </c>
      <c r="GAW1" s="3" t="s">
        <v>4934</v>
      </c>
      <c r="GAX1" s="3" t="s">
        <v>4935</v>
      </c>
      <c r="GAY1" s="3" t="s">
        <v>4936</v>
      </c>
      <c r="GAZ1" s="3" t="s">
        <v>4937</v>
      </c>
      <c r="GBA1" s="3" t="s">
        <v>4938</v>
      </c>
      <c r="GBB1" s="3" t="s">
        <v>4939</v>
      </c>
      <c r="GBC1" s="3" t="s">
        <v>4940</v>
      </c>
      <c r="GBD1" s="3" t="s">
        <v>4941</v>
      </c>
      <c r="GBE1" s="3" t="s">
        <v>4942</v>
      </c>
      <c r="GBF1" s="3" t="s">
        <v>4943</v>
      </c>
      <c r="GBG1" s="3" t="s">
        <v>4944</v>
      </c>
      <c r="GBH1" s="3" t="s">
        <v>4945</v>
      </c>
      <c r="GBI1" s="3" t="s">
        <v>4946</v>
      </c>
      <c r="GBJ1" s="3" t="s">
        <v>4947</v>
      </c>
      <c r="GBK1" s="3" t="s">
        <v>4948</v>
      </c>
      <c r="GBL1" s="3" t="s">
        <v>4949</v>
      </c>
      <c r="GBM1" s="3" t="s">
        <v>4950</v>
      </c>
      <c r="GBN1" s="3" t="s">
        <v>4951</v>
      </c>
      <c r="GBO1" s="3" t="s">
        <v>4952</v>
      </c>
      <c r="GBP1" s="3" t="s">
        <v>4953</v>
      </c>
      <c r="GBQ1" s="3" t="s">
        <v>4954</v>
      </c>
      <c r="GBR1" s="3" t="s">
        <v>4955</v>
      </c>
      <c r="GBS1" s="3" t="s">
        <v>4956</v>
      </c>
      <c r="GBT1" s="3" t="s">
        <v>4957</v>
      </c>
      <c r="GBU1" s="3" t="s">
        <v>4958</v>
      </c>
      <c r="GBV1" s="3" t="s">
        <v>4959</v>
      </c>
      <c r="GBW1" s="3" t="s">
        <v>4960</v>
      </c>
      <c r="GBX1" s="3" t="s">
        <v>4961</v>
      </c>
      <c r="GBY1" s="3" t="s">
        <v>4962</v>
      </c>
      <c r="GBZ1" s="3" t="s">
        <v>4963</v>
      </c>
      <c r="GCA1" s="3" t="s">
        <v>4964</v>
      </c>
      <c r="GCB1" s="3" t="s">
        <v>4965</v>
      </c>
      <c r="GCC1" s="3" t="s">
        <v>4966</v>
      </c>
      <c r="GCD1" s="3" t="s">
        <v>4967</v>
      </c>
      <c r="GCE1" s="3" t="s">
        <v>4968</v>
      </c>
      <c r="GCF1" s="3" t="s">
        <v>4969</v>
      </c>
      <c r="GCG1" s="3" t="s">
        <v>4970</v>
      </c>
      <c r="GCH1" s="3" t="s">
        <v>4971</v>
      </c>
      <c r="GCI1" s="3" t="s">
        <v>4972</v>
      </c>
      <c r="GCJ1" s="3" t="s">
        <v>4973</v>
      </c>
      <c r="GCK1" s="3" t="s">
        <v>4974</v>
      </c>
      <c r="GCL1" s="3" t="s">
        <v>4975</v>
      </c>
      <c r="GCM1" s="3" t="s">
        <v>4976</v>
      </c>
      <c r="GCN1" s="3" t="s">
        <v>4977</v>
      </c>
      <c r="GCO1" s="3" t="s">
        <v>4978</v>
      </c>
      <c r="GCP1" s="3" t="s">
        <v>4979</v>
      </c>
      <c r="GCQ1" s="3" t="s">
        <v>4980</v>
      </c>
      <c r="GCR1" s="3" t="s">
        <v>4981</v>
      </c>
      <c r="GCS1" s="3" t="s">
        <v>4982</v>
      </c>
      <c r="GCT1" s="3" t="s">
        <v>4983</v>
      </c>
      <c r="GCU1" s="3" t="s">
        <v>4984</v>
      </c>
      <c r="GCV1" s="3" t="s">
        <v>4985</v>
      </c>
      <c r="GCW1" s="3" t="s">
        <v>4986</v>
      </c>
      <c r="GCX1" s="3" t="s">
        <v>4987</v>
      </c>
      <c r="GCY1" s="3" t="s">
        <v>4988</v>
      </c>
      <c r="GCZ1" s="3" t="s">
        <v>4989</v>
      </c>
      <c r="GDA1" s="3" t="s">
        <v>4990</v>
      </c>
      <c r="GDB1" s="3" t="s">
        <v>4991</v>
      </c>
      <c r="GDC1" s="3" t="s">
        <v>4992</v>
      </c>
      <c r="GDD1" s="3" t="s">
        <v>4993</v>
      </c>
      <c r="GDE1" s="3" t="s">
        <v>4994</v>
      </c>
      <c r="GDF1" s="3" t="s">
        <v>4995</v>
      </c>
      <c r="GDG1" s="3" t="s">
        <v>4996</v>
      </c>
      <c r="GDH1" s="3" t="s">
        <v>4997</v>
      </c>
      <c r="GDI1" s="3" t="s">
        <v>4998</v>
      </c>
      <c r="GDJ1" s="3" t="s">
        <v>4999</v>
      </c>
      <c r="GDK1" s="3" t="s">
        <v>5000</v>
      </c>
      <c r="GDL1" s="3" t="s">
        <v>5001</v>
      </c>
      <c r="GDM1" s="3" t="s">
        <v>5002</v>
      </c>
      <c r="GDN1" s="3" t="s">
        <v>5003</v>
      </c>
      <c r="GDO1" s="3" t="s">
        <v>5004</v>
      </c>
      <c r="GDP1" s="3" t="s">
        <v>5005</v>
      </c>
      <c r="GDQ1" s="3" t="s">
        <v>5006</v>
      </c>
      <c r="GDR1" s="3" t="s">
        <v>5007</v>
      </c>
      <c r="GDS1" s="3" t="s">
        <v>5008</v>
      </c>
      <c r="GDT1" s="3" t="s">
        <v>5009</v>
      </c>
      <c r="GDU1" s="3" t="s">
        <v>5010</v>
      </c>
      <c r="GDV1" s="3" t="s">
        <v>5011</v>
      </c>
      <c r="GDW1" s="3" t="s">
        <v>5012</v>
      </c>
      <c r="GDX1" s="3" t="s">
        <v>5013</v>
      </c>
      <c r="GDY1" s="3" t="s">
        <v>5014</v>
      </c>
      <c r="GDZ1" s="3" t="s">
        <v>5015</v>
      </c>
      <c r="GEA1" s="3" t="s">
        <v>5016</v>
      </c>
      <c r="GEB1" s="3" t="s">
        <v>5017</v>
      </c>
      <c r="GEC1" s="3" t="s">
        <v>5018</v>
      </c>
      <c r="GED1" s="3" t="s">
        <v>5019</v>
      </c>
      <c r="GEE1" s="3" t="s">
        <v>5020</v>
      </c>
      <c r="GEF1" s="3" t="s">
        <v>5021</v>
      </c>
      <c r="GEG1" s="3" t="s">
        <v>5022</v>
      </c>
      <c r="GEH1" s="3" t="s">
        <v>5023</v>
      </c>
      <c r="GEI1" s="3" t="s">
        <v>5024</v>
      </c>
      <c r="GEJ1" s="3" t="s">
        <v>5025</v>
      </c>
      <c r="GEK1" s="3" t="s">
        <v>5026</v>
      </c>
      <c r="GEL1" s="3" t="s">
        <v>5027</v>
      </c>
      <c r="GEM1" s="3" t="s">
        <v>5028</v>
      </c>
      <c r="GEN1" s="3" t="s">
        <v>5029</v>
      </c>
      <c r="GEO1" s="3" t="s">
        <v>5030</v>
      </c>
      <c r="GEP1" s="3" t="s">
        <v>5031</v>
      </c>
      <c r="GEQ1" s="3" t="s">
        <v>5032</v>
      </c>
      <c r="GER1" s="3" t="s">
        <v>5033</v>
      </c>
      <c r="GES1" s="3" t="s">
        <v>5034</v>
      </c>
      <c r="GET1" s="3" t="s">
        <v>5035</v>
      </c>
      <c r="GEU1" s="3" t="s">
        <v>5036</v>
      </c>
      <c r="GEV1" s="3" t="s">
        <v>5037</v>
      </c>
      <c r="GEW1" s="3" t="s">
        <v>5038</v>
      </c>
      <c r="GEX1" s="3" t="s">
        <v>5039</v>
      </c>
      <c r="GEY1" s="3" t="s">
        <v>5040</v>
      </c>
      <c r="GEZ1" s="3" t="s">
        <v>5041</v>
      </c>
      <c r="GFA1" s="3" t="s">
        <v>5042</v>
      </c>
      <c r="GFB1" s="3" t="s">
        <v>5043</v>
      </c>
      <c r="GFC1" s="3" t="s">
        <v>5044</v>
      </c>
      <c r="GFD1" s="3" t="s">
        <v>5045</v>
      </c>
      <c r="GFE1" s="3" t="s">
        <v>5046</v>
      </c>
      <c r="GFF1" s="3" t="s">
        <v>5047</v>
      </c>
      <c r="GFG1" s="3" t="s">
        <v>5048</v>
      </c>
      <c r="GFH1" s="3" t="s">
        <v>5049</v>
      </c>
      <c r="GFI1" s="3" t="s">
        <v>5050</v>
      </c>
      <c r="GFJ1" s="3" t="s">
        <v>5051</v>
      </c>
      <c r="GFK1" s="3" t="s">
        <v>5052</v>
      </c>
      <c r="GFL1" s="3" t="s">
        <v>5053</v>
      </c>
      <c r="GFM1" s="3" t="s">
        <v>5054</v>
      </c>
      <c r="GFN1" s="3" t="s">
        <v>5055</v>
      </c>
      <c r="GFO1" s="3" t="s">
        <v>5056</v>
      </c>
      <c r="GFP1" s="3" t="s">
        <v>5057</v>
      </c>
      <c r="GFQ1" s="3" t="s">
        <v>5058</v>
      </c>
      <c r="GFR1" s="3" t="s">
        <v>5059</v>
      </c>
      <c r="GFS1" s="3" t="s">
        <v>5060</v>
      </c>
      <c r="GFT1" s="3" t="s">
        <v>5061</v>
      </c>
      <c r="GFU1" s="3" t="s">
        <v>5062</v>
      </c>
      <c r="GFV1" s="3" t="s">
        <v>5063</v>
      </c>
      <c r="GFW1" s="3" t="s">
        <v>5064</v>
      </c>
      <c r="GFX1" s="3" t="s">
        <v>5065</v>
      </c>
      <c r="GFY1" s="3" t="s">
        <v>5066</v>
      </c>
      <c r="GFZ1" s="3" t="s">
        <v>5067</v>
      </c>
      <c r="GGA1" s="3" t="s">
        <v>5068</v>
      </c>
      <c r="GGB1" s="3" t="s">
        <v>5069</v>
      </c>
      <c r="GGC1" s="3" t="s">
        <v>5070</v>
      </c>
      <c r="GGD1" s="3" t="s">
        <v>5071</v>
      </c>
      <c r="GGE1" s="3" t="s">
        <v>5072</v>
      </c>
      <c r="GGF1" s="3" t="s">
        <v>5073</v>
      </c>
      <c r="GGG1" s="3" t="s">
        <v>5074</v>
      </c>
      <c r="GGH1" s="3" t="s">
        <v>5075</v>
      </c>
      <c r="GGI1" s="3" t="s">
        <v>5076</v>
      </c>
      <c r="GGJ1" s="3" t="s">
        <v>5077</v>
      </c>
      <c r="GGK1" s="3" t="s">
        <v>5078</v>
      </c>
      <c r="GGL1" s="3" t="s">
        <v>5079</v>
      </c>
      <c r="GGM1" s="3" t="s">
        <v>5080</v>
      </c>
      <c r="GGN1" s="3" t="s">
        <v>5081</v>
      </c>
      <c r="GGO1" s="3" t="s">
        <v>5082</v>
      </c>
      <c r="GGP1" s="3" t="s">
        <v>5083</v>
      </c>
      <c r="GGQ1" s="3" t="s">
        <v>5084</v>
      </c>
      <c r="GGR1" s="3" t="s">
        <v>5085</v>
      </c>
      <c r="GGS1" s="3" t="s">
        <v>5086</v>
      </c>
      <c r="GGT1" s="3" t="s">
        <v>5087</v>
      </c>
      <c r="GGU1" s="3" t="s">
        <v>5088</v>
      </c>
      <c r="GGV1" s="3" t="s">
        <v>5089</v>
      </c>
      <c r="GGW1" s="3" t="s">
        <v>5090</v>
      </c>
      <c r="GGX1" s="3" t="s">
        <v>5091</v>
      </c>
      <c r="GGY1" s="3" t="s">
        <v>5092</v>
      </c>
      <c r="GGZ1" s="3" t="s">
        <v>5093</v>
      </c>
      <c r="GHA1" s="3" t="s">
        <v>5094</v>
      </c>
      <c r="GHB1" s="3" t="s">
        <v>5095</v>
      </c>
      <c r="GHC1" s="3" t="s">
        <v>5096</v>
      </c>
      <c r="GHD1" s="3" t="s">
        <v>5097</v>
      </c>
      <c r="GHE1" s="3" t="s">
        <v>5098</v>
      </c>
      <c r="GHF1" s="3" t="s">
        <v>5099</v>
      </c>
      <c r="GHG1" s="3" t="s">
        <v>5100</v>
      </c>
      <c r="GHH1" s="3" t="s">
        <v>5101</v>
      </c>
      <c r="GHI1" s="3" t="s">
        <v>5102</v>
      </c>
      <c r="GHJ1" s="3" t="s">
        <v>5103</v>
      </c>
      <c r="GHK1" s="3" t="s">
        <v>5104</v>
      </c>
      <c r="GHL1" s="3" t="s">
        <v>5105</v>
      </c>
      <c r="GHM1" s="3" t="s">
        <v>5106</v>
      </c>
      <c r="GHN1" s="3" t="s">
        <v>5107</v>
      </c>
      <c r="GHO1" s="3" t="s">
        <v>5108</v>
      </c>
      <c r="GHP1" s="3" t="s">
        <v>5109</v>
      </c>
      <c r="GHQ1" s="3" t="s">
        <v>5110</v>
      </c>
      <c r="GHR1" s="3" t="s">
        <v>5111</v>
      </c>
      <c r="GHS1" s="3" t="s">
        <v>5112</v>
      </c>
      <c r="GHT1" s="3" t="s">
        <v>5113</v>
      </c>
      <c r="GHU1" s="3" t="s">
        <v>5114</v>
      </c>
      <c r="GHV1" s="3" t="s">
        <v>5115</v>
      </c>
      <c r="GHW1" s="3" t="s">
        <v>5116</v>
      </c>
      <c r="GHX1" s="3" t="s">
        <v>5117</v>
      </c>
      <c r="GHY1" s="3" t="s">
        <v>5118</v>
      </c>
      <c r="GHZ1" s="3" t="s">
        <v>5119</v>
      </c>
      <c r="GIA1" s="3" t="s">
        <v>5120</v>
      </c>
      <c r="GIB1" s="3" t="s">
        <v>5121</v>
      </c>
      <c r="GIC1" s="3" t="s">
        <v>5122</v>
      </c>
      <c r="GID1" s="3" t="s">
        <v>5123</v>
      </c>
      <c r="GIE1" s="3" t="s">
        <v>5124</v>
      </c>
      <c r="GIF1" s="3" t="s">
        <v>5125</v>
      </c>
      <c r="GIG1" s="3" t="s">
        <v>5126</v>
      </c>
      <c r="GIH1" s="3" t="s">
        <v>5127</v>
      </c>
      <c r="GII1" s="3" t="s">
        <v>5128</v>
      </c>
      <c r="GIJ1" s="3" t="s">
        <v>5129</v>
      </c>
      <c r="GIK1" s="3" t="s">
        <v>5130</v>
      </c>
      <c r="GIL1" s="3" t="s">
        <v>5131</v>
      </c>
      <c r="GIM1" s="3" t="s">
        <v>5132</v>
      </c>
      <c r="GIN1" s="3" t="s">
        <v>5133</v>
      </c>
      <c r="GIO1" s="3" t="s">
        <v>5134</v>
      </c>
      <c r="GIP1" s="3" t="s">
        <v>5135</v>
      </c>
      <c r="GIQ1" s="3" t="s">
        <v>5136</v>
      </c>
      <c r="GIR1" s="3" t="s">
        <v>5137</v>
      </c>
      <c r="GIS1" s="3" t="s">
        <v>5138</v>
      </c>
      <c r="GIT1" s="3" t="s">
        <v>5139</v>
      </c>
      <c r="GIU1" s="3" t="s">
        <v>5140</v>
      </c>
      <c r="GIV1" s="3" t="s">
        <v>5141</v>
      </c>
      <c r="GIW1" s="3" t="s">
        <v>5142</v>
      </c>
      <c r="GIX1" s="3" t="s">
        <v>5143</v>
      </c>
      <c r="GIY1" s="3" t="s">
        <v>5144</v>
      </c>
      <c r="GIZ1" s="3" t="s">
        <v>5145</v>
      </c>
      <c r="GJA1" s="3" t="s">
        <v>5146</v>
      </c>
      <c r="GJB1" s="3" t="s">
        <v>5147</v>
      </c>
      <c r="GJC1" s="3" t="s">
        <v>5148</v>
      </c>
      <c r="GJD1" s="3" t="s">
        <v>5149</v>
      </c>
      <c r="GJE1" s="3" t="s">
        <v>5150</v>
      </c>
      <c r="GJF1" s="3" t="s">
        <v>5151</v>
      </c>
      <c r="GJG1" s="3" t="s">
        <v>5152</v>
      </c>
      <c r="GJH1" s="3" t="s">
        <v>5153</v>
      </c>
      <c r="GJI1" s="3" t="s">
        <v>5154</v>
      </c>
      <c r="GJJ1" s="3" t="s">
        <v>5155</v>
      </c>
      <c r="GJK1" s="3" t="s">
        <v>5156</v>
      </c>
      <c r="GJL1" s="3" t="s">
        <v>5157</v>
      </c>
      <c r="GJM1" s="3" t="s">
        <v>5158</v>
      </c>
      <c r="GJN1" s="3" t="s">
        <v>5159</v>
      </c>
      <c r="GJO1" s="3" t="s">
        <v>5160</v>
      </c>
      <c r="GJP1" s="3" t="s">
        <v>5161</v>
      </c>
      <c r="GJQ1" s="3" t="s">
        <v>5162</v>
      </c>
      <c r="GJR1" s="3" t="s">
        <v>5163</v>
      </c>
      <c r="GJS1" s="3" t="s">
        <v>5164</v>
      </c>
      <c r="GJT1" s="3" t="s">
        <v>5165</v>
      </c>
      <c r="GJU1" s="3" t="s">
        <v>5166</v>
      </c>
      <c r="GJV1" s="3" t="s">
        <v>5167</v>
      </c>
      <c r="GJW1" s="3" t="s">
        <v>5168</v>
      </c>
      <c r="GJX1" s="3" t="s">
        <v>5169</v>
      </c>
      <c r="GJY1" s="3" t="s">
        <v>5170</v>
      </c>
      <c r="GJZ1" s="3" t="s">
        <v>5171</v>
      </c>
      <c r="GKA1" s="3" t="s">
        <v>5172</v>
      </c>
      <c r="GKB1" s="3" t="s">
        <v>5173</v>
      </c>
      <c r="GKC1" s="3" t="s">
        <v>5174</v>
      </c>
      <c r="GKD1" s="3" t="s">
        <v>5175</v>
      </c>
      <c r="GKE1" s="3" t="s">
        <v>5176</v>
      </c>
      <c r="GKF1" s="3" t="s">
        <v>5177</v>
      </c>
      <c r="GKG1" s="3" t="s">
        <v>5178</v>
      </c>
      <c r="GKH1" s="3" t="s">
        <v>5179</v>
      </c>
      <c r="GKI1" s="3" t="s">
        <v>5180</v>
      </c>
      <c r="GKJ1" s="3" t="s">
        <v>5181</v>
      </c>
      <c r="GKK1" s="3" t="s">
        <v>5182</v>
      </c>
      <c r="GKL1" s="3" t="s">
        <v>5183</v>
      </c>
      <c r="GKM1" s="3" t="s">
        <v>5184</v>
      </c>
      <c r="GKN1" s="3" t="s">
        <v>5185</v>
      </c>
      <c r="GKO1" s="3" t="s">
        <v>5186</v>
      </c>
      <c r="GKP1" s="3" t="s">
        <v>5187</v>
      </c>
      <c r="GKQ1" s="3" t="s">
        <v>5188</v>
      </c>
      <c r="GKR1" s="3" t="s">
        <v>5189</v>
      </c>
      <c r="GKS1" s="3" t="s">
        <v>5190</v>
      </c>
      <c r="GKT1" s="3" t="s">
        <v>5191</v>
      </c>
      <c r="GKU1" s="3" t="s">
        <v>5192</v>
      </c>
      <c r="GKV1" s="3" t="s">
        <v>5193</v>
      </c>
      <c r="GKW1" s="3" t="s">
        <v>5194</v>
      </c>
      <c r="GKX1" s="3" t="s">
        <v>5195</v>
      </c>
      <c r="GKY1" s="3" t="s">
        <v>5196</v>
      </c>
      <c r="GKZ1" s="3" t="s">
        <v>5197</v>
      </c>
      <c r="GLA1" s="3" t="s">
        <v>5198</v>
      </c>
      <c r="GLB1" s="3" t="s">
        <v>5199</v>
      </c>
      <c r="GLC1" s="3" t="s">
        <v>5200</v>
      </c>
      <c r="GLD1" s="3" t="s">
        <v>5201</v>
      </c>
      <c r="GLE1" s="3" t="s">
        <v>5202</v>
      </c>
      <c r="GLF1" s="3" t="s">
        <v>5203</v>
      </c>
      <c r="GLG1" s="3" t="s">
        <v>5204</v>
      </c>
      <c r="GLH1" s="3" t="s">
        <v>5205</v>
      </c>
      <c r="GLI1" s="3" t="s">
        <v>5206</v>
      </c>
      <c r="GLJ1" s="3" t="s">
        <v>5207</v>
      </c>
      <c r="GLK1" s="3" t="s">
        <v>5208</v>
      </c>
      <c r="GLL1" s="3" t="s">
        <v>5209</v>
      </c>
      <c r="GLM1" s="3" t="s">
        <v>5210</v>
      </c>
      <c r="GLN1" s="3" t="s">
        <v>5211</v>
      </c>
      <c r="GLO1" s="3" t="s">
        <v>5212</v>
      </c>
      <c r="GLP1" s="3" t="s">
        <v>5213</v>
      </c>
      <c r="GLQ1" s="3" t="s">
        <v>5214</v>
      </c>
      <c r="GLR1" s="3" t="s">
        <v>5215</v>
      </c>
      <c r="GLS1" s="3" t="s">
        <v>5216</v>
      </c>
      <c r="GLT1" s="3" t="s">
        <v>5217</v>
      </c>
      <c r="GLU1" s="3" t="s">
        <v>5218</v>
      </c>
      <c r="GLV1" s="3" t="s">
        <v>5219</v>
      </c>
      <c r="GLW1" s="3" t="s">
        <v>5220</v>
      </c>
      <c r="GLX1" s="3" t="s">
        <v>5221</v>
      </c>
      <c r="GLY1" s="3" t="s">
        <v>5222</v>
      </c>
      <c r="GLZ1" s="3" t="s">
        <v>5223</v>
      </c>
      <c r="GMA1" s="3" t="s">
        <v>5224</v>
      </c>
      <c r="GMB1" s="3" t="s">
        <v>5225</v>
      </c>
      <c r="GMC1" s="3" t="s">
        <v>5226</v>
      </c>
      <c r="GMD1" s="3" t="s">
        <v>5227</v>
      </c>
      <c r="GME1" s="3" t="s">
        <v>5228</v>
      </c>
      <c r="GMF1" s="3" t="s">
        <v>5229</v>
      </c>
      <c r="GMG1" s="3" t="s">
        <v>5230</v>
      </c>
      <c r="GMH1" s="3" t="s">
        <v>5231</v>
      </c>
      <c r="GMI1" s="3" t="s">
        <v>5232</v>
      </c>
      <c r="GMJ1" s="3" t="s">
        <v>5233</v>
      </c>
      <c r="GMK1" s="3" t="s">
        <v>5234</v>
      </c>
      <c r="GML1" s="3" t="s">
        <v>5235</v>
      </c>
      <c r="GMM1" s="3" t="s">
        <v>5236</v>
      </c>
      <c r="GMN1" s="3" t="s">
        <v>5237</v>
      </c>
      <c r="GMO1" s="3" t="s">
        <v>5238</v>
      </c>
      <c r="GMP1" s="3" t="s">
        <v>5239</v>
      </c>
      <c r="GMQ1" s="3" t="s">
        <v>5240</v>
      </c>
      <c r="GMR1" s="3" t="s">
        <v>5241</v>
      </c>
      <c r="GMS1" s="3" t="s">
        <v>5242</v>
      </c>
      <c r="GMT1" s="3" t="s">
        <v>5243</v>
      </c>
      <c r="GMU1" s="3" t="s">
        <v>5244</v>
      </c>
      <c r="GMV1" s="3" t="s">
        <v>5245</v>
      </c>
      <c r="GMW1" s="3" t="s">
        <v>5246</v>
      </c>
      <c r="GMX1" s="3" t="s">
        <v>5247</v>
      </c>
      <c r="GMY1" s="3" t="s">
        <v>5248</v>
      </c>
      <c r="GMZ1" s="3" t="s">
        <v>5249</v>
      </c>
      <c r="GNA1" s="3" t="s">
        <v>5250</v>
      </c>
      <c r="GNB1" s="3" t="s">
        <v>5251</v>
      </c>
      <c r="GNC1" s="3" t="s">
        <v>5252</v>
      </c>
      <c r="GND1" s="3" t="s">
        <v>5253</v>
      </c>
      <c r="GNE1" s="3" t="s">
        <v>5254</v>
      </c>
      <c r="GNF1" s="3" t="s">
        <v>5255</v>
      </c>
      <c r="GNG1" s="3" t="s">
        <v>5256</v>
      </c>
      <c r="GNH1" s="3" t="s">
        <v>5257</v>
      </c>
      <c r="GNI1" s="3" t="s">
        <v>5258</v>
      </c>
      <c r="GNJ1" s="3" t="s">
        <v>5259</v>
      </c>
      <c r="GNK1" s="3" t="s">
        <v>5260</v>
      </c>
      <c r="GNL1" s="3" t="s">
        <v>5261</v>
      </c>
      <c r="GNM1" s="3" t="s">
        <v>5262</v>
      </c>
      <c r="GNN1" s="3" t="s">
        <v>5263</v>
      </c>
      <c r="GNO1" s="3" t="s">
        <v>5264</v>
      </c>
      <c r="GNP1" s="3" t="s">
        <v>5265</v>
      </c>
      <c r="GNQ1" s="3" t="s">
        <v>5266</v>
      </c>
      <c r="GNR1" s="3" t="s">
        <v>5267</v>
      </c>
      <c r="GNS1" s="3" t="s">
        <v>5268</v>
      </c>
      <c r="GNT1" s="3" t="s">
        <v>5269</v>
      </c>
      <c r="GNU1" s="3" t="s">
        <v>5270</v>
      </c>
      <c r="GNV1" s="3" t="s">
        <v>5271</v>
      </c>
      <c r="GNW1" s="3" t="s">
        <v>5272</v>
      </c>
      <c r="GNX1" s="3" t="s">
        <v>5273</v>
      </c>
      <c r="GNY1" s="3" t="s">
        <v>5274</v>
      </c>
      <c r="GNZ1" s="3" t="s">
        <v>5275</v>
      </c>
      <c r="GOA1" s="3" t="s">
        <v>5276</v>
      </c>
      <c r="GOB1" s="3" t="s">
        <v>5277</v>
      </c>
      <c r="GOC1" s="3" t="s">
        <v>5278</v>
      </c>
      <c r="GOD1" s="3" t="s">
        <v>5279</v>
      </c>
      <c r="GOE1" s="3" t="s">
        <v>5280</v>
      </c>
      <c r="GOF1" s="3" t="s">
        <v>5281</v>
      </c>
      <c r="GOG1" s="3" t="s">
        <v>5282</v>
      </c>
      <c r="GOH1" s="3" t="s">
        <v>5283</v>
      </c>
      <c r="GOI1" s="3" t="s">
        <v>5284</v>
      </c>
      <c r="GOJ1" s="3" t="s">
        <v>5285</v>
      </c>
      <c r="GOK1" s="3" t="s">
        <v>5286</v>
      </c>
      <c r="GOL1" s="3" t="s">
        <v>5287</v>
      </c>
      <c r="GOM1" s="3" t="s">
        <v>5288</v>
      </c>
      <c r="GON1" s="3" t="s">
        <v>5289</v>
      </c>
      <c r="GOO1" s="3" t="s">
        <v>5290</v>
      </c>
      <c r="GOP1" s="3" t="s">
        <v>5291</v>
      </c>
      <c r="GOQ1" s="3" t="s">
        <v>5292</v>
      </c>
      <c r="GOR1" s="3" t="s">
        <v>5293</v>
      </c>
      <c r="GOS1" s="3" t="s">
        <v>5294</v>
      </c>
      <c r="GOT1" s="3" t="s">
        <v>5295</v>
      </c>
      <c r="GOU1" s="3" t="s">
        <v>5296</v>
      </c>
      <c r="GOV1" s="3" t="s">
        <v>5297</v>
      </c>
      <c r="GOW1" s="3" t="s">
        <v>5298</v>
      </c>
      <c r="GOX1" s="3" t="s">
        <v>5299</v>
      </c>
      <c r="GOY1" s="3" t="s">
        <v>5300</v>
      </c>
      <c r="GOZ1" s="3" t="s">
        <v>5301</v>
      </c>
      <c r="GPA1" s="3" t="s">
        <v>5302</v>
      </c>
      <c r="GPB1" s="3" t="s">
        <v>5303</v>
      </c>
      <c r="GPC1" s="3" t="s">
        <v>5304</v>
      </c>
      <c r="GPD1" s="3" t="s">
        <v>5305</v>
      </c>
      <c r="GPE1" s="3" t="s">
        <v>5306</v>
      </c>
      <c r="GPF1" s="3" t="s">
        <v>5307</v>
      </c>
      <c r="GPG1" s="3" t="s">
        <v>5308</v>
      </c>
      <c r="GPH1" s="3" t="s">
        <v>5309</v>
      </c>
      <c r="GPI1" s="3" t="s">
        <v>5310</v>
      </c>
      <c r="GPJ1" s="3" t="s">
        <v>5311</v>
      </c>
      <c r="GPK1" s="3" t="s">
        <v>5312</v>
      </c>
      <c r="GPL1" s="3" t="s">
        <v>5313</v>
      </c>
      <c r="GPM1" s="3" t="s">
        <v>5314</v>
      </c>
      <c r="GPN1" s="3" t="s">
        <v>5315</v>
      </c>
      <c r="GPO1" s="3" t="s">
        <v>5316</v>
      </c>
      <c r="GPP1" s="3" t="s">
        <v>5317</v>
      </c>
      <c r="GPQ1" s="3" t="s">
        <v>5318</v>
      </c>
      <c r="GPR1" s="3" t="s">
        <v>5319</v>
      </c>
      <c r="GPS1" s="3" t="s">
        <v>5320</v>
      </c>
      <c r="GPT1" s="3" t="s">
        <v>5321</v>
      </c>
      <c r="GPU1" s="3" t="s">
        <v>5322</v>
      </c>
      <c r="GPV1" s="3" t="s">
        <v>5323</v>
      </c>
      <c r="GPW1" s="3" t="s">
        <v>5324</v>
      </c>
      <c r="GPX1" s="3" t="s">
        <v>5325</v>
      </c>
      <c r="GPY1" s="3" t="s">
        <v>5326</v>
      </c>
      <c r="GPZ1" s="3" t="s">
        <v>5327</v>
      </c>
      <c r="GQA1" s="3" t="s">
        <v>5328</v>
      </c>
      <c r="GQB1" s="3" t="s">
        <v>5329</v>
      </c>
      <c r="GQC1" s="3" t="s">
        <v>5330</v>
      </c>
      <c r="GQD1" s="3" t="s">
        <v>5331</v>
      </c>
      <c r="GQE1" s="3" t="s">
        <v>5332</v>
      </c>
      <c r="GQF1" s="3" t="s">
        <v>5333</v>
      </c>
      <c r="GQG1" s="3" t="s">
        <v>5334</v>
      </c>
      <c r="GQH1" s="3" t="s">
        <v>5335</v>
      </c>
      <c r="GQI1" s="3" t="s">
        <v>5336</v>
      </c>
      <c r="GQJ1" s="3" t="s">
        <v>5337</v>
      </c>
      <c r="GQK1" s="3" t="s">
        <v>5338</v>
      </c>
      <c r="GQL1" s="3" t="s">
        <v>5339</v>
      </c>
      <c r="GQM1" s="3" t="s">
        <v>5340</v>
      </c>
      <c r="GQN1" s="3" t="s">
        <v>5341</v>
      </c>
      <c r="GQO1" s="3" t="s">
        <v>5342</v>
      </c>
      <c r="GQP1" s="3" t="s">
        <v>5343</v>
      </c>
      <c r="GQQ1" s="3" t="s">
        <v>5344</v>
      </c>
      <c r="GQR1" s="3" t="s">
        <v>5345</v>
      </c>
      <c r="GQS1" s="3" t="s">
        <v>5346</v>
      </c>
      <c r="GQT1" s="3" t="s">
        <v>5347</v>
      </c>
      <c r="GQU1" s="3" t="s">
        <v>5348</v>
      </c>
      <c r="GQV1" s="3" t="s">
        <v>5349</v>
      </c>
      <c r="GQW1" s="3" t="s">
        <v>5350</v>
      </c>
      <c r="GQX1" s="3" t="s">
        <v>5351</v>
      </c>
      <c r="GQY1" s="3" t="s">
        <v>5352</v>
      </c>
      <c r="GQZ1" s="3" t="s">
        <v>5353</v>
      </c>
      <c r="GRA1" s="3" t="s">
        <v>5354</v>
      </c>
      <c r="GRB1" s="3" t="s">
        <v>5355</v>
      </c>
      <c r="GRC1" s="3" t="s">
        <v>5356</v>
      </c>
      <c r="GRD1" s="3" t="s">
        <v>5357</v>
      </c>
      <c r="GRE1" s="3" t="s">
        <v>5358</v>
      </c>
      <c r="GRF1" s="3" t="s">
        <v>5359</v>
      </c>
      <c r="GRG1" s="3" t="s">
        <v>5360</v>
      </c>
      <c r="GRH1" s="3" t="s">
        <v>5361</v>
      </c>
      <c r="GRI1" s="3" t="s">
        <v>5362</v>
      </c>
      <c r="GRJ1" s="3" t="s">
        <v>5363</v>
      </c>
      <c r="GRK1" s="3" t="s">
        <v>5364</v>
      </c>
      <c r="GRL1" s="3" t="s">
        <v>5365</v>
      </c>
      <c r="GRM1" s="3" t="s">
        <v>5366</v>
      </c>
      <c r="GRN1" s="3" t="s">
        <v>5367</v>
      </c>
      <c r="GRO1" s="3" t="s">
        <v>5368</v>
      </c>
      <c r="GRP1" s="3" t="s">
        <v>5369</v>
      </c>
      <c r="GRQ1" s="3" t="s">
        <v>5370</v>
      </c>
      <c r="GRR1" s="3" t="s">
        <v>5371</v>
      </c>
      <c r="GRS1" s="3" t="s">
        <v>5372</v>
      </c>
      <c r="GRT1" s="3" t="s">
        <v>5373</v>
      </c>
      <c r="GRU1" s="3" t="s">
        <v>5374</v>
      </c>
      <c r="GRV1" s="3" t="s">
        <v>5375</v>
      </c>
      <c r="GRW1" s="3" t="s">
        <v>5376</v>
      </c>
      <c r="GRX1" s="3" t="s">
        <v>5377</v>
      </c>
      <c r="GRY1" s="3" t="s">
        <v>5378</v>
      </c>
      <c r="GRZ1" s="3" t="s">
        <v>5379</v>
      </c>
      <c r="GSA1" s="3" t="s">
        <v>5380</v>
      </c>
      <c r="GSB1" s="3" t="s">
        <v>5381</v>
      </c>
      <c r="GSC1" s="3" t="s">
        <v>5382</v>
      </c>
      <c r="GSD1" s="3" t="s">
        <v>5383</v>
      </c>
      <c r="GSE1" s="3" t="s">
        <v>5384</v>
      </c>
      <c r="GSF1" s="3" t="s">
        <v>5385</v>
      </c>
      <c r="GSG1" s="3" t="s">
        <v>5386</v>
      </c>
      <c r="GSH1" s="3" t="s">
        <v>5387</v>
      </c>
      <c r="GSI1" s="3" t="s">
        <v>5388</v>
      </c>
      <c r="GSJ1" s="3" t="s">
        <v>5389</v>
      </c>
      <c r="GSK1" s="3" t="s">
        <v>5390</v>
      </c>
      <c r="GSL1" s="3" t="s">
        <v>5391</v>
      </c>
      <c r="GSM1" s="3" t="s">
        <v>5392</v>
      </c>
      <c r="GSN1" s="3" t="s">
        <v>5393</v>
      </c>
      <c r="GSO1" s="3" t="s">
        <v>5394</v>
      </c>
      <c r="GSP1" s="3" t="s">
        <v>5395</v>
      </c>
      <c r="GSQ1" s="3" t="s">
        <v>5396</v>
      </c>
      <c r="GSR1" s="3" t="s">
        <v>5397</v>
      </c>
      <c r="GSS1" s="3" t="s">
        <v>5398</v>
      </c>
      <c r="GST1" s="3" t="s">
        <v>5399</v>
      </c>
      <c r="GSU1" s="3" t="s">
        <v>5400</v>
      </c>
      <c r="GSV1" s="3" t="s">
        <v>5401</v>
      </c>
      <c r="GSW1" s="3" t="s">
        <v>5402</v>
      </c>
      <c r="GSX1" s="3" t="s">
        <v>5403</v>
      </c>
      <c r="GSY1" s="3" t="s">
        <v>5404</v>
      </c>
      <c r="GSZ1" s="3" t="s">
        <v>5405</v>
      </c>
      <c r="GTA1" s="3" t="s">
        <v>5406</v>
      </c>
      <c r="GTB1" s="3" t="s">
        <v>5407</v>
      </c>
      <c r="GTC1" s="3" t="s">
        <v>5408</v>
      </c>
      <c r="GTD1" s="3" t="s">
        <v>5409</v>
      </c>
      <c r="GTE1" s="3" t="s">
        <v>5410</v>
      </c>
      <c r="GTF1" s="3" t="s">
        <v>5411</v>
      </c>
      <c r="GTG1" s="3" t="s">
        <v>5412</v>
      </c>
      <c r="GTH1" s="3" t="s">
        <v>5413</v>
      </c>
      <c r="GTI1" s="3" t="s">
        <v>5414</v>
      </c>
      <c r="GTJ1" s="3" t="s">
        <v>5415</v>
      </c>
      <c r="GTK1" s="3" t="s">
        <v>5416</v>
      </c>
      <c r="GTL1" s="3" t="s">
        <v>5417</v>
      </c>
      <c r="GTM1" s="3" t="s">
        <v>5418</v>
      </c>
      <c r="GTN1" s="3" t="s">
        <v>5419</v>
      </c>
      <c r="GTO1" s="3" t="s">
        <v>5420</v>
      </c>
      <c r="GTP1" s="3" t="s">
        <v>5421</v>
      </c>
      <c r="GTQ1" s="3" t="s">
        <v>5422</v>
      </c>
      <c r="GTR1" s="3" t="s">
        <v>5423</v>
      </c>
      <c r="GTS1" s="3" t="s">
        <v>5424</v>
      </c>
      <c r="GTT1" s="3" t="s">
        <v>5425</v>
      </c>
      <c r="GTU1" s="3" t="s">
        <v>5426</v>
      </c>
      <c r="GTV1" s="3" t="s">
        <v>5427</v>
      </c>
      <c r="GTW1" s="3" t="s">
        <v>5428</v>
      </c>
      <c r="GTX1" s="3" t="s">
        <v>5429</v>
      </c>
      <c r="GTY1" s="3" t="s">
        <v>5430</v>
      </c>
      <c r="GTZ1" s="3" t="s">
        <v>5431</v>
      </c>
      <c r="GUA1" s="3" t="s">
        <v>5432</v>
      </c>
      <c r="GUB1" s="3" t="s">
        <v>5433</v>
      </c>
      <c r="GUC1" s="3" t="s">
        <v>5434</v>
      </c>
      <c r="GUD1" s="3" t="s">
        <v>5435</v>
      </c>
      <c r="GUE1" s="3" t="s">
        <v>5436</v>
      </c>
      <c r="GUF1" s="3" t="s">
        <v>5437</v>
      </c>
      <c r="GUG1" s="3" t="s">
        <v>5438</v>
      </c>
      <c r="GUH1" s="3" t="s">
        <v>5439</v>
      </c>
      <c r="GUI1" s="3" t="s">
        <v>5440</v>
      </c>
      <c r="GUJ1" s="3" t="s">
        <v>5441</v>
      </c>
      <c r="GUK1" s="3" t="s">
        <v>5442</v>
      </c>
      <c r="GUL1" s="3" t="s">
        <v>5443</v>
      </c>
      <c r="GUM1" s="3" t="s">
        <v>5444</v>
      </c>
      <c r="GUN1" s="3" t="s">
        <v>5445</v>
      </c>
      <c r="GUO1" s="3" t="s">
        <v>5446</v>
      </c>
      <c r="GUP1" s="3" t="s">
        <v>5447</v>
      </c>
      <c r="GUQ1" s="3" t="s">
        <v>5448</v>
      </c>
      <c r="GUR1" s="3" t="s">
        <v>5449</v>
      </c>
      <c r="GUS1" s="3" t="s">
        <v>5450</v>
      </c>
      <c r="GUT1" s="3" t="s">
        <v>5451</v>
      </c>
      <c r="GUU1" s="3" t="s">
        <v>5452</v>
      </c>
      <c r="GUV1" s="3" t="s">
        <v>5453</v>
      </c>
      <c r="GUW1" s="3" t="s">
        <v>5454</v>
      </c>
      <c r="GUX1" s="3" t="s">
        <v>5455</v>
      </c>
      <c r="GUY1" s="3" t="s">
        <v>5456</v>
      </c>
      <c r="GUZ1" s="3" t="s">
        <v>5457</v>
      </c>
      <c r="GVA1" s="3" t="s">
        <v>5458</v>
      </c>
      <c r="GVB1" s="3" t="s">
        <v>5459</v>
      </c>
      <c r="GVC1" s="3" t="s">
        <v>5460</v>
      </c>
      <c r="GVD1" s="3" t="s">
        <v>5461</v>
      </c>
      <c r="GVE1" s="3" t="s">
        <v>5462</v>
      </c>
      <c r="GVF1" s="3" t="s">
        <v>5463</v>
      </c>
      <c r="GVG1" s="3" t="s">
        <v>5464</v>
      </c>
      <c r="GVH1" s="3" t="s">
        <v>5465</v>
      </c>
      <c r="GVI1" s="3" t="s">
        <v>5466</v>
      </c>
      <c r="GVJ1" s="3" t="s">
        <v>5467</v>
      </c>
      <c r="GVK1" s="3" t="s">
        <v>5468</v>
      </c>
      <c r="GVL1" s="3" t="s">
        <v>5469</v>
      </c>
      <c r="GVM1" s="3" t="s">
        <v>5470</v>
      </c>
      <c r="GVN1" s="3" t="s">
        <v>5471</v>
      </c>
      <c r="GVO1" s="3" t="s">
        <v>5472</v>
      </c>
      <c r="GVP1" s="3" t="s">
        <v>5473</v>
      </c>
      <c r="GVQ1" s="3" t="s">
        <v>5474</v>
      </c>
      <c r="GVR1" s="3" t="s">
        <v>5475</v>
      </c>
      <c r="GVS1" s="3" t="s">
        <v>5476</v>
      </c>
      <c r="GVT1" s="3" t="s">
        <v>5477</v>
      </c>
      <c r="GVU1" s="3" t="s">
        <v>5478</v>
      </c>
      <c r="GVV1" s="3" t="s">
        <v>5479</v>
      </c>
      <c r="GVW1" s="3" t="s">
        <v>5480</v>
      </c>
      <c r="GVX1" s="3" t="s">
        <v>5481</v>
      </c>
      <c r="GVY1" s="3" t="s">
        <v>5482</v>
      </c>
      <c r="GVZ1" s="3" t="s">
        <v>5483</v>
      </c>
      <c r="GWA1" s="3" t="s">
        <v>5484</v>
      </c>
      <c r="GWB1" s="3" t="s">
        <v>5485</v>
      </c>
      <c r="GWC1" s="3" t="s">
        <v>5486</v>
      </c>
      <c r="GWD1" s="3" t="s">
        <v>5487</v>
      </c>
      <c r="GWE1" s="3" t="s">
        <v>5488</v>
      </c>
      <c r="GWF1" s="3" t="s">
        <v>5489</v>
      </c>
      <c r="GWG1" s="3" t="s">
        <v>5490</v>
      </c>
      <c r="GWH1" s="3" t="s">
        <v>5491</v>
      </c>
      <c r="GWI1" s="3" t="s">
        <v>5492</v>
      </c>
      <c r="GWJ1" s="3" t="s">
        <v>5493</v>
      </c>
      <c r="GWK1" s="3" t="s">
        <v>5494</v>
      </c>
      <c r="GWL1" s="3" t="s">
        <v>5495</v>
      </c>
      <c r="GWM1" s="3" t="s">
        <v>5496</v>
      </c>
      <c r="GWN1" s="3" t="s">
        <v>5497</v>
      </c>
      <c r="GWO1" s="3" t="s">
        <v>5498</v>
      </c>
      <c r="GWP1" s="3" t="s">
        <v>5499</v>
      </c>
      <c r="GWQ1" s="3" t="s">
        <v>5500</v>
      </c>
      <c r="GWR1" s="3" t="s">
        <v>5501</v>
      </c>
      <c r="GWS1" s="3" t="s">
        <v>5502</v>
      </c>
      <c r="GWT1" s="3" t="s">
        <v>5503</v>
      </c>
      <c r="GWU1" s="3" t="s">
        <v>5504</v>
      </c>
      <c r="GWV1" s="3" t="s">
        <v>5505</v>
      </c>
      <c r="GWW1" s="3" t="s">
        <v>5506</v>
      </c>
      <c r="GWX1" s="3" t="s">
        <v>5507</v>
      </c>
      <c r="GWY1" s="3" t="s">
        <v>5508</v>
      </c>
      <c r="GWZ1" s="3" t="s">
        <v>5509</v>
      </c>
      <c r="GXA1" s="3" t="s">
        <v>5510</v>
      </c>
      <c r="GXB1" s="3" t="s">
        <v>5511</v>
      </c>
      <c r="GXC1" s="3" t="s">
        <v>5512</v>
      </c>
      <c r="GXD1" s="3" t="s">
        <v>5513</v>
      </c>
      <c r="GXE1" s="3" t="s">
        <v>5514</v>
      </c>
      <c r="GXF1" s="3" t="s">
        <v>5515</v>
      </c>
      <c r="GXG1" s="3" t="s">
        <v>5516</v>
      </c>
      <c r="GXH1" s="3" t="s">
        <v>5517</v>
      </c>
      <c r="GXI1" s="3" t="s">
        <v>5518</v>
      </c>
      <c r="GXJ1" s="3" t="s">
        <v>5519</v>
      </c>
      <c r="GXK1" s="3" t="s">
        <v>5520</v>
      </c>
      <c r="GXL1" s="3" t="s">
        <v>5521</v>
      </c>
      <c r="GXM1" s="3" t="s">
        <v>5522</v>
      </c>
      <c r="GXN1" s="3" t="s">
        <v>5523</v>
      </c>
      <c r="GXO1" s="3" t="s">
        <v>5524</v>
      </c>
      <c r="GXP1" s="3" t="s">
        <v>5525</v>
      </c>
      <c r="GXQ1" s="3" t="s">
        <v>5526</v>
      </c>
      <c r="GXR1" s="3" t="s">
        <v>5527</v>
      </c>
      <c r="GXS1" s="3" t="s">
        <v>5528</v>
      </c>
      <c r="GXT1" s="3" t="s">
        <v>5529</v>
      </c>
      <c r="GXU1" s="3" t="s">
        <v>5530</v>
      </c>
      <c r="GXV1" s="3" t="s">
        <v>5531</v>
      </c>
      <c r="GXW1" s="3" t="s">
        <v>5532</v>
      </c>
      <c r="GXX1" s="3" t="s">
        <v>5533</v>
      </c>
      <c r="GXY1" s="3" t="s">
        <v>5534</v>
      </c>
      <c r="GXZ1" s="3" t="s">
        <v>5535</v>
      </c>
      <c r="GYA1" s="3" t="s">
        <v>5536</v>
      </c>
      <c r="GYB1" s="3" t="s">
        <v>5537</v>
      </c>
      <c r="GYC1" s="3" t="s">
        <v>5538</v>
      </c>
      <c r="GYD1" s="3" t="s">
        <v>5539</v>
      </c>
      <c r="GYE1" s="3" t="s">
        <v>5540</v>
      </c>
      <c r="GYF1" s="3" t="s">
        <v>5541</v>
      </c>
      <c r="GYG1" s="3" t="s">
        <v>5542</v>
      </c>
      <c r="GYH1" s="3" t="s">
        <v>5543</v>
      </c>
      <c r="GYI1" s="3" t="s">
        <v>5544</v>
      </c>
      <c r="GYJ1" s="3" t="s">
        <v>5545</v>
      </c>
      <c r="GYK1" s="3" t="s">
        <v>5546</v>
      </c>
      <c r="GYL1" s="3" t="s">
        <v>5547</v>
      </c>
      <c r="GYM1" s="3" t="s">
        <v>5548</v>
      </c>
      <c r="GYN1" s="3" t="s">
        <v>5549</v>
      </c>
      <c r="GYO1" s="3" t="s">
        <v>5550</v>
      </c>
      <c r="GYP1" s="3" t="s">
        <v>5551</v>
      </c>
      <c r="GYQ1" s="3" t="s">
        <v>5552</v>
      </c>
      <c r="GYR1" s="3" t="s">
        <v>5553</v>
      </c>
      <c r="GYS1" s="3" t="s">
        <v>5554</v>
      </c>
      <c r="GYT1" s="3" t="s">
        <v>5555</v>
      </c>
      <c r="GYU1" s="3" t="s">
        <v>5556</v>
      </c>
      <c r="GYV1" s="3" t="s">
        <v>5557</v>
      </c>
      <c r="GYW1" s="3" t="s">
        <v>5558</v>
      </c>
      <c r="GYX1" s="3" t="s">
        <v>5559</v>
      </c>
      <c r="GYY1" s="3" t="s">
        <v>5560</v>
      </c>
      <c r="GYZ1" s="3" t="s">
        <v>5561</v>
      </c>
      <c r="GZA1" s="3" t="s">
        <v>5562</v>
      </c>
      <c r="GZB1" s="3" t="s">
        <v>5563</v>
      </c>
      <c r="GZC1" s="3" t="s">
        <v>5564</v>
      </c>
      <c r="GZD1" s="3" t="s">
        <v>5565</v>
      </c>
      <c r="GZE1" s="3" t="s">
        <v>5566</v>
      </c>
      <c r="GZF1" s="3" t="s">
        <v>5567</v>
      </c>
      <c r="GZG1" s="3" t="s">
        <v>5568</v>
      </c>
      <c r="GZH1" s="3" t="s">
        <v>5569</v>
      </c>
      <c r="GZI1" s="3" t="s">
        <v>5570</v>
      </c>
      <c r="GZJ1" s="3" t="s">
        <v>5571</v>
      </c>
      <c r="GZK1" s="3" t="s">
        <v>5572</v>
      </c>
      <c r="GZL1" s="3" t="s">
        <v>5573</v>
      </c>
      <c r="GZM1" s="3" t="s">
        <v>5574</v>
      </c>
      <c r="GZN1" s="3" t="s">
        <v>5575</v>
      </c>
      <c r="GZO1" s="3" t="s">
        <v>5576</v>
      </c>
      <c r="GZP1" s="3" t="s">
        <v>5577</v>
      </c>
      <c r="GZQ1" s="3" t="s">
        <v>5578</v>
      </c>
      <c r="GZR1" s="3" t="s">
        <v>5579</v>
      </c>
      <c r="GZS1" s="3" t="s">
        <v>5580</v>
      </c>
      <c r="GZT1" s="3" t="s">
        <v>5581</v>
      </c>
      <c r="GZU1" s="3" t="s">
        <v>5582</v>
      </c>
      <c r="GZV1" s="3" t="s">
        <v>5583</v>
      </c>
      <c r="GZW1" s="3" t="s">
        <v>5584</v>
      </c>
      <c r="GZX1" s="3" t="s">
        <v>5585</v>
      </c>
      <c r="GZY1" s="3" t="s">
        <v>5586</v>
      </c>
      <c r="GZZ1" s="3" t="s">
        <v>5587</v>
      </c>
      <c r="HAA1" s="3" t="s">
        <v>5588</v>
      </c>
      <c r="HAB1" s="3" t="s">
        <v>5589</v>
      </c>
      <c r="HAC1" s="3" t="s">
        <v>5590</v>
      </c>
      <c r="HAD1" s="3" t="s">
        <v>5591</v>
      </c>
      <c r="HAE1" s="3" t="s">
        <v>5592</v>
      </c>
      <c r="HAF1" s="3" t="s">
        <v>5593</v>
      </c>
      <c r="HAG1" s="3" t="s">
        <v>5594</v>
      </c>
      <c r="HAH1" s="3" t="s">
        <v>5595</v>
      </c>
      <c r="HAI1" s="3" t="s">
        <v>5596</v>
      </c>
      <c r="HAJ1" s="3" t="s">
        <v>5597</v>
      </c>
      <c r="HAK1" s="3" t="s">
        <v>5598</v>
      </c>
      <c r="HAL1" s="3" t="s">
        <v>5599</v>
      </c>
      <c r="HAM1" s="3" t="s">
        <v>5600</v>
      </c>
      <c r="HAN1" s="3" t="s">
        <v>5601</v>
      </c>
      <c r="HAO1" s="3" t="s">
        <v>5602</v>
      </c>
      <c r="HAP1" s="3" t="s">
        <v>5603</v>
      </c>
      <c r="HAQ1" s="3" t="s">
        <v>5604</v>
      </c>
      <c r="HAR1" s="3" t="s">
        <v>5605</v>
      </c>
      <c r="HAS1" s="3" t="s">
        <v>5606</v>
      </c>
      <c r="HAT1" s="3" t="s">
        <v>5607</v>
      </c>
      <c r="HAU1" s="3" t="s">
        <v>5608</v>
      </c>
      <c r="HAV1" s="3" t="s">
        <v>5609</v>
      </c>
      <c r="HAW1" s="3" t="s">
        <v>5610</v>
      </c>
      <c r="HAX1" s="3" t="s">
        <v>5611</v>
      </c>
      <c r="HAY1" s="3" t="s">
        <v>5612</v>
      </c>
      <c r="HAZ1" s="3" t="s">
        <v>5613</v>
      </c>
      <c r="HBA1" s="3" t="s">
        <v>5614</v>
      </c>
      <c r="HBB1" s="3" t="s">
        <v>5615</v>
      </c>
      <c r="HBC1" s="3" t="s">
        <v>5616</v>
      </c>
      <c r="HBD1" s="3" t="s">
        <v>5617</v>
      </c>
      <c r="HBE1" s="3" t="s">
        <v>5618</v>
      </c>
      <c r="HBF1" s="3" t="s">
        <v>5619</v>
      </c>
      <c r="HBG1" s="3" t="s">
        <v>5620</v>
      </c>
      <c r="HBH1" s="3" t="s">
        <v>5621</v>
      </c>
      <c r="HBI1" s="3" t="s">
        <v>5622</v>
      </c>
      <c r="HBJ1" s="3" t="s">
        <v>5623</v>
      </c>
      <c r="HBK1" s="3" t="s">
        <v>5624</v>
      </c>
      <c r="HBL1" s="3" t="s">
        <v>5625</v>
      </c>
      <c r="HBM1" s="3" t="s">
        <v>5626</v>
      </c>
      <c r="HBN1" s="3" t="s">
        <v>5627</v>
      </c>
      <c r="HBO1" s="3" t="s">
        <v>5628</v>
      </c>
      <c r="HBP1" s="3" t="s">
        <v>5629</v>
      </c>
      <c r="HBQ1" s="3" t="s">
        <v>5630</v>
      </c>
      <c r="HBR1" s="3" t="s">
        <v>5631</v>
      </c>
      <c r="HBS1" s="3" t="s">
        <v>5632</v>
      </c>
      <c r="HBT1" s="3" t="s">
        <v>5633</v>
      </c>
      <c r="HBU1" s="3" t="s">
        <v>5634</v>
      </c>
      <c r="HBV1" s="3" t="s">
        <v>5635</v>
      </c>
      <c r="HBW1" s="3" t="s">
        <v>5636</v>
      </c>
      <c r="HBX1" s="3" t="s">
        <v>5637</v>
      </c>
      <c r="HBY1" s="3" t="s">
        <v>5638</v>
      </c>
      <c r="HBZ1" s="3" t="s">
        <v>5639</v>
      </c>
      <c r="HCA1" s="3" t="s">
        <v>5640</v>
      </c>
      <c r="HCB1" s="3" t="s">
        <v>5641</v>
      </c>
      <c r="HCC1" s="3" t="s">
        <v>5642</v>
      </c>
      <c r="HCD1" s="3" t="s">
        <v>5643</v>
      </c>
      <c r="HCE1" s="3" t="s">
        <v>5644</v>
      </c>
      <c r="HCF1" s="3" t="s">
        <v>5645</v>
      </c>
      <c r="HCG1" s="3" t="s">
        <v>5646</v>
      </c>
      <c r="HCH1" s="3" t="s">
        <v>5647</v>
      </c>
      <c r="HCI1" s="3" t="s">
        <v>5648</v>
      </c>
      <c r="HCJ1" s="3" t="s">
        <v>5649</v>
      </c>
      <c r="HCK1" s="3" t="s">
        <v>5650</v>
      </c>
      <c r="HCL1" s="3" t="s">
        <v>5651</v>
      </c>
      <c r="HCM1" s="3" t="s">
        <v>5652</v>
      </c>
      <c r="HCN1" s="3" t="s">
        <v>5653</v>
      </c>
      <c r="HCO1" s="3" t="s">
        <v>5654</v>
      </c>
      <c r="HCP1" s="3" t="s">
        <v>5655</v>
      </c>
      <c r="HCQ1" s="3" t="s">
        <v>5656</v>
      </c>
      <c r="HCR1" s="3" t="s">
        <v>5657</v>
      </c>
      <c r="HCS1" s="3" t="s">
        <v>5658</v>
      </c>
      <c r="HCT1" s="3" t="s">
        <v>5659</v>
      </c>
      <c r="HCU1" s="3" t="s">
        <v>5660</v>
      </c>
      <c r="HCV1" s="3" t="s">
        <v>5661</v>
      </c>
      <c r="HCW1" s="3" t="s">
        <v>5662</v>
      </c>
      <c r="HCX1" s="3" t="s">
        <v>5663</v>
      </c>
      <c r="HCY1" s="3" t="s">
        <v>5664</v>
      </c>
      <c r="HCZ1" s="3" t="s">
        <v>5665</v>
      </c>
      <c r="HDA1" s="3" t="s">
        <v>5666</v>
      </c>
      <c r="HDB1" s="3" t="s">
        <v>5667</v>
      </c>
      <c r="HDC1" s="3" t="s">
        <v>5668</v>
      </c>
      <c r="HDD1" s="3" t="s">
        <v>5669</v>
      </c>
      <c r="HDE1" s="3" t="s">
        <v>5670</v>
      </c>
      <c r="HDF1" s="3" t="s">
        <v>5671</v>
      </c>
      <c r="HDG1" s="3" t="s">
        <v>5672</v>
      </c>
      <c r="HDH1" s="3" t="s">
        <v>5673</v>
      </c>
      <c r="HDI1" s="3" t="s">
        <v>5674</v>
      </c>
      <c r="HDJ1" s="3" t="s">
        <v>5675</v>
      </c>
      <c r="HDK1" s="3" t="s">
        <v>5676</v>
      </c>
      <c r="HDL1" s="3" t="s">
        <v>5677</v>
      </c>
      <c r="HDM1" s="3" t="s">
        <v>5678</v>
      </c>
      <c r="HDN1" s="3" t="s">
        <v>5679</v>
      </c>
      <c r="HDO1" s="3" t="s">
        <v>5680</v>
      </c>
      <c r="HDP1" s="3" t="s">
        <v>5681</v>
      </c>
      <c r="HDQ1" s="3" t="s">
        <v>5682</v>
      </c>
      <c r="HDR1" s="3" t="s">
        <v>5683</v>
      </c>
      <c r="HDS1" s="3" t="s">
        <v>5684</v>
      </c>
      <c r="HDT1" s="3" t="s">
        <v>5685</v>
      </c>
      <c r="HDU1" s="3" t="s">
        <v>5686</v>
      </c>
      <c r="HDV1" s="3" t="s">
        <v>5687</v>
      </c>
      <c r="HDW1" s="3" t="s">
        <v>5688</v>
      </c>
      <c r="HDX1" s="3" t="s">
        <v>5689</v>
      </c>
      <c r="HDY1" s="3" t="s">
        <v>5690</v>
      </c>
      <c r="HDZ1" s="3" t="s">
        <v>5691</v>
      </c>
      <c r="HEA1" s="3" t="s">
        <v>5692</v>
      </c>
      <c r="HEB1" s="3" t="s">
        <v>5693</v>
      </c>
      <c r="HEC1" s="3" t="s">
        <v>5694</v>
      </c>
      <c r="HED1" s="3" t="s">
        <v>5695</v>
      </c>
      <c r="HEE1" s="3" t="s">
        <v>5696</v>
      </c>
      <c r="HEF1" s="3" t="s">
        <v>5697</v>
      </c>
      <c r="HEG1" s="3" t="s">
        <v>5698</v>
      </c>
      <c r="HEH1" s="3" t="s">
        <v>5699</v>
      </c>
      <c r="HEI1" s="3" t="s">
        <v>5700</v>
      </c>
      <c r="HEJ1" s="3" t="s">
        <v>5701</v>
      </c>
      <c r="HEK1" s="3" t="s">
        <v>5702</v>
      </c>
      <c r="HEL1" s="3" t="s">
        <v>5703</v>
      </c>
      <c r="HEM1" s="3" t="s">
        <v>5704</v>
      </c>
      <c r="HEN1" s="3" t="s">
        <v>5705</v>
      </c>
      <c r="HEO1" s="3" t="s">
        <v>5706</v>
      </c>
      <c r="HEP1" s="3" t="s">
        <v>5707</v>
      </c>
      <c r="HEQ1" s="3" t="s">
        <v>5708</v>
      </c>
      <c r="HER1" s="3" t="s">
        <v>5709</v>
      </c>
      <c r="HES1" s="3" t="s">
        <v>5710</v>
      </c>
      <c r="HET1" s="3" t="s">
        <v>5711</v>
      </c>
      <c r="HEU1" s="3" t="s">
        <v>5712</v>
      </c>
      <c r="HEV1" s="3" t="s">
        <v>5713</v>
      </c>
      <c r="HEW1" s="3" t="s">
        <v>5714</v>
      </c>
      <c r="HEX1" s="3" t="s">
        <v>5715</v>
      </c>
      <c r="HEY1" s="3" t="s">
        <v>5716</v>
      </c>
      <c r="HEZ1" s="3" t="s">
        <v>5717</v>
      </c>
      <c r="HFA1" s="3" t="s">
        <v>5718</v>
      </c>
      <c r="HFB1" s="3" t="s">
        <v>5719</v>
      </c>
      <c r="HFC1" s="3" t="s">
        <v>5720</v>
      </c>
      <c r="HFD1" s="3" t="s">
        <v>5721</v>
      </c>
      <c r="HFE1" s="3" t="s">
        <v>5722</v>
      </c>
      <c r="HFF1" s="3" t="s">
        <v>5723</v>
      </c>
      <c r="HFG1" s="3" t="s">
        <v>5724</v>
      </c>
      <c r="HFH1" s="3" t="s">
        <v>5725</v>
      </c>
      <c r="HFI1" s="3" t="s">
        <v>5726</v>
      </c>
      <c r="HFJ1" s="3" t="s">
        <v>5727</v>
      </c>
      <c r="HFK1" s="3" t="s">
        <v>5728</v>
      </c>
      <c r="HFL1" s="3" t="s">
        <v>5729</v>
      </c>
      <c r="HFM1" s="3" t="s">
        <v>5730</v>
      </c>
      <c r="HFN1" s="3" t="s">
        <v>5731</v>
      </c>
      <c r="HFO1" s="3" t="s">
        <v>5732</v>
      </c>
      <c r="HFP1" s="3" t="s">
        <v>5733</v>
      </c>
      <c r="HFQ1" s="3" t="s">
        <v>5734</v>
      </c>
      <c r="HFR1" s="3" t="s">
        <v>5735</v>
      </c>
      <c r="HFS1" s="3" t="s">
        <v>5736</v>
      </c>
      <c r="HFT1" s="3" t="s">
        <v>5737</v>
      </c>
      <c r="HFU1" s="3" t="s">
        <v>5738</v>
      </c>
      <c r="HFV1" s="3" t="s">
        <v>5739</v>
      </c>
      <c r="HFW1" s="3" t="s">
        <v>5740</v>
      </c>
      <c r="HFX1" s="3" t="s">
        <v>5741</v>
      </c>
      <c r="HFY1" s="3" t="s">
        <v>5742</v>
      </c>
      <c r="HFZ1" s="3" t="s">
        <v>5743</v>
      </c>
      <c r="HGA1" s="3" t="s">
        <v>5744</v>
      </c>
      <c r="HGB1" s="3" t="s">
        <v>5745</v>
      </c>
      <c r="HGC1" s="3" t="s">
        <v>5746</v>
      </c>
      <c r="HGD1" s="3" t="s">
        <v>5747</v>
      </c>
      <c r="HGE1" s="3" t="s">
        <v>5748</v>
      </c>
      <c r="HGF1" s="3" t="s">
        <v>5749</v>
      </c>
      <c r="HGG1" s="3" t="s">
        <v>5750</v>
      </c>
      <c r="HGH1" s="3" t="s">
        <v>5751</v>
      </c>
      <c r="HGI1" s="3" t="s">
        <v>5752</v>
      </c>
      <c r="HGJ1" s="3" t="s">
        <v>5753</v>
      </c>
      <c r="HGK1" s="3" t="s">
        <v>5754</v>
      </c>
      <c r="HGL1" s="3" t="s">
        <v>5755</v>
      </c>
      <c r="HGM1" s="3" t="s">
        <v>5756</v>
      </c>
      <c r="HGN1" s="3" t="s">
        <v>5757</v>
      </c>
      <c r="HGO1" s="3" t="s">
        <v>5758</v>
      </c>
      <c r="HGP1" s="3" t="s">
        <v>5759</v>
      </c>
      <c r="HGQ1" s="3" t="s">
        <v>5760</v>
      </c>
      <c r="HGR1" s="3" t="s">
        <v>5761</v>
      </c>
      <c r="HGS1" s="3" t="s">
        <v>5762</v>
      </c>
      <c r="HGT1" s="3" t="s">
        <v>5763</v>
      </c>
      <c r="HGU1" s="3" t="s">
        <v>5764</v>
      </c>
      <c r="HGV1" s="3" t="s">
        <v>5765</v>
      </c>
      <c r="HGW1" s="3" t="s">
        <v>5766</v>
      </c>
      <c r="HGX1" s="3" t="s">
        <v>5767</v>
      </c>
      <c r="HGY1" s="3" t="s">
        <v>5768</v>
      </c>
      <c r="HGZ1" s="3" t="s">
        <v>5769</v>
      </c>
      <c r="HHA1" s="3" t="s">
        <v>5770</v>
      </c>
      <c r="HHB1" s="3" t="s">
        <v>5771</v>
      </c>
      <c r="HHC1" s="3" t="s">
        <v>5772</v>
      </c>
      <c r="HHD1" s="3" t="s">
        <v>5773</v>
      </c>
      <c r="HHE1" s="3" t="s">
        <v>5774</v>
      </c>
      <c r="HHF1" s="3" t="s">
        <v>5775</v>
      </c>
      <c r="HHG1" s="3" t="s">
        <v>5776</v>
      </c>
      <c r="HHH1" s="3" t="s">
        <v>5777</v>
      </c>
      <c r="HHI1" s="3" t="s">
        <v>5778</v>
      </c>
      <c r="HHJ1" s="3" t="s">
        <v>5779</v>
      </c>
      <c r="HHK1" s="3" t="s">
        <v>5780</v>
      </c>
      <c r="HHL1" s="3" t="s">
        <v>5781</v>
      </c>
      <c r="HHM1" s="3" t="s">
        <v>5782</v>
      </c>
      <c r="HHN1" s="3" t="s">
        <v>5783</v>
      </c>
      <c r="HHO1" s="3" t="s">
        <v>5784</v>
      </c>
      <c r="HHP1" s="3" t="s">
        <v>5785</v>
      </c>
      <c r="HHQ1" s="3" t="s">
        <v>5786</v>
      </c>
      <c r="HHR1" s="3" t="s">
        <v>5787</v>
      </c>
      <c r="HHS1" s="3" t="s">
        <v>5788</v>
      </c>
      <c r="HHT1" s="3" t="s">
        <v>5789</v>
      </c>
      <c r="HHU1" s="3" t="s">
        <v>5790</v>
      </c>
      <c r="HHV1" s="3" t="s">
        <v>5791</v>
      </c>
      <c r="HHW1" s="3" t="s">
        <v>5792</v>
      </c>
      <c r="HHX1" s="3" t="s">
        <v>5793</v>
      </c>
      <c r="HHY1" s="3" t="s">
        <v>5794</v>
      </c>
      <c r="HHZ1" s="3" t="s">
        <v>5795</v>
      </c>
      <c r="HIA1" s="3" t="s">
        <v>5796</v>
      </c>
      <c r="HIB1" s="3" t="s">
        <v>5797</v>
      </c>
      <c r="HIC1" s="3" t="s">
        <v>5798</v>
      </c>
      <c r="HID1" s="3" t="s">
        <v>5799</v>
      </c>
      <c r="HIE1" s="3" t="s">
        <v>5800</v>
      </c>
      <c r="HIF1" s="3" t="s">
        <v>5801</v>
      </c>
      <c r="HIG1" s="3" t="s">
        <v>5802</v>
      </c>
      <c r="HIH1" s="3" t="s">
        <v>5803</v>
      </c>
      <c r="HII1" s="3" t="s">
        <v>5804</v>
      </c>
      <c r="HIJ1" s="3" t="s">
        <v>5805</v>
      </c>
      <c r="HIK1" s="3" t="s">
        <v>5806</v>
      </c>
      <c r="HIL1" s="3" t="s">
        <v>5807</v>
      </c>
      <c r="HIM1" s="3" t="s">
        <v>5808</v>
      </c>
      <c r="HIN1" s="3" t="s">
        <v>5809</v>
      </c>
      <c r="HIO1" s="3" t="s">
        <v>5810</v>
      </c>
      <c r="HIP1" s="3" t="s">
        <v>5811</v>
      </c>
      <c r="HIQ1" s="3" t="s">
        <v>5812</v>
      </c>
      <c r="HIR1" s="3" t="s">
        <v>5813</v>
      </c>
      <c r="HIS1" s="3" t="s">
        <v>5814</v>
      </c>
      <c r="HIT1" s="3" t="s">
        <v>5815</v>
      </c>
      <c r="HIU1" s="3" t="s">
        <v>5816</v>
      </c>
      <c r="HIV1" s="3" t="s">
        <v>5817</v>
      </c>
      <c r="HIW1" s="3" t="s">
        <v>5818</v>
      </c>
      <c r="HIX1" s="3" t="s">
        <v>5819</v>
      </c>
      <c r="HIY1" s="3" t="s">
        <v>5820</v>
      </c>
      <c r="HIZ1" s="3" t="s">
        <v>5821</v>
      </c>
      <c r="HJA1" s="3" t="s">
        <v>5822</v>
      </c>
      <c r="HJB1" s="3" t="s">
        <v>5823</v>
      </c>
      <c r="HJC1" s="3" t="s">
        <v>5824</v>
      </c>
      <c r="HJD1" s="3" t="s">
        <v>5825</v>
      </c>
      <c r="HJE1" s="3" t="s">
        <v>5826</v>
      </c>
      <c r="HJF1" s="3" t="s">
        <v>5827</v>
      </c>
      <c r="HJG1" s="3" t="s">
        <v>5828</v>
      </c>
      <c r="HJH1" s="3" t="s">
        <v>5829</v>
      </c>
      <c r="HJI1" s="3" t="s">
        <v>5830</v>
      </c>
      <c r="HJJ1" s="3" t="s">
        <v>5831</v>
      </c>
      <c r="HJK1" s="3" t="s">
        <v>5832</v>
      </c>
      <c r="HJL1" s="3" t="s">
        <v>5833</v>
      </c>
      <c r="HJM1" s="3" t="s">
        <v>5834</v>
      </c>
      <c r="HJN1" s="3" t="s">
        <v>5835</v>
      </c>
      <c r="HJO1" s="3" t="s">
        <v>5836</v>
      </c>
      <c r="HJP1" s="3" t="s">
        <v>5837</v>
      </c>
      <c r="HJQ1" s="3" t="s">
        <v>5838</v>
      </c>
      <c r="HJR1" s="3" t="s">
        <v>5839</v>
      </c>
      <c r="HJS1" s="3" t="s">
        <v>5840</v>
      </c>
      <c r="HJT1" s="3" t="s">
        <v>5841</v>
      </c>
      <c r="HJU1" s="3" t="s">
        <v>5842</v>
      </c>
      <c r="HJV1" s="3" t="s">
        <v>5843</v>
      </c>
      <c r="HJW1" s="3" t="s">
        <v>5844</v>
      </c>
      <c r="HJX1" s="3" t="s">
        <v>5845</v>
      </c>
      <c r="HJY1" s="3" t="s">
        <v>5846</v>
      </c>
      <c r="HJZ1" s="3" t="s">
        <v>5847</v>
      </c>
      <c r="HKA1" s="3" t="s">
        <v>5848</v>
      </c>
      <c r="HKB1" s="3" t="s">
        <v>5849</v>
      </c>
      <c r="HKC1" s="3" t="s">
        <v>5850</v>
      </c>
      <c r="HKD1" s="3" t="s">
        <v>5851</v>
      </c>
      <c r="HKE1" s="3" t="s">
        <v>5852</v>
      </c>
      <c r="HKF1" s="3" t="s">
        <v>5853</v>
      </c>
      <c r="HKG1" s="3" t="s">
        <v>5854</v>
      </c>
      <c r="HKH1" s="3" t="s">
        <v>5855</v>
      </c>
      <c r="HKI1" s="3" t="s">
        <v>5856</v>
      </c>
      <c r="HKJ1" s="3" t="s">
        <v>5857</v>
      </c>
      <c r="HKK1" s="3" t="s">
        <v>5858</v>
      </c>
      <c r="HKL1" s="3" t="s">
        <v>5859</v>
      </c>
      <c r="HKM1" s="3" t="s">
        <v>5860</v>
      </c>
      <c r="HKN1" s="3" t="s">
        <v>5861</v>
      </c>
      <c r="HKO1" s="3" t="s">
        <v>5862</v>
      </c>
      <c r="HKP1" s="3" t="s">
        <v>5863</v>
      </c>
      <c r="HKQ1" s="3" t="s">
        <v>5864</v>
      </c>
      <c r="HKR1" s="3" t="s">
        <v>5865</v>
      </c>
      <c r="HKS1" s="3" t="s">
        <v>5866</v>
      </c>
      <c r="HKT1" s="3" t="s">
        <v>5867</v>
      </c>
      <c r="HKU1" s="3" t="s">
        <v>5868</v>
      </c>
      <c r="HKV1" s="3" t="s">
        <v>5869</v>
      </c>
      <c r="HKW1" s="3" t="s">
        <v>5870</v>
      </c>
      <c r="HKX1" s="3" t="s">
        <v>5871</v>
      </c>
      <c r="HKY1" s="3" t="s">
        <v>5872</v>
      </c>
      <c r="HKZ1" s="3" t="s">
        <v>5873</v>
      </c>
      <c r="HLA1" s="3" t="s">
        <v>5874</v>
      </c>
      <c r="HLB1" s="3" t="s">
        <v>5875</v>
      </c>
      <c r="HLC1" s="3" t="s">
        <v>5876</v>
      </c>
      <c r="HLD1" s="3" t="s">
        <v>5877</v>
      </c>
      <c r="HLE1" s="3" t="s">
        <v>5878</v>
      </c>
      <c r="HLF1" s="3" t="s">
        <v>5879</v>
      </c>
      <c r="HLG1" s="3" t="s">
        <v>5880</v>
      </c>
      <c r="HLH1" s="3" t="s">
        <v>5881</v>
      </c>
      <c r="HLI1" s="3" t="s">
        <v>5882</v>
      </c>
      <c r="HLJ1" s="3" t="s">
        <v>5883</v>
      </c>
      <c r="HLK1" s="3" t="s">
        <v>5884</v>
      </c>
      <c r="HLL1" s="3" t="s">
        <v>5885</v>
      </c>
      <c r="HLM1" s="3" t="s">
        <v>5886</v>
      </c>
      <c r="HLN1" s="3" t="s">
        <v>5887</v>
      </c>
      <c r="HLO1" s="3" t="s">
        <v>5888</v>
      </c>
      <c r="HLP1" s="3" t="s">
        <v>5889</v>
      </c>
      <c r="HLQ1" s="3" t="s">
        <v>5890</v>
      </c>
      <c r="HLR1" s="3" t="s">
        <v>5891</v>
      </c>
      <c r="HLS1" s="3" t="s">
        <v>5892</v>
      </c>
      <c r="HLT1" s="3" t="s">
        <v>5893</v>
      </c>
      <c r="HLU1" s="3" t="s">
        <v>5894</v>
      </c>
      <c r="HLV1" s="3" t="s">
        <v>5895</v>
      </c>
      <c r="HLW1" s="3" t="s">
        <v>5896</v>
      </c>
      <c r="HLX1" s="3" t="s">
        <v>5897</v>
      </c>
      <c r="HLY1" s="3" t="s">
        <v>5898</v>
      </c>
      <c r="HLZ1" s="3" t="s">
        <v>5899</v>
      </c>
      <c r="HMA1" s="3" t="s">
        <v>5900</v>
      </c>
      <c r="HMB1" s="3" t="s">
        <v>5901</v>
      </c>
      <c r="HMC1" s="3" t="s">
        <v>5902</v>
      </c>
      <c r="HMD1" s="3" t="s">
        <v>5903</v>
      </c>
      <c r="HME1" s="3" t="s">
        <v>5904</v>
      </c>
      <c r="HMF1" s="3" t="s">
        <v>5905</v>
      </c>
      <c r="HMG1" s="3" t="s">
        <v>5906</v>
      </c>
      <c r="HMH1" s="3" t="s">
        <v>5907</v>
      </c>
      <c r="HMI1" s="3" t="s">
        <v>5908</v>
      </c>
      <c r="HMJ1" s="3" t="s">
        <v>5909</v>
      </c>
      <c r="HMK1" s="3" t="s">
        <v>5910</v>
      </c>
      <c r="HML1" s="3" t="s">
        <v>5911</v>
      </c>
      <c r="HMM1" s="3" t="s">
        <v>5912</v>
      </c>
      <c r="HMN1" s="3" t="s">
        <v>5913</v>
      </c>
      <c r="HMO1" s="3" t="s">
        <v>5914</v>
      </c>
      <c r="HMP1" s="3" t="s">
        <v>5915</v>
      </c>
      <c r="HMQ1" s="3" t="s">
        <v>5916</v>
      </c>
      <c r="HMR1" s="3" t="s">
        <v>5917</v>
      </c>
      <c r="HMS1" s="3" t="s">
        <v>5918</v>
      </c>
      <c r="HMT1" s="3" t="s">
        <v>5919</v>
      </c>
      <c r="HMU1" s="3" t="s">
        <v>5920</v>
      </c>
      <c r="HMV1" s="3" t="s">
        <v>5921</v>
      </c>
      <c r="HMW1" s="3" t="s">
        <v>5922</v>
      </c>
      <c r="HMX1" s="3" t="s">
        <v>5923</v>
      </c>
      <c r="HMY1" s="3" t="s">
        <v>5924</v>
      </c>
      <c r="HMZ1" s="3" t="s">
        <v>5925</v>
      </c>
      <c r="HNA1" s="3" t="s">
        <v>5926</v>
      </c>
      <c r="HNB1" s="3" t="s">
        <v>5927</v>
      </c>
      <c r="HNC1" s="3" t="s">
        <v>5928</v>
      </c>
      <c r="HND1" s="3" t="s">
        <v>5929</v>
      </c>
      <c r="HNE1" s="3" t="s">
        <v>5930</v>
      </c>
      <c r="HNF1" s="3" t="s">
        <v>5931</v>
      </c>
      <c r="HNG1" s="3" t="s">
        <v>5932</v>
      </c>
      <c r="HNH1" s="3" t="s">
        <v>5933</v>
      </c>
      <c r="HNI1" s="3" t="s">
        <v>5934</v>
      </c>
      <c r="HNJ1" s="3" t="s">
        <v>5935</v>
      </c>
      <c r="HNK1" s="3" t="s">
        <v>5936</v>
      </c>
      <c r="HNL1" s="3" t="s">
        <v>5937</v>
      </c>
      <c r="HNM1" s="3" t="s">
        <v>5938</v>
      </c>
      <c r="HNN1" s="3" t="s">
        <v>5939</v>
      </c>
      <c r="HNO1" s="3" t="s">
        <v>5940</v>
      </c>
      <c r="HNP1" s="3" t="s">
        <v>5941</v>
      </c>
      <c r="HNQ1" s="3" t="s">
        <v>5942</v>
      </c>
      <c r="HNR1" s="3" t="s">
        <v>5943</v>
      </c>
      <c r="HNS1" s="3" t="s">
        <v>5944</v>
      </c>
      <c r="HNT1" s="3" t="s">
        <v>5945</v>
      </c>
      <c r="HNU1" s="3" t="s">
        <v>5946</v>
      </c>
      <c r="HNV1" s="3" t="s">
        <v>5947</v>
      </c>
      <c r="HNW1" s="3" t="s">
        <v>5948</v>
      </c>
      <c r="HNX1" s="3" t="s">
        <v>5949</v>
      </c>
      <c r="HNY1" s="3" t="s">
        <v>5950</v>
      </c>
      <c r="HNZ1" s="3" t="s">
        <v>5951</v>
      </c>
      <c r="HOA1" s="3" t="s">
        <v>5952</v>
      </c>
      <c r="HOB1" s="3" t="s">
        <v>5953</v>
      </c>
      <c r="HOC1" s="3" t="s">
        <v>5954</v>
      </c>
      <c r="HOD1" s="3" t="s">
        <v>5955</v>
      </c>
      <c r="HOE1" s="3" t="s">
        <v>5956</v>
      </c>
      <c r="HOF1" s="3" t="s">
        <v>5957</v>
      </c>
      <c r="HOG1" s="3" t="s">
        <v>5958</v>
      </c>
      <c r="HOH1" s="3" t="s">
        <v>5959</v>
      </c>
      <c r="HOI1" s="3" t="s">
        <v>5960</v>
      </c>
      <c r="HOJ1" s="3" t="s">
        <v>5961</v>
      </c>
      <c r="HOK1" s="3" t="s">
        <v>5962</v>
      </c>
      <c r="HOL1" s="3" t="s">
        <v>5963</v>
      </c>
      <c r="HOM1" s="3" t="s">
        <v>5964</v>
      </c>
      <c r="HON1" s="3" t="s">
        <v>5965</v>
      </c>
      <c r="HOO1" s="3" t="s">
        <v>5966</v>
      </c>
      <c r="HOP1" s="3" t="s">
        <v>5967</v>
      </c>
      <c r="HOQ1" s="3" t="s">
        <v>5968</v>
      </c>
      <c r="HOR1" s="3" t="s">
        <v>5969</v>
      </c>
      <c r="HOS1" s="3" t="s">
        <v>5970</v>
      </c>
      <c r="HOT1" s="3" t="s">
        <v>5971</v>
      </c>
      <c r="HOU1" s="3" t="s">
        <v>5972</v>
      </c>
      <c r="HOV1" s="3" t="s">
        <v>5973</v>
      </c>
      <c r="HOW1" s="3" t="s">
        <v>5974</v>
      </c>
      <c r="HOX1" s="3" t="s">
        <v>5975</v>
      </c>
      <c r="HOY1" s="3" t="s">
        <v>5976</v>
      </c>
      <c r="HOZ1" s="3" t="s">
        <v>5977</v>
      </c>
      <c r="HPA1" s="3" t="s">
        <v>5978</v>
      </c>
      <c r="HPB1" s="3" t="s">
        <v>5979</v>
      </c>
      <c r="HPC1" s="3" t="s">
        <v>5980</v>
      </c>
      <c r="HPD1" s="3" t="s">
        <v>5981</v>
      </c>
      <c r="HPE1" s="3" t="s">
        <v>5982</v>
      </c>
      <c r="HPF1" s="3" t="s">
        <v>5983</v>
      </c>
      <c r="HPG1" s="3" t="s">
        <v>5984</v>
      </c>
      <c r="HPH1" s="3" t="s">
        <v>5985</v>
      </c>
      <c r="HPI1" s="3" t="s">
        <v>5986</v>
      </c>
      <c r="HPJ1" s="3" t="s">
        <v>5987</v>
      </c>
      <c r="HPK1" s="3" t="s">
        <v>5988</v>
      </c>
      <c r="HPL1" s="3" t="s">
        <v>5989</v>
      </c>
      <c r="HPM1" s="3" t="s">
        <v>5990</v>
      </c>
      <c r="HPN1" s="3" t="s">
        <v>5991</v>
      </c>
      <c r="HPO1" s="3" t="s">
        <v>5992</v>
      </c>
      <c r="HPP1" s="3" t="s">
        <v>5993</v>
      </c>
      <c r="HPQ1" s="3" t="s">
        <v>5994</v>
      </c>
      <c r="HPR1" s="3" t="s">
        <v>5995</v>
      </c>
      <c r="HPS1" s="3" t="s">
        <v>5996</v>
      </c>
      <c r="HPT1" s="3" t="s">
        <v>5997</v>
      </c>
      <c r="HPU1" s="3" t="s">
        <v>5998</v>
      </c>
      <c r="HPV1" s="3" t="s">
        <v>5999</v>
      </c>
      <c r="HPW1" s="3" t="s">
        <v>6000</v>
      </c>
      <c r="HPX1" s="3" t="s">
        <v>6001</v>
      </c>
      <c r="HPY1" s="3" t="s">
        <v>6002</v>
      </c>
      <c r="HPZ1" s="3" t="s">
        <v>6003</v>
      </c>
      <c r="HQA1" s="3" t="s">
        <v>6004</v>
      </c>
      <c r="HQB1" s="3" t="s">
        <v>6005</v>
      </c>
      <c r="HQC1" s="3" t="s">
        <v>6006</v>
      </c>
      <c r="HQD1" s="3" t="s">
        <v>6007</v>
      </c>
      <c r="HQE1" s="3" t="s">
        <v>6008</v>
      </c>
      <c r="HQF1" s="3" t="s">
        <v>6009</v>
      </c>
      <c r="HQG1" s="3" t="s">
        <v>6010</v>
      </c>
      <c r="HQH1" s="3" t="s">
        <v>6011</v>
      </c>
      <c r="HQI1" s="3" t="s">
        <v>6012</v>
      </c>
      <c r="HQJ1" s="3" t="s">
        <v>6013</v>
      </c>
      <c r="HQK1" s="3" t="s">
        <v>6014</v>
      </c>
      <c r="HQL1" s="3" t="s">
        <v>6015</v>
      </c>
      <c r="HQM1" s="3" t="s">
        <v>6016</v>
      </c>
      <c r="HQN1" s="3" t="s">
        <v>6017</v>
      </c>
      <c r="HQO1" s="3" t="s">
        <v>6018</v>
      </c>
      <c r="HQP1" s="3" t="s">
        <v>6019</v>
      </c>
      <c r="HQQ1" s="3" t="s">
        <v>6020</v>
      </c>
      <c r="HQR1" s="3" t="s">
        <v>6021</v>
      </c>
      <c r="HQS1" s="3" t="s">
        <v>6022</v>
      </c>
      <c r="HQT1" s="3" t="s">
        <v>6023</v>
      </c>
      <c r="HQU1" s="3" t="s">
        <v>6024</v>
      </c>
      <c r="HQV1" s="3" t="s">
        <v>6025</v>
      </c>
      <c r="HQW1" s="3" t="s">
        <v>6026</v>
      </c>
      <c r="HQX1" s="3" t="s">
        <v>6027</v>
      </c>
      <c r="HQY1" s="3" t="s">
        <v>6028</v>
      </c>
      <c r="HQZ1" s="3" t="s">
        <v>6029</v>
      </c>
      <c r="HRA1" s="3" t="s">
        <v>6030</v>
      </c>
      <c r="HRB1" s="3" t="s">
        <v>6031</v>
      </c>
      <c r="HRC1" s="3" t="s">
        <v>6032</v>
      </c>
      <c r="HRD1" s="3" t="s">
        <v>6033</v>
      </c>
      <c r="HRE1" s="3" t="s">
        <v>6034</v>
      </c>
      <c r="HRF1" s="3" t="s">
        <v>6035</v>
      </c>
      <c r="HRG1" s="3" t="s">
        <v>6036</v>
      </c>
      <c r="HRH1" s="3" t="s">
        <v>6037</v>
      </c>
      <c r="HRI1" s="3" t="s">
        <v>6038</v>
      </c>
      <c r="HRJ1" s="3" t="s">
        <v>6039</v>
      </c>
      <c r="HRK1" s="3" t="s">
        <v>6040</v>
      </c>
      <c r="HRL1" s="3" t="s">
        <v>6041</v>
      </c>
      <c r="HRM1" s="3" t="s">
        <v>6042</v>
      </c>
      <c r="HRN1" s="3" t="s">
        <v>6043</v>
      </c>
      <c r="HRO1" s="3" t="s">
        <v>6044</v>
      </c>
      <c r="HRP1" s="3" t="s">
        <v>6045</v>
      </c>
      <c r="HRQ1" s="3" t="s">
        <v>6046</v>
      </c>
      <c r="HRR1" s="3" t="s">
        <v>6047</v>
      </c>
      <c r="HRS1" s="3" t="s">
        <v>6048</v>
      </c>
      <c r="HRT1" s="3" t="s">
        <v>6049</v>
      </c>
      <c r="HRU1" s="3" t="s">
        <v>6050</v>
      </c>
      <c r="HRV1" s="3" t="s">
        <v>6051</v>
      </c>
      <c r="HRW1" s="3" t="s">
        <v>6052</v>
      </c>
      <c r="HRX1" s="3" t="s">
        <v>6053</v>
      </c>
      <c r="HRY1" s="3" t="s">
        <v>6054</v>
      </c>
      <c r="HRZ1" s="3" t="s">
        <v>6055</v>
      </c>
      <c r="HSA1" s="3" t="s">
        <v>6056</v>
      </c>
      <c r="HSB1" s="3" t="s">
        <v>6057</v>
      </c>
      <c r="HSC1" s="3" t="s">
        <v>6058</v>
      </c>
      <c r="HSD1" s="3" t="s">
        <v>6059</v>
      </c>
      <c r="HSE1" s="3" t="s">
        <v>6060</v>
      </c>
      <c r="HSF1" s="3" t="s">
        <v>6061</v>
      </c>
      <c r="HSG1" s="3" t="s">
        <v>6062</v>
      </c>
      <c r="HSH1" s="3" t="s">
        <v>6063</v>
      </c>
      <c r="HSI1" s="3" t="s">
        <v>6064</v>
      </c>
      <c r="HSJ1" s="3" t="s">
        <v>6065</v>
      </c>
      <c r="HSK1" s="3" t="s">
        <v>6066</v>
      </c>
      <c r="HSL1" s="3" t="s">
        <v>6067</v>
      </c>
      <c r="HSM1" s="3" t="s">
        <v>6068</v>
      </c>
      <c r="HSN1" s="3" t="s">
        <v>6069</v>
      </c>
      <c r="HSO1" s="3" t="s">
        <v>6070</v>
      </c>
      <c r="HSP1" s="3" t="s">
        <v>6071</v>
      </c>
      <c r="HSQ1" s="3" t="s">
        <v>6072</v>
      </c>
      <c r="HSR1" s="3" t="s">
        <v>6073</v>
      </c>
      <c r="HSS1" s="3" t="s">
        <v>6074</v>
      </c>
      <c r="HST1" s="3" t="s">
        <v>6075</v>
      </c>
      <c r="HSU1" s="3" t="s">
        <v>6076</v>
      </c>
      <c r="HSV1" s="3" t="s">
        <v>6077</v>
      </c>
      <c r="HSW1" s="3" t="s">
        <v>6078</v>
      </c>
      <c r="HSX1" s="3" t="s">
        <v>6079</v>
      </c>
      <c r="HSY1" s="3" t="s">
        <v>6080</v>
      </c>
      <c r="HSZ1" s="3" t="s">
        <v>6081</v>
      </c>
      <c r="HTA1" s="3" t="s">
        <v>6082</v>
      </c>
      <c r="HTB1" s="3" t="s">
        <v>6083</v>
      </c>
      <c r="HTC1" s="3" t="s">
        <v>6084</v>
      </c>
      <c r="HTD1" s="3" t="s">
        <v>6085</v>
      </c>
      <c r="HTE1" s="3" t="s">
        <v>6086</v>
      </c>
      <c r="HTF1" s="3" t="s">
        <v>6087</v>
      </c>
      <c r="HTG1" s="3" t="s">
        <v>6088</v>
      </c>
      <c r="HTH1" s="3" t="s">
        <v>6089</v>
      </c>
      <c r="HTI1" s="3" t="s">
        <v>6090</v>
      </c>
      <c r="HTJ1" s="3" t="s">
        <v>6091</v>
      </c>
      <c r="HTK1" s="3" t="s">
        <v>6092</v>
      </c>
      <c r="HTL1" s="3" t="s">
        <v>6093</v>
      </c>
      <c r="HTM1" s="3" t="s">
        <v>6094</v>
      </c>
      <c r="HTN1" s="3" t="s">
        <v>6095</v>
      </c>
      <c r="HTO1" s="3" t="s">
        <v>6096</v>
      </c>
      <c r="HTP1" s="3" t="s">
        <v>6097</v>
      </c>
      <c r="HTQ1" s="3" t="s">
        <v>6098</v>
      </c>
      <c r="HTR1" s="3" t="s">
        <v>6099</v>
      </c>
      <c r="HTS1" s="3" t="s">
        <v>6100</v>
      </c>
      <c r="HTT1" s="3" t="s">
        <v>6101</v>
      </c>
      <c r="HTU1" s="3" t="s">
        <v>6102</v>
      </c>
      <c r="HTV1" s="3" t="s">
        <v>6103</v>
      </c>
      <c r="HTW1" s="3" t="s">
        <v>6104</v>
      </c>
      <c r="HTX1" s="3" t="s">
        <v>6105</v>
      </c>
      <c r="HTY1" s="3" t="s">
        <v>6106</v>
      </c>
      <c r="HTZ1" s="3" t="s">
        <v>6107</v>
      </c>
      <c r="HUA1" s="3" t="s">
        <v>6108</v>
      </c>
      <c r="HUB1" s="3" t="s">
        <v>6109</v>
      </c>
      <c r="HUC1" s="3" t="s">
        <v>6110</v>
      </c>
      <c r="HUD1" s="3" t="s">
        <v>6111</v>
      </c>
      <c r="HUE1" s="3" t="s">
        <v>6112</v>
      </c>
      <c r="HUF1" s="3" t="s">
        <v>6113</v>
      </c>
      <c r="HUG1" s="3" t="s">
        <v>6114</v>
      </c>
      <c r="HUH1" s="3" t="s">
        <v>6115</v>
      </c>
      <c r="HUI1" s="3" t="s">
        <v>6116</v>
      </c>
      <c r="HUJ1" s="3" t="s">
        <v>6117</v>
      </c>
      <c r="HUK1" s="3" t="s">
        <v>6118</v>
      </c>
      <c r="HUL1" s="3" t="s">
        <v>6119</v>
      </c>
      <c r="HUM1" s="3" t="s">
        <v>6120</v>
      </c>
      <c r="HUN1" s="3" t="s">
        <v>6121</v>
      </c>
      <c r="HUO1" s="3" t="s">
        <v>6122</v>
      </c>
      <c r="HUP1" s="3" t="s">
        <v>6123</v>
      </c>
      <c r="HUQ1" s="3" t="s">
        <v>6124</v>
      </c>
      <c r="HUR1" s="3" t="s">
        <v>6125</v>
      </c>
      <c r="HUS1" s="3" t="s">
        <v>6126</v>
      </c>
      <c r="HUT1" s="3" t="s">
        <v>6127</v>
      </c>
      <c r="HUU1" s="3" t="s">
        <v>6128</v>
      </c>
      <c r="HUV1" s="3" t="s">
        <v>6129</v>
      </c>
      <c r="HUW1" s="3" t="s">
        <v>6130</v>
      </c>
      <c r="HUX1" s="3" t="s">
        <v>6131</v>
      </c>
      <c r="HUY1" s="3" t="s">
        <v>6132</v>
      </c>
      <c r="HUZ1" s="3" t="s">
        <v>6133</v>
      </c>
      <c r="HVA1" s="3" t="s">
        <v>6134</v>
      </c>
      <c r="HVB1" s="3" t="s">
        <v>6135</v>
      </c>
      <c r="HVC1" s="3" t="s">
        <v>6136</v>
      </c>
      <c r="HVD1" s="3" t="s">
        <v>6137</v>
      </c>
      <c r="HVE1" s="3" t="s">
        <v>6138</v>
      </c>
      <c r="HVF1" s="3" t="s">
        <v>6139</v>
      </c>
      <c r="HVG1" s="3" t="s">
        <v>6140</v>
      </c>
      <c r="HVH1" s="3" t="s">
        <v>6141</v>
      </c>
      <c r="HVI1" s="3" t="s">
        <v>6142</v>
      </c>
      <c r="HVJ1" s="3" t="s">
        <v>6143</v>
      </c>
      <c r="HVK1" s="3" t="s">
        <v>6144</v>
      </c>
      <c r="HVL1" s="3" t="s">
        <v>6145</v>
      </c>
      <c r="HVM1" s="3" t="s">
        <v>6146</v>
      </c>
      <c r="HVN1" s="3" t="s">
        <v>6147</v>
      </c>
      <c r="HVO1" s="3" t="s">
        <v>6148</v>
      </c>
      <c r="HVP1" s="3" t="s">
        <v>6149</v>
      </c>
      <c r="HVQ1" s="3" t="s">
        <v>6150</v>
      </c>
      <c r="HVR1" s="3" t="s">
        <v>6151</v>
      </c>
      <c r="HVS1" s="3" t="s">
        <v>6152</v>
      </c>
      <c r="HVT1" s="3" t="s">
        <v>6153</v>
      </c>
      <c r="HVU1" s="3" t="s">
        <v>6154</v>
      </c>
      <c r="HVV1" s="3" t="s">
        <v>6155</v>
      </c>
      <c r="HVW1" s="3" t="s">
        <v>6156</v>
      </c>
      <c r="HVX1" s="3" t="s">
        <v>6157</v>
      </c>
      <c r="HVY1" s="3" t="s">
        <v>6158</v>
      </c>
      <c r="HVZ1" s="3" t="s">
        <v>6159</v>
      </c>
      <c r="HWA1" s="3" t="s">
        <v>6160</v>
      </c>
      <c r="HWB1" s="3" t="s">
        <v>6161</v>
      </c>
      <c r="HWC1" s="3" t="s">
        <v>6162</v>
      </c>
      <c r="HWD1" s="3" t="s">
        <v>6163</v>
      </c>
      <c r="HWE1" s="3" t="s">
        <v>6164</v>
      </c>
      <c r="HWF1" s="3" t="s">
        <v>6165</v>
      </c>
      <c r="HWG1" s="3" t="s">
        <v>6166</v>
      </c>
      <c r="HWH1" s="3" t="s">
        <v>6167</v>
      </c>
      <c r="HWI1" s="3" t="s">
        <v>6168</v>
      </c>
      <c r="HWJ1" s="3" t="s">
        <v>6169</v>
      </c>
      <c r="HWK1" s="3" t="s">
        <v>6170</v>
      </c>
      <c r="HWL1" s="3" t="s">
        <v>6171</v>
      </c>
      <c r="HWM1" s="3" t="s">
        <v>6172</v>
      </c>
      <c r="HWN1" s="3" t="s">
        <v>6173</v>
      </c>
      <c r="HWO1" s="3" t="s">
        <v>6174</v>
      </c>
      <c r="HWP1" s="3" t="s">
        <v>6175</v>
      </c>
      <c r="HWQ1" s="3" t="s">
        <v>6176</v>
      </c>
      <c r="HWR1" s="3" t="s">
        <v>6177</v>
      </c>
      <c r="HWS1" s="3" t="s">
        <v>6178</v>
      </c>
      <c r="HWT1" s="3" t="s">
        <v>6179</v>
      </c>
      <c r="HWU1" s="3" t="s">
        <v>6180</v>
      </c>
      <c r="HWV1" s="3" t="s">
        <v>6181</v>
      </c>
      <c r="HWW1" s="3" t="s">
        <v>6182</v>
      </c>
      <c r="HWX1" s="3" t="s">
        <v>6183</v>
      </c>
      <c r="HWY1" s="3" t="s">
        <v>6184</v>
      </c>
      <c r="HWZ1" s="3" t="s">
        <v>6185</v>
      </c>
      <c r="HXA1" s="3" t="s">
        <v>6186</v>
      </c>
      <c r="HXB1" s="3" t="s">
        <v>6187</v>
      </c>
      <c r="HXC1" s="3" t="s">
        <v>6188</v>
      </c>
      <c r="HXD1" s="3" t="s">
        <v>6189</v>
      </c>
      <c r="HXE1" s="3" t="s">
        <v>6190</v>
      </c>
      <c r="HXF1" s="3" t="s">
        <v>6191</v>
      </c>
      <c r="HXG1" s="3" t="s">
        <v>6192</v>
      </c>
      <c r="HXH1" s="3" t="s">
        <v>6193</v>
      </c>
      <c r="HXI1" s="3" t="s">
        <v>6194</v>
      </c>
      <c r="HXJ1" s="3" t="s">
        <v>6195</v>
      </c>
      <c r="HXK1" s="3" t="s">
        <v>6196</v>
      </c>
      <c r="HXL1" s="3" t="s">
        <v>6197</v>
      </c>
      <c r="HXM1" s="3" t="s">
        <v>6198</v>
      </c>
      <c r="HXN1" s="3" t="s">
        <v>6199</v>
      </c>
      <c r="HXO1" s="3" t="s">
        <v>6200</v>
      </c>
      <c r="HXP1" s="3" t="s">
        <v>6201</v>
      </c>
      <c r="HXQ1" s="3" t="s">
        <v>6202</v>
      </c>
      <c r="HXR1" s="3" t="s">
        <v>6203</v>
      </c>
      <c r="HXS1" s="3" t="s">
        <v>6204</v>
      </c>
      <c r="HXT1" s="3" t="s">
        <v>6205</v>
      </c>
      <c r="HXU1" s="3" t="s">
        <v>6206</v>
      </c>
      <c r="HXV1" s="3" t="s">
        <v>6207</v>
      </c>
      <c r="HXW1" s="3" t="s">
        <v>6208</v>
      </c>
      <c r="HXX1" s="3" t="s">
        <v>6209</v>
      </c>
      <c r="HXY1" s="3" t="s">
        <v>6210</v>
      </c>
      <c r="HXZ1" s="3" t="s">
        <v>6211</v>
      </c>
      <c r="HYA1" s="3" t="s">
        <v>6212</v>
      </c>
      <c r="HYB1" s="3" t="s">
        <v>6213</v>
      </c>
      <c r="HYC1" s="3" t="s">
        <v>6214</v>
      </c>
      <c r="HYD1" s="3" t="s">
        <v>6215</v>
      </c>
      <c r="HYE1" s="3" t="s">
        <v>6216</v>
      </c>
      <c r="HYF1" s="3" t="s">
        <v>6217</v>
      </c>
      <c r="HYG1" s="3" t="s">
        <v>6218</v>
      </c>
      <c r="HYH1" s="3" t="s">
        <v>6219</v>
      </c>
      <c r="HYI1" s="3" t="s">
        <v>6220</v>
      </c>
      <c r="HYJ1" s="3" t="s">
        <v>6221</v>
      </c>
      <c r="HYK1" s="3" t="s">
        <v>6222</v>
      </c>
      <c r="HYL1" s="3" t="s">
        <v>6223</v>
      </c>
      <c r="HYM1" s="3" t="s">
        <v>6224</v>
      </c>
      <c r="HYN1" s="3" t="s">
        <v>6225</v>
      </c>
      <c r="HYO1" s="3" t="s">
        <v>6226</v>
      </c>
      <c r="HYP1" s="3" t="s">
        <v>6227</v>
      </c>
      <c r="HYQ1" s="3" t="s">
        <v>6228</v>
      </c>
      <c r="HYR1" s="3" t="s">
        <v>6229</v>
      </c>
      <c r="HYS1" s="3" t="s">
        <v>6230</v>
      </c>
      <c r="HYT1" s="3" t="s">
        <v>6231</v>
      </c>
      <c r="HYU1" s="3" t="s">
        <v>6232</v>
      </c>
      <c r="HYV1" s="3" t="s">
        <v>6233</v>
      </c>
      <c r="HYW1" s="3" t="s">
        <v>6234</v>
      </c>
      <c r="HYX1" s="3" t="s">
        <v>6235</v>
      </c>
      <c r="HYY1" s="3" t="s">
        <v>6236</v>
      </c>
      <c r="HYZ1" s="3" t="s">
        <v>6237</v>
      </c>
      <c r="HZA1" s="3" t="s">
        <v>6238</v>
      </c>
      <c r="HZB1" s="3" t="s">
        <v>6239</v>
      </c>
      <c r="HZC1" s="3" t="s">
        <v>6240</v>
      </c>
      <c r="HZD1" s="3" t="s">
        <v>6241</v>
      </c>
      <c r="HZE1" s="3" t="s">
        <v>6242</v>
      </c>
      <c r="HZF1" s="3" t="s">
        <v>6243</v>
      </c>
      <c r="HZG1" s="3" t="s">
        <v>6244</v>
      </c>
      <c r="HZH1" s="3" t="s">
        <v>6245</v>
      </c>
      <c r="HZI1" s="3" t="s">
        <v>6246</v>
      </c>
      <c r="HZJ1" s="3" t="s">
        <v>6247</v>
      </c>
      <c r="HZK1" s="3" t="s">
        <v>6248</v>
      </c>
      <c r="HZL1" s="3" t="s">
        <v>6249</v>
      </c>
      <c r="HZM1" s="3" t="s">
        <v>6250</v>
      </c>
      <c r="HZN1" s="3" t="s">
        <v>6251</v>
      </c>
      <c r="HZO1" s="3" t="s">
        <v>6252</v>
      </c>
      <c r="HZP1" s="3" t="s">
        <v>6253</v>
      </c>
      <c r="HZQ1" s="3" t="s">
        <v>6254</v>
      </c>
      <c r="HZR1" s="3" t="s">
        <v>6255</v>
      </c>
      <c r="HZS1" s="3" t="s">
        <v>6256</v>
      </c>
      <c r="HZT1" s="3" t="s">
        <v>6257</v>
      </c>
      <c r="HZU1" s="3" t="s">
        <v>6258</v>
      </c>
      <c r="HZV1" s="3" t="s">
        <v>6259</v>
      </c>
      <c r="HZW1" s="3" t="s">
        <v>6260</v>
      </c>
      <c r="HZX1" s="3" t="s">
        <v>6261</v>
      </c>
      <c r="HZY1" s="3" t="s">
        <v>6262</v>
      </c>
      <c r="HZZ1" s="3" t="s">
        <v>6263</v>
      </c>
      <c r="IAA1" s="3" t="s">
        <v>6264</v>
      </c>
      <c r="IAB1" s="3" t="s">
        <v>6265</v>
      </c>
      <c r="IAC1" s="3" t="s">
        <v>6266</v>
      </c>
      <c r="IAD1" s="3" t="s">
        <v>6267</v>
      </c>
      <c r="IAE1" s="3" t="s">
        <v>6268</v>
      </c>
      <c r="IAF1" s="3" t="s">
        <v>6269</v>
      </c>
      <c r="IAG1" s="3" t="s">
        <v>6270</v>
      </c>
      <c r="IAH1" s="3" t="s">
        <v>6271</v>
      </c>
      <c r="IAI1" s="3" t="s">
        <v>6272</v>
      </c>
      <c r="IAJ1" s="3" t="s">
        <v>6273</v>
      </c>
      <c r="IAK1" s="3" t="s">
        <v>6274</v>
      </c>
      <c r="IAL1" s="3" t="s">
        <v>6275</v>
      </c>
      <c r="IAM1" s="3" t="s">
        <v>6276</v>
      </c>
      <c r="IAN1" s="3" t="s">
        <v>6277</v>
      </c>
      <c r="IAO1" s="3" t="s">
        <v>6278</v>
      </c>
      <c r="IAP1" s="3" t="s">
        <v>6279</v>
      </c>
      <c r="IAQ1" s="3" t="s">
        <v>6280</v>
      </c>
      <c r="IAR1" s="3" t="s">
        <v>6281</v>
      </c>
      <c r="IAS1" s="3" t="s">
        <v>6282</v>
      </c>
      <c r="IAT1" s="3" t="s">
        <v>6283</v>
      </c>
      <c r="IAU1" s="3" t="s">
        <v>6284</v>
      </c>
      <c r="IAV1" s="3" t="s">
        <v>6285</v>
      </c>
      <c r="IAW1" s="3" t="s">
        <v>6286</v>
      </c>
      <c r="IAX1" s="3" t="s">
        <v>6287</v>
      </c>
      <c r="IAY1" s="3" t="s">
        <v>6288</v>
      </c>
      <c r="IAZ1" s="3" t="s">
        <v>6289</v>
      </c>
      <c r="IBA1" s="3" t="s">
        <v>6290</v>
      </c>
      <c r="IBB1" s="3" t="s">
        <v>6291</v>
      </c>
      <c r="IBC1" s="3" t="s">
        <v>6292</v>
      </c>
      <c r="IBD1" s="3" t="s">
        <v>6293</v>
      </c>
      <c r="IBE1" s="3" t="s">
        <v>6294</v>
      </c>
      <c r="IBF1" s="3" t="s">
        <v>6295</v>
      </c>
      <c r="IBG1" s="3" t="s">
        <v>6296</v>
      </c>
      <c r="IBH1" s="3" t="s">
        <v>6297</v>
      </c>
      <c r="IBI1" s="3" t="s">
        <v>6298</v>
      </c>
      <c r="IBJ1" s="3" t="s">
        <v>6299</v>
      </c>
      <c r="IBK1" s="3" t="s">
        <v>6300</v>
      </c>
      <c r="IBL1" s="3" t="s">
        <v>6301</v>
      </c>
      <c r="IBM1" s="3" t="s">
        <v>6302</v>
      </c>
      <c r="IBN1" s="3" t="s">
        <v>6303</v>
      </c>
      <c r="IBO1" s="3" t="s">
        <v>6304</v>
      </c>
      <c r="IBP1" s="3" t="s">
        <v>6305</v>
      </c>
      <c r="IBQ1" s="3" t="s">
        <v>6306</v>
      </c>
      <c r="IBR1" s="3" t="s">
        <v>6307</v>
      </c>
      <c r="IBS1" s="3" t="s">
        <v>6308</v>
      </c>
      <c r="IBT1" s="3" t="s">
        <v>6309</v>
      </c>
      <c r="IBU1" s="3" t="s">
        <v>6310</v>
      </c>
      <c r="IBV1" s="3" t="s">
        <v>6311</v>
      </c>
      <c r="IBW1" s="3" t="s">
        <v>6312</v>
      </c>
      <c r="IBX1" s="3" t="s">
        <v>6313</v>
      </c>
      <c r="IBY1" s="3" t="s">
        <v>6314</v>
      </c>
      <c r="IBZ1" s="3" t="s">
        <v>6315</v>
      </c>
      <c r="ICA1" s="3" t="s">
        <v>6316</v>
      </c>
      <c r="ICB1" s="3" t="s">
        <v>6317</v>
      </c>
      <c r="ICC1" s="3" t="s">
        <v>6318</v>
      </c>
      <c r="ICD1" s="3" t="s">
        <v>6319</v>
      </c>
      <c r="ICE1" s="3" t="s">
        <v>6320</v>
      </c>
      <c r="ICF1" s="3" t="s">
        <v>6321</v>
      </c>
      <c r="ICG1" s="3" t="s">
        <v>6322</v>
      </c>
      <c r="ICH1" s="3" t="s">
        <v>6323</v>
      </c>
      <c r="ICI1" s="3" t="s">
        <v>6324</v>
      </c>
      <c r="ICJ1" s="3" t="s">
        <v>6325</v>
      </c>
      <c r="ICK1" s="3" t="s">
        <v>6326</v>
      </c>
      <c r="ICL1" s="3" t="s">
        <v>6327</v>
      </c>
      <c r="ICM1" s="3" t="s">
        <v>6328</v>
      </c>
      <c r="ICN1" s="3" t="s">
        <v>6329</v>
      </c>
      <c r="ICO1" s="3" t="s">
        <v>6330</v>
      </c>
      <c r="ICP1" s="3" t="s">
        <v>6331</v>
      </c>
      <c r="ICQ1" s="3" t="s">
        <v>6332</v>
      </c>
      <c r="ICR1" s="3" t="s">
        <v>6333</v>
      </c>
      <c r="ICS1" s="3" t="s">
        <v>6334</v>
      </c>
      <c r="ICT1" s="3" t="s">
        <v>6335</v>
      </c>
      <c r="ICU1" s="3" t="s">
        <v>6336</v>
      </c>
      <c r="ICV1" s="3" t="s">
        <v>6337</v>
      </c>
      <c r="ICW1" s="3" t="s">
        <v>6338</v>
      </c>
      <c r="ICX1" s="3" t="s">
        <v>6339</v>
      </c>
      <c r="ICY1" s="3" t="s">
        <v>6340</v>
      </c>
      <c r="ICZ1" s="3" t="s">
        <v>6341</v>
      </c>
      <c r="IDA1" s="3" t="s">
        <v>6342</v>
      </c>
      <c r="IDB1" s="3" t="s">
        <v>6343</v>
      </c>
      <c r="IDC1" s="3" t="s">
        <v>6344</v>
      </c>
      <c r="IDD1" s="3" t="s">
        <v>6345</v>
      </c>
      <c r="IDE1" s="3" t="s">
        <v>6346</v>
      </c>
      <c r="IDF1" s="3" t="s">
        <v>6347</v>
      </c>
      <c r="IDG1" s="3" t="s">
        <v>6348</v>
      </c>
      <c r="IDH1" s="3" t="s">
        <v>6349</v>
      </c>
      <c r="IDI1" s="3" t="s">
        <v>6350</v>
      </c>
      <c r="IDJ1" s="3" t="s">
        <v>6351</v>
      </c>
      <c r="IDK1" s="3" t="s">
        <v>6352</v>
      </c>
      <c r="IDL1" s="3" t="s">
        <v>6353</v>
      </c>
      <c r="IDM1" s="3" t="s">
        <v>6354</v>
      </c>
      <c r="IDN1" s="3" t="s">
        <v>6355</v>
      </c>
      <c r="IDO1" s="3" t="s">
        <v>6356</v>
      </c>
      <c r="IDP1" s="3" t="s">
        <v>6357</v>
      </c>
      <c r="IDQ1" s="3" t="s">
        <v>6358</v>
      </c>
      <c r="IDR1" s="3" t="s">
        <v>6359</v>
      </c>
      <c r="IDS1" s="3" t="s">
        <v>6360</v>
      </c>
      <c r="IDT1" s="3" t="s">
        <v>6361</v>
      </c>
      <c r="IDU1" s="3" t="s">
        <v>6362</v>
      </c>
      <c r="IDV1" s="3" t="s">
        <v>6363</v>
      </c>
      <c r="IDW1" s="3" t="s">
        <v>6364</v>
      </c>
      <c r="IDX1" s="3" t="s">
        <v>6365</v>
      </c>
      <c r="IDY1" s="3" t="s">
        <v>6366</v>
      </c>
      <c r="IDZ1" s="3" t="s">
        <v>6367</v>
      </c>
      <c r="IEA1" s="3" t="s">
        <v>6368</v>
      </c>
      <c r="IEB1" s="3" t="s">
        <v>6369</v>
      </c>
      <c r="IEC1" s="3" t="s">
        <v>6370</v>
      </c>
      <c r="IED1" s="3" t="s">
        <v>6371</v>
      </c>
      <c r="IEE1" s="3" t="s">
        <v>6372</v>
      </c>
      <c r="IEF1" s="3" t="s">
        <v>6373</v>
      </c>
      <c r="IEG1" s="3" t="s">
        <v>6374</v>
      </c>
      <c r="IEH1" s="3" t="s">
        <v>6375</v>
      </c>
      <c r="IEI1" s="3" t="s">
        <v>6376</v>
      </c>
      <c r="IEJ1" s="3" t="s">
        <v>6377</v>
      </c>
      <c r="IEK1" s="3" t="s">
        <v>6378</v>
      </c>
      <c r="IEL1" s="3" t="s">
        <v>6379</v>
      </c>
      <c r="IEM1" s="3" t="s">
        <v>6380</v>
      </c>
      <c r="IEN1" s="3" t="s">
        <v>6381</v>
      </c>
      <c r="IEO1" s="3" t="s">
        <v>6382</v>
      </c>
      <c r="IEP1" s="3" t="s">
        <v>6383</v>
      </c>
      <c r="IEQ1" s="3" t="s">
        <v>6384</v>
      </c>
      <c r="IER1" s="3" t="s">
        <v>6385</v>
      </c>
      <c r="IES1" s="3" t="s">
        <v>6386</v>
      </c>
      <c r="IET1" s="3" t="s">
        <v>6387</v>
      </c>
      <c r="IEU1" s="3" t="s">
        <v>6388</v>
      </c>
      <c r="IEV1" s="3" t="s">
        <v>6389</v>
      </c>
      <c r="IEW1" s="3" t="s">
        <v>6390</v>
      </c>
      <c r="IEX1" s="3" t="s">
        <v>6391</v>
      </c>
      <c r="IEY1" s="3" t="s">
        <v>6392</v>
      </c>
      <c r="IEZ1" s="3" t="s">
        <v>6393</v>
      </c>
      <c r="IFA1" s="3" t="s">
        <v>6394</v>
      </c>
      <c r="IFB1" s="3" t="s">
        <v>6395</v>
      </c>
      <c r="IFC1" s="3" t="s">
        <v>6396</v>
      </c>
      <c r="IFD1" s="3" t="s">
        <v>6397</v>
      </c>
      <c r="IFE1" s="3" t="s">
        <v>6398</v>
      </c>
      <c r="IFF1" s="3" t="s">
        <v>6399</v>
      </c>
      <c r="IFG1" s="3" t="s">
        <v>6400</v>
      </c>
      <c r="IFH1" s="3" t="s">
        <v>6401</v>
      </c>
      <c r="IFI1" s="3" t="s">
        <v>6402</v>
      </c>
      <c r="IFJ1" s="3" t="s">
        <v>6403</v>
      </c>
      <c r="IFK1" s="3" t="s">
        <v>6404</v>
      </c>
      <c r="IFL1" s="3" t="s">
        <v>6405</v>
      </c>
      <c r="IFM1" s="3" t="s">
        <v>6406</v>
      </c>
      <c r="IFN1" s="3" t="s">
        <v>6407</v>
      </c>
      <c r="IFO1" s="3" t="s">
        <v>6408</v>
      </c>
      <c r="IFP1" s="3" t="s">
        <v>6409</v>
      </c>
      <c r="IFQ1" s="3" t="s">
        <v>6410</v>
      </c>
      <c r="IFR1" s="3" t="s">
        <v>6411</v>
      </c>
      <c r="IFS1" s="3" t="s">
        <v>6412</v>
      </c>
      <c r="IFT1" s="3" t="s">
        <v>6413</v>
      </c>
      <c r="IFU1" s="3" t="s">
        <v>6414</v>
      </c>
      <c r="IFV1" s="3" t="s">
        <v>6415</v>
      </c>
      <c r="IFW1" s="3" t="s">
        <v>6416</v>
      </c>
      <c r="IFX1" s="3" t="s">
        <v>6417</v>
      </c>
      <c r="IFY1" s="3" t="s">
        <v>6418</v>
      </c>
      <c r="IFZ1" s="3" t="s">
        <v>6419</v>
      </c>
      <c r="IGA1" s="3" t="s">
        <v>6420</v>
      </c>
      <c r="IGB1" s="3" t="s">
        <v>6421</v>
      </c>
      <c r="IGC1" s="3" t="s">
        <v>6422</v>
      </c>
      <c r="IGD1" s="3" t="s">
        <v>6423</v>
      </c>
      <c r="IGE1" s="3" t="s">
        <v>6424</v>
      </c>
      <c r="IGF1" s="3" t="s">
        <v>6425</v>
      </c>
      <c r="IGG1" s="3" t="s">
        <v>6426</v>
      </c>
      <c r="IGH1" s="3" t="s">
        <v>6427</v>
      </c>
      <c r="IGI1" s="3" t="s">
        <v>6428</v>
      </c>
      <c r="IGJ1" s="3" t="s">
        <v>6429</v>
      </c>
      <c r="IGK1" s="3" t="s">
        <v>6430</v>
      </c>
      <c r="IGL1" s="3" t="s">
        <v>6431</v>
      </c>
      <c r="IGM1" s="3" t="s">
        <v>6432</v>
      </c>
      <c r="IGN1" s="3" t="s">
        <v>6433</v>
      </c>
      <c r="IGO1" s="3" t="s">
        <v>6434</v>
      </c>
      <c r="IGP1" s="3" t="s">
        <v>6435</v>
      </c>
      <c r="IGQ1" s="3" t="s">
        <v>6436</v>
      </c>
      <c r="IGR1" s="3" t="s">
        <v>6437</v>
      </c>
      <c r="IGS1" s="3" t="s">
        <v>6438</v>
      </c>
      <c r="IGT1" s="3" t="s">
        <v>6439</v>
      </c>
      <c r="IGU1" s="3" t="s">
        <v>6440</v>
      </c>
      <c r="IGV1" s="3" t="s">
        <v>6441</v>
      </c>
      <c r="IGW1" s="3" t="s">
        <v>6442</v>
      </c>
      <c r="IGX1" s="3" t="s">
        <v>6443</v>
      </c>
      <c r="IGY1" s="3" t="s">
        <v>6444</v>
      </c>
      <c r="IGZ1" s="3" t="s">
        <v>6445</v>
      </c>
      <c r="IHA1" s="3" t="s">
        <v>6446</v>
      </c>
      <c r="IHB1" s="3" t="s">
        <v>6447</v>
      </c>
      <c r="IHC1" s="3" t="s">
        <v>6448</v>
      </c>
      <c r="IHD1" s="3" t="s">
        <v>6449</v>
      </c>
      <c r="IHE1" s="3" t="s">
        <v>6450</v>
      </c>
      <c r="IHF1" s="3" t="s">
        <v>6451</v>
      </c>
      <c r="IHG1" s="3" t="s">
        <v>6452</v>
      </c>
      <c r="IHH1" s="3" t="s">
        <v>6453</v>
      </c>
      <c r="IHI1" s="3" t="s">
        <v>6454</v>
      </c>
      <c r="IHJ1" s="3" t="s">
        <v>6455</v>
      </c>
      <c r="IHK1" s="3" t="s">
        <v>6456</v>
      </c>
      <c r="IHL1" s="3" t="s">
        <v>6457</v>
      </c>
      <c r="IHM1" s="3" t="s">
        <v>6458</v>
      </c>
      <c r="IHN1" s="3" t="s">
        <v>6459</v>
      </c>
      <c r="IHO1" s="3" t="s">
        <v>6460</v>
      </c>
      <c r="IHP1" s="3" t="s">
        <v>6461</v>
      </c>
      <c r="IHQ1" s="3" t="s">
        <v>6462</v>
      </c>
      <c r="IHR1" s="3" t="s">
        <v>6463</v>
      </c>
      <c r="IHS1" s="3" t="s">
        <v>6464</v>
      </c>
      <c r="IHT1" s="3" t="s">
        <v>6465</v>
      </c>
      <c r="IHU1" s="3" t="s">
        <v>6466</v>
      </c>
      <c r="IHV1" s="3" t="s">
        <v>6467</v>
      </c>
      <c r="IHW1" s="3" t="s">
        <v>6468</v>
      </c>
      <c r="IHX1" s="3" t="s">
        <v>6469</v>
      </c>
      <c r="IHY1" s="3" t="s">
        <v>6470</v>
      </c>
      <c r="IHZ1" s="3" t="s">
        <v>6471</v>
      </c>
      <c r="IIA1" s="3" t="s">
        <v>6472</v>
      </c>
      <c r="IIB1" s="3" t="s">
        <v>6473</v>
      </c>
      <c r="IIC1" s="3" t="s">
        <v>6474</v>
      </c>
      <c r="IID1" s="3" t="s">
        <v>6475</v>
      </c>
      <c r="IIE1" s="3" t="s">
        <v>6476</v>
      </c>
      <c r="IIF1" s="3" t="s">
        <v>6477</v>
      </c>
      <c r="IIG1" s="3" t="s">
        <v>6478</v>
      </c>
      <c r="IIH1" s="3" t="s">
        <v>6479</v>
      </c>
      <c r="III1" s="3" t="s">
        <v>6480</v>
      </c>
      <c r="IIJ1" s="3" t="s">
        <v>6481</v>
      </c>
      <c r="IIK1" s="3" t="s">
        <v>6482</v>
      </c>
      <c r="IIL1" s="3" t="s">
        <v>6483</v>
      </c>
      <c r="IIM1" s="3" t="s">
        <v>6484</v>
      </c>
      <c r="IIN1" s="3" t="s">
        <v>6485</v>
      </c>
      <c r="IIO1" s="3" t="s">
        <v>6486</v>
      </c>
      <c r="IIP1" s="3" t="s">
        <v>6487</v>
      </c>
      <c r="IIQ1" s="3" t="s">
        <v>6488</v>
      </c>
      <c r="IIR1" s="3" t="s">
        <v>6489</v>
      </c>
      <c r="IIS1" s="3" t="s">
        <v>6490</v>
      </c>
      <c r="IIT1" s="3" t="s">
        <v>6491</v>
      </c>
      <c r="IIU1" s="3" t="s">
        <v>6492</v>
      </c>
      <c r="IIV1" s="3" t="s">
        <v>6493</v>
      </c>
      <c r="IIW1" s="3" t="s">
        <v>6494</v>
      </c>
      <c r="IIX1" s="3" t="s">
        <v>6495</v>
      </c>
      <c r="IIY1" s="3" t="s">
        <v>6496</v>
      </c>
      <c r="IIZ1" s="3" t="s">
        <v>6497</v>
      </c>
      <c r="IJA1" s="3" t="s">
        <v>6498</v>
      </c>
      <c r="IJB1" s="3" t="s">
        <v>6499</v>
      </c>
      <c r="IJC1" s="3" t="s">
        <v>6500</v>
      </c>
      <c r="IJD1" s="3" t="s">
        <v>6501</v>
      </c>
      <c r="IJE1" s="3" t="s">
        <v>6502</v>
      </c>
      <c r="IJF1" s="3" t="s">
        <v>6503</v>
      </c>
      <c r="IJG1" s="3" t="s">
        <v>6504</v>
      </c>
      <c r="IJH1" s="3" t="s">
        <v>6505</v>
      </c>
      <c r="IJI1" s="3" t="s">
        <v>6506</v>
      </c>
      <c r="IJJ1" s="3" t="s">
        <v>6507</v>
      </c>
      <c r="IJK1" s="3" t="s">
        <v>6508</v>
      </c>
      <c r="IJL1" s="3" t="s">
        <v>6509</v>
      </c>
      <c r="IJM1" s="3" t="s">
        <v>6510</v>
      </c>
      <c r="IJN1" s="3" t="s">
        <v>6511</v>
      </c>
      <c r="IJO1" s="3" t="s">
        <v>6512</v>
      </c>
      <c r="IJP1" s="3" t="s">
        <v>6513</v>
      </c>
      <c r="IJQ1" s="3" t="s">
        <v>6514</v>
      </c>
      <c r="IJR1" s="3" t="s">
        <v>6515</v>
      </c>
      <c r="IJS1" s="3" t="s">
        <v>6516</v>
      </c>
      <c r="IJT1" s="3" t="s">
        <v>6517</v>
      </c>
      <c r="IJU1" s="3" t="s">
        <v>6518</v>
      </c>
      <c r="IJV1" s="3" t="s">
        <v>6519</v>
      </c>
      <c r="IJW1" s="3" t="s">
        <v>6520</v>
      </c>
      <c r="IJX1" s="3" t="s">
        <v>6521</v>
      </c>
      <c r="IJY1" s="3" t="s">
        <v>6522</v>
      </c>
      <c r="IJZ1" s="3" t="s">
        <v>6523</v>
      </c>
      <c r="IKA1" s="3" t="s">
        <v>6524</v>
      </c>
      <c r="IKB1" s="3" t="s">
        <v>6525</v>
      </c>
      <c r="IKC1" s="3" t="s">
        <v>6526</v>
      </c>
      <c r="IKD1" s="3" t="s">
        <v>6527</v>
      </c>
      <c r="IKE1" s="3" t="s">
        <v>6528</v>
      </c>
      <c r="IKF1" s="3" t="s">
        <v>6529</v>
      </c>
      <c r="IKG1" s="3" t="s">
        <v>6530</v>
      </c>
      <c r="IKH1" s="3" t="s">
        <v>6531</v>
      </c>
      <c r="IKI1" s="3" t="s">
        <v>6532</v>
      </c>
      <c r="IKJ1" s="3" t="s">
        <v>6533</v>
      </c>
      <c r="IKK1" s="3" t="s">
        <v>6534</v>
      </c>
      <c r="IKL1" s="3" t="s">
        <v>6535</v>
      </c>
      <c r="IKM1" s="3" t="s">
        <v>6536</v>
      </c>
      <c r="IKN1" s="3" t="s">
        <v>6537</v>
      </c>
      <c r="IKO1" s="3" t="s">
        <v>6538</v>
      </c>
      <c r="IKP1" s="3" t="s">
        <v>6539</v>
      </c>
      <c r="IKQ1" s="3" t="s">
        <v>6540</v>
      </c>
      <c r="IKR1" s="3" t="s">
        <v>6541</v>
      </c>
      <c r="IKS1" s="3" t="s">
        <v>6542</v>
      </c>
      <c r="IKT1" s="3" t="s">
        <v>6543</v>
      </c>
      <c r="IKU1" s="3" t="s">
        <v>6544</v>
      </c>
      <c r="IKV1" s="3" t="s">
        <v>6545</v>
      </c>
      <c r="IKW1" s="3" t="s">
        <v>6546</v>
      </c>
      <c r="IKX1" s="3" t="s">
        <v>6547</v>
      </c>
      <c r="IKY1" s="3" t="s">
        <v>6548</v>
      </c>
      <c r="IKZ1" s="3" t="s">
        <v>6549</v>
      </c>
      <c r="ILA1" s="3" t="s">
        <v>6550</v>
      </c>
      <c r="ILB1" s="3" t="s">
        <v>6551</v>
      </c>
      <c r="ILC1" s="3" t="s">
        <v>6552</v>
      </c>
      <c r="ILD1" s="3" t="s">
        <v>6553</v>
      </c>
      <c r="ILE1" s="3" t="s">
        <v>6554</v>
      </c>
      <c r="ILF1" s="3" t="s">
        <v>6555</v>
      </c>
      <c r="ILG1" s="3" t="s">
        <v>6556</v>
      </c>
      <c r="ILH1" s="3" t="s">
        <v>6557</v>
      </c>
      <c r="ILI1" s="3" t="s">
        <v>6558</v>
      </c>
      <c r="ILJ1" s="3" t="s">
        <v>6559</v>
      </c>
      <c r="ILK1" s="3" t="s">
        <v>6560</v>
      </c>
      <c r="ILL1" s="3" t="s">
        <v>6561</v>
      </c>
      <c r="ILM1" s="3" t="s">
        <v>6562</v>
      </c>
      <c r="ILN1" s="3" t="s">
        <v>6563</v>
      </c>
      <c r="ILO1" s="3" t="s">
        <v>6564</v>
      </c>
      <c r="ILP1" s="3" t="s">
        <v>6565</v>
      </c>
      <c r="ILQ1" s="3" t="s">
        <v>6566</v>
      </c>
      <c r="ILR1" s="3" t="s">
        <v>6567</v>
      </c>
      <c r="ILS1" s="3" t="s">
        <v>6568</v>
      </c>
      <c r="ILT1" s="3" t="s">
        <v>6569</v>
      </c>
      <c r="ILU1" s="3" t="s">
        <v>6570</v>
      </c>
      <c r="ILV1" s="3" t="s">
        <v>6571</v>
      </c>
      <c r="ILW1" s="3" t="s">
        <v>6572</v>
      </c>
      <c r="ILX1" s="3" t="s">
        <v>6573</v>
      </c>
      <c r="ILY1" s="3" t="s">
        <v>6574</v>
      </c>
      <c r="ILZ1" s="3" t="s">
        <v>6575</v>
      </c>
      <c r="IMA1" s="3" t="s">
        <v>6576</v>
      </c>
      <c r="IMB1" s="3" t="s">
        <v>6577</v>
      </c>
      <c r="IMC1" s="3" t="s">
        <v>6578</v>
      </c>
      <c r="IMD1" s="3" t="s">
        <v>6579</v>
      </c>
      <c r="IME1" s="3" t="s">
        <v>6580</v>
      </c>
      <c r="IMF1" s="3" t="s">
        <v>6581</v>
      </c>
      <c r="IMG1" s="3" t="s">
        <v>6582</v>
      </c>
      <c r="IMH1" s="3" t="s">
        <v>6583</v>
      </c>
      <c r="IMI1" s="3" t="s">
        <v>6584</v>
      </c>
      <c r="IMJ1" s="3" t="s">
        <v>6585</v>
      </c>
      <c r="IMK1" s="3" t="s">
        <v>6586</v>
      </c>
      <c r="IML1" s="3" t="s">
        <v>6587</v>
      </c>
      <c r="IMM1" s="3" t="s">
        <v>6588</v>
      </c>
      <c r="IMN1" s="3" t="s">
        <v>6589</v>
      </c>
      <c r="IMO1" s="3" t="s">
        <v>6590</v>
      </c>
      <c r="IMP1" s="3" t="s">
        <v>6591</v>
      </c>
      <c r="IMQ1" s="3" t="s">
        <v>6592</v>
      </c>
      <c r="IMR1" s="3" t="s">
        <v>6593</v>
      </c>
      <c r="IMS1" s="3" t="s">
        <v>6594</v>
      </c>
      <c r="IMT1" s="3" t="s">
        <v>6595</v>
      </c>
      <c r="IMU1" s="3" t="s">
        <v>6596</v>
      </c>
      <c r="IMV1" s="3" t="s">
        <v>6597</v>
      </c>
      <c r="IMW1" s="3" t="s">
        <v>6598</v>
      </c>
      <c r="IMX1" s="3" t="s">
        <v>6599</v>
      </c>
      <c r="IMY1" s="3" t="s">
        <v>6600</v>
      </c>
      <c r="IMZ1" s="3" t="s">
        <v>6601</v>
      </c>
      <c r="INA1" s="3" t="s">
        <v>6602</v>
      </c>
      <c r="INB1" s="3" t="s">
        <v>6603</v>
      </c>
      <c r="INC1" s="3" t="s">
        <v>6604</v>
      </c>
      <c r="IND1" s="3" t="s">
        <v>6605</v>
      </c>
      <c r="INE1" s="3" t="s">
        <v>6606</v>
      </c>
      <c r="INF1" s="3" t="s">
        <v>6607</v>
      </c>
      <c r="ING1" s="3" t="s">
        <v>6608</v>
      </c>
      <c r="INH1" s="3" t="s">
        <v>6609</v>
      </c>
      <c r="INI1" s="3" t="s">
        <v>6610</v>
      </c>
      <c r="INJ1" s="3" t="s">
        <v>6611</v>
      </c>
      <c r="INK1" s="3" t="s">
        <v>6612</v>
      </c>
      <c r="INL1" s="3" t="s">
        <v>6613</v>
      </c>
      <c r="INM1" s="3" t="s">
        <v>6614</v>
      </c>
      <c r="INN1" s="3" t="s">
        <v>6615</v>
      </c>
      <c r="INO1" s="3" t="s">
        <v>6616</v>
      </c>
      <c r="INP1" s="3" t="s">
        <v>6617</v>
      </c>
      <c r="INQ1" s="3" t="s">
        <v>6618</v>
      </c>
      <c r="INR1" s="3" t="s">
        <v>6619</v>
      </c>
      <c r="INS1" s="3" t="s">
        <v>6620</v>
      </c>
      <c r="INT1" s="3" t="s">
        <v>6621</v>
      </c>
      <c r="INU1" s="3" t="s">
        <v>6622</v>
      </c>
      <c r="INV1" s="3" t="s">
        <v>6623</v>
      </c>
      <c r="INW1" s="3" t="s">
        <v>6624</v>
      </c>
      <c r="INX1" s="3" t="s">
        <v>6625</v>
      </c>
      <c r="INY1" s="3" t="s">
        <v>6626</v>
      </c>
      <c r="INZ1" s="3" t="s">
        <v>6627</v>
      </c>
      <c r="IOA1" s="3" t="s">
        <v>6628</v>
      </c>
      <c r="IOB1" s="3" t="s">
        <v>6629</v>
      </c>
      <c r="IOC1" s="3" t="s">
        <v>6630</v>
      </c>
      <c r="IOD1" s="3" t="s">
        <v>6631</v>
      </c>
      <c r="IOE1" s="3" t="s">
        <v>6632</v>
      </c>
      <c r="IOF1" s="3" t="s">
        <v>6633</v>
      </c>
      <c r="IOG1" s="3" t="s">
        <v>6634</v>
      </c>
      <c r="IOH1" s="3" t="s">
        <v>6635</v>
      </c>
      <c r="IOI1" s="3" t="s">
        <v>6636</v>
      </c>
      <c r="IOJ1" s="3" t="s">
        <v>6637</v>
      </c>
      <c r="IOK1" s="3" t="s">
        <v>6638</v>
      </c>
      <c r="IOL1" s="3" t="s">
        <v>6639</v>
      </c>
      <c r="IOM1" s="3" t="s">
        <v>6640</v>
      </c>
      <c r="ION1" s="3" t="s">
        <v>6641</v>
      </c>
      <c r="IOO1" s="3" t="s">
        <v>6642</v>
      </c>
      <c r="IOP1" s="3" t="s">
        <v>6643</v>
      </c>
      <c r="IOQ1" s="3" t="s">
        <v>6644</v>
      </c>
      <c r="IOR1" s="3" t="s">
        <v>6645</v>
      </c>
      <c r="IOS1" s="3" t="s">
        <v>6646</v>
      </c>
      <c r="IOT1" s="3" t="s">
        <v>6647</v>
      </c>
      <c r="IOU1" s="3" t="s">
        <v>6648</v>
      </c>
      <c r="IOV1" s="3" t="s">
        <v>6649</v>
      </c>
      <c r="IOW1" s="3" t="s">
        <v>6650</v>
      </c>
      <c r="IOX1" s="3" t="s">
        <v>6651</v>
      </c>
      <c r="IOY1" s="3" t="s">
        <v>6652</v>
      </c>
      <c r="IOZ1" s="3" t="s">
        <v>6653</v>
      </c>
      <c r="IPA1" s="3" t="s">
        <v>6654</v>
      </c>
      <c r="IPB1" s="3" t="s">
        <v>6655</v>
      </c>
      <c r="IPC1" s="3" t="s">
        <v>6656</v>
      </c>
      <c r="IPD1" s="3" t="s">
        <v>6657</v>
      </c>
      <c r="IPE1" s="3" t="s">
        <v>6658</v>
      </c>
      <c r="IPF1" s="3" t="s">
        <v>6659</v>
      </c>
      <c r="IPG1" s="3" t="s">
        <v>6660</v>
      </c>
      <c r="IPH1" s="3" t="s">
        <v>6661</v>
      </c>
      <c r="IPI1" s="3" t="s">
        <v>6662</v>
      </c>
      <c r="IPJ1" s="3" t="s">
        <v>6663</v>
      </c>
      <c r="IPK1" s="3" t="s">
        <v>6664</v>
      </c>
      <c r="IPL1" s="3" t="s">
        <v>6665</v>
      </c>
      <c r="IPM1" s="3" t="s">
        <v>6666</v>
      </c>
      <c r="IPN1" s="3" t="s">
        <v>6667</v>
      </c>
      <c r="IPO1" s="3" t="s">
        <v>6668</v>
      </c>
      <c r="IPP1" s="3" t="s">
        <v>6669</v>
      </c>
      <c r="IPQ1" s="3" t="s">
        <v>6670</v>
      </c>
      <c r="IPR1" s="3" t="s">
        <v>6671</v>
      </c>
      <c r="IPS1" s="3" t="s">
        <v>6672</v>
      </c>
      <c r="IPT1" s="3" t="s">
        <v>6673</v>
      </c>
      <c r="IPU1" s="3" t="s">
        <v>6674</v>
      </c>
      <c r="IPV1" s="3" t="s">
        <v>6675</v>
      </c>
      <c r="IPW1" s="3" t="s">
        <v>6676</v>
      </c>
      <c r="IPX1" s="3" t="s">
        <v>6677</v>
      </c>
      <c r="IPY1" s="3" t="s">
        <v>6678</v>
      </c>
      <c r="IPZ1" s="3" t="s">
        <v>6679</v>
      </c>
      <c r="IQA1" s="3" t="s">
        <v>6680</v>
      </c>
      <c r="IQB1" s="3" t="s">
        <v>6681</v>
      </c>
      <c r="IQC1" s="3" t="s">
        <v>6682</v>
      </c>
      <c r="IQD1" s="3" t="s">
        <v>6683</v>
      </c>
      <c r="IQE1" s="3" t="s">
        <v>6684</v>
      </c>
      <c r="IQF1" s="3" t="s">
        <v>6685</v>
      </c>
      <c r="IQG1" s="3" t="s">
        <v>6686</v>
      </c>
      <c r="IQH1" s="3" t="s">
        <v>6687</v>
      </c>
      <c r="IQI1" s="3" t="s">
        <v>6688</v>
      </c>
      <c r="IQJ1" s="3" t="s">
        <v>6689</v>
      </c>
      <c r="IQK1" s="3" t="s">
        <v>6690</v>
      </c>
      <c r="IQL1" s="3" t="s">
        <v>6691</v>
      </c>
      <c r="IQM1" s="3" t="s">
        <v>6692</v>
      </c>
      <c r="IQN1" s="3" t="s">
        <v>6693</v>
      </c>
      <c r="IQO1" s="3" t="s">
        <v>6694</v>
      </c>
      <c r="IQP1" s="3" t="s">
        <v>6695</v>
      </c>
      <c r="IQQ1" s="3" t="s">
        <v>6696</v>
      </c>
      <c r="IQR1" s="3" t="s">
        <v>6697</v>
      </c>
      <c r="IQS1" s="3" t="s">
        <v>6698</v>
      </c>
      <c r="IQT1" s="3" t="s">
        <v>6699</v>
      </c>
      <c r="IQU1" s="3" t="s">
        <v>6700</v>
      </c>
      <c r="IQV1" s="3" t="s">
        <v>6701</v>
      </c>
      <c r="IQW1" s="3" t="s">
        <v>6702</v>
      </c>
      <c r="IQX1" s="3" t="s">
        <v>6703</v>
      </c>
      <c r="IQY1" s="3" t="s">
        <v>6704</v>
      </c>
      <c r="IQZ1" s="3" t="s">
        <v>6705</v>
      </c>
      <c r="IRA1" s="3" t="s">
        <v>6706</v>
      </c>
      <c r="IRB1" s="3" t="s">
        <v>6707</v>
      </c>
      <c r="IRC1" s="3" t="s">
        <v>6708</v>
      </c>
      <c r="IRD1" s="3" t="s">
        <v>6709</v>
      </c>
      <c r="IRE1" s="3" t="s">
        <v>6710</v>
      </c>
      <c r="IRF1" s="3" t="s">
        <v>6711</v>
      </c>
      <c r="IRG1" s="3" t="s">
        <v>6712</v>
      </c>
      <c r="IRH1" s="3" t="s">
        <v>6713</v>
      </c>
      <c r="IRI1" s="3" t="s">
        <v>6714</v>
      </c>
      <c r="IRJ1" s="3" t="s">
        <v>6715</v>
      </c>
      <c r="IRK1" s="3" t="s">
        <v>6716</v>
      </c>
      <c r="IRL1" s="3" t="s">
        <v>6717</v>
      </c>
      <c r="IRM1" s="3" t="s">
        <v>6718</v>
      </c>
      <c r="IRN1" s="3" t="s">
        <v>6719</v>
      </c>
      <c r="IRO1" s="3" t="s">
        <v>6720</v>
      </c>
      <c r="IRP1" s="3" t="s">
        <v>6721</v>
      </c>
      <c r="IRQ1" s="3" t="s">
        <v>6722</v>
      </c>
      <c r="IRR1" s="3" t="s">
        <v>6723</v>
      </c>
      <c r="IRS1" s="3" t="s">
        <v>6724</v>
      </c>
      <c r="IRT1" s="3" t="s">
        <v>6725</v>
      </c>
      <c r="IRU1" s="3" t="s">
        <v>6726</v>
      </c>
      <c r="IRV1" s="3" t="s">
        <v>6727</v>
      </c>
      <c r="IRW1" s="3" t="s">
        <v>6728</v>
      </c>
      <c r="IRX1" s="3" t="s">
        <v>6729</v>
      </c>
      <c r="IRY1" s="3" t="s">
        <v>6730</v>
      </c>
      <c r="IRZ1" s="3" t="s">
        <v>6731</v>
      </c>
      <c r="ISA1" s="3" t="s">
        <v>6732</v>
      </c>
      <c r="ISB1" s="3" t="s">
        <v>6733</v>
      </c>
      <c r="ISC1" s="3" t="s">
        <v>6734</v>
      </c>
      <c r="ISD1" s="3" t="s">
        <v>6735</v>
      </c>
      <c r="ISE1" s="3" t="s">
        <v>6736</v>
      </c>
      <c r="ISF1" s="3" t="s">
        <v>6737</v>
      </c>
      <c r="ISG1" s="3" t="s">
        <v>6738</v>
      </c>
      <c r="ISH1" s="3" t="s">
        <v>6739</v>
      </c>
      <c r="ISI1" s="3" t="s">
        <v>6740</v>
      </c>
      <c r="ISJ1" s="3" t="s">
        <v>6741</v>
      </c>
      <c r="ISK1" s="3" t="s">
        <v>6742</v>
      </c>
      <c r="ISL1" s="3" t="s">
        <v>6743</v>
      </c>
      <c r="ISM1" s="3" t="s">
        <v>6744</v>
      </c>
      <c r="ISN1" s="3" t="s">
        <v>6745</v>
      </c>
      <c r="ISO1" s="3" t="s">
        <v>6746</v>
      </c>
      <c r="ISP1" s="3" t="s">
        <v>6747</v>
      </c>
      <c r="ISQ1" s="3" t="s">
        <v>6748</v>
      </c>
      <c r="ISR1" s="3" t="s">
        <v>6749</v>
      </c>
      <c r="ISS1" s="3" t="s">
        <v>6750</v>
      </c>
      <c r="IST1" s="3" t="s">
        <v>6751</v>
      </c>
      <c r="ISU1" s="3" t="s">
        <v>6752</v>
      </c>
      <c r="ISV1" s="3" t="s">
        <v>6753</v>
      </c>
      <c r="ISW1" s="3" t="s">
        <v>6754</v>
      </c>
      <c r="ISX1" s="3" t="s">
        <v>6755</v>
      </c>
      <c r="ISY1" s="3" t="s">
        <v>6756</v>
      </c>
      <c r="ISZ1" s="3" t="s">
        <v>6757</v>
      </c>
      <c r="ITA1" s="3" t="s">
        <v>6758</v>
      </c>
      <c r="ITB1" s="3" t="s">
        <v>6759</v>
      </c>
      <c r="ITC1" s="3" t="s">
        <v>6760</v>
      </c>
      <c r="ITD1" s="3" t="s">
        <v>6761</v>
      </c>
      <c r="ITE1" s="3" t="s">
        <v>6762</v>
      </c>
      <c r="ITF1" s="3" t="s">
        <v>6763</v>
      </c>
      <c r="ITG1" s="3" t="s">
        <v>6764</v>
      </c>
      <c r="ITH1" s="3" t="s">
        <v>6765</v>
      </c>
      <c r="ITI1" s="3" t="s">
        <v>6766</v>
      </c>
      <c r="ITJ1" s="3" t="s">
        <v>6767</v>
      </c>
      <c r="ITK1" s="3" t="s">
        <v>6768</v>
      </c>
      <c r="ITL1" s="3" t="s">
        <v>6769</v>
      </c>
      <c r="ITM1" s="3" t="s">
        <v>6770</v>
      </c>
      <c r="ITN1" s="3" t="s">
        <v>6771</v>
      </c>
      <c r="ITO1" s="3" t="s">
        <v>6772</v>
      </c>
      <c r="ITP1" s="3" t="s">
        <v>6773</v>
      </c>
      <c r="ITQ1" s="3" t="s">
        <v>6774</v>
      </c>
      <c r="ITR1" s="3" t="s">
        <v>6775</v>
      </c>
      <c r="ITS1" s="3" t="s">
        <v>6776</v>
      </c>
      <c r="ITT1" s="3" t="s">
        <v>6777</v>
      </c>
      <c r="ITU1" s="3" t="s">
        <v>6778</v>
      </c>
      <c r="ITV1" s="3" t="s">
        <v>6779</v>
      </c>
      <c r="ITW1" s="3" t="s">
        <v>6780</v>
      </c>
      <c r="ITX1" s="3" t="s">
        <v>6781</v>
      </c>
      <c r="ITY1" s="3" t="s">
        <v>6782</v>
      </c>
      <c r="ITZ1" s="3" t="s">
        <v>6783</v>
      </c>
      <c r="IUA1" s="3" t="s">
        <v>6784</v>
      </c>
      <c r="IUB1" s="3" t="s">
        <v>6785</v>
      </c>
      <c r="IUC1" s="3" t="s">
        <v>6786</v>
      </c>
      <c r="IUD1" s="3" t="s">
        <v>6787</v>
      </c>
      <c r="IUE1" s="3" t="s">
        <v>6788</v>
      </c>
      <c r="IUF1" s="3" t="s">
        <v>6789</v>
      </c>
      <c r="IUG1" s="3" t="s">
        <v>6790</v>
      </c>
      <c r="IUH1" s="3" t="s">
        <v>6791</v>
      </c>
      <c r="IUI1" s="3" t="s">
        <v>6792</v>
      </c>
      <c r="IUJ1" s="3" t="s">
        <v>6793</v>
      </c>
      <c r="IUK1" s="3" t="s">
        <v>6794</v>
      </c>
      <c r="IUL1" s="3" t="s">
        <v>6795</v>
      </c>
      <c r="IUM1" s="3" t="s">
        <v>6796</v>
      </c>
      <c r="IUN1" s="3" t="s">
        <v>6797</v>
      </c>
      <c r="IUO1" s="3" t="s">
        <v>6798</v>
      </c>
      <c r="IUP1" s="3" t="s">
        <v>6799</v>
      </c>
      <c r="IUQ1" s="3" t="s">
        <v>6800</v>
      </c>
      <c r="IUR1" s="3" t="s">
        <v>6801</v>
      </c>
      <c r="IUS1" s="3" t="s">
        <v>6802</v>
      </c>
      <c r="IUT1" s="3" t="s">
        <v>6803</v>
      </c>
      <c r="IUU1" s="3" t="s">
        <v>6804</v>
      </c>
      <c r="IUV1" s="3" t="s">
        <v>6805</v>
      </c>
      <c r="IUW1" s="3" t="s">
        <v>6806</v>
      </c>
      <c r="IUX1" s="3" t="s">
        <v>6807</v>
      </c>
      <c r="IUY1" s="3" t="s">
        <v>6808</v>
      </c>
      <c r="IUZ1" s="3" t="s">
        <v>6809</v>
      </c>
      <c r="IVA1" s="3" t="s">
        <v>6810</v>
      </c>
      <c r="IVB1" s="3" t="s">
        <v>6811</v>
      </c>
      <c r="IVC1" s="3" t="s">
        <v>6812</v>
      </c>
      <c r="IVD1" s="3" t="s">
        <v>6813</v>
      </c>
      <c r="IVE1" s="3" t="s">
        <v>6814</v>
      </c>
      <c r="IVF1" s="3" t="s">
        <v>6815</v>
      </c>
      <c r="IVG1" s="3" t="s">
        <v>6816</v>
      </c>
      <c r="IVH1" s="3" t="s">
        <v>6817</v>
      </c>
      <c r="IVI1" s="3" t="s">
        <v>6818</v>
      </c>
      <c r="IVJ1" s="3" t="s">
        <v>6819</v>
      </c>
      <c r="IVK1" s="3" t="s">
        <v>6820</v>
      </c>
      <c r="IVL1" s="3" t="s">
        <v>6821</v>
      </c>
      <c r="IVM1" s="3" t="s">
        <v>6822</v>
      </c>
      <c r="IVN1" s="3" t="s">
        <v>6823</v>
      </c>
      <c r="IVO1" s="3" t="s">
        <v>6824</v>
      </c>
      <c r="IVP1" s="3" t="s">
        <v>6825</v>
      </c>
      <c r="IVQ1" s="3" t="s">
        <v>6826</v>
      </c>
      <c r="IVR1" s="3" t="s">
        <v>6827</v>
      </c>
      <c r="IVS1" s="3" t="s">
        <v>6828</v>
      </c>
      <c r="IVT1" s="3" t="s">
        <v>6829</v>
      </c>
      <c r="IVU1" s="3" t="s">
        <v>6830</v>
      </c>
      <c r="IVV1" s="3" t="s">
        <v>6831</v>
      </c>
      <c r="IVW1" s="3" t="s">
        <v>6832</v>
      </c>
      <c r="IVX1" s="3" t="s">
        <v>6833</v>
      </c>
      <c r="IVY1" s="3" t="s">
        <v>6834</v>
      </c>
      <c r="IVZ1" s="3" t="s">
        <v>6835</v>
      </c>
      <c r="IWA1" s="3" t="s">
        <v>6836</v>
      </c>
      <c r="IWB1" s="3" t="s">
        <v>6837</v>
      </c>
      <c r="IWC1" s="3" t="s">
        <v>6838</v>
      </c>
      <c r="IWD1" s="3" t="s">
        <v>6839</v>
      </c>
      <c r="IWE1" s="3" t="s">
        <v>6840</v>
      </c>
      <c r="IWF1" s="3" t="s">
        <v>6841</v>
      </c>
      <c r="IWG1" s="3" t="s">
        <v>6842</v>
      </c>
      <c r="IWH1" s="3" t="s">
        <v>6843</v>
      </c>
      <c r="IWI1" s="3" t="s">
        <v>6844</v>
      </c>
      <c r="IWJ1" s="3" t="s">
        <v>6845</v>
      </c>
      <c r="IWK1" s="3" t="s">
        <v>6846</v>
      </c>
      <c r="IWL1" s="3" t="s">
        <v>6847</v>
      </c>
      <c r="IWM1" s="3" t="s">
        <v>6848</v>
      </c>
      <c r="IWN1" s="3" t="s">
        <v>6849</v>
      </c>
      <c r="IWO1" s="3" t="s">
        <v>6850</v>
      </c>
      <c r="IWP1" s="3" t="s">
        <v>6851</v>
      </c>
      <c r="IWQ1" s="3" t="s">
        <v>6852</v>
      </c>
      <c r="IWR1" s="3" t="s">
        <v>6853</v>
      </c>
      <c r="IWS1" s="3" t="s">
        <v>6854</v>
      </c>
      <c r="IWT1" s="3" t="s">
        <v>6855</v>
      </c>
      <c r="IWU1" s="3" t="s">
        <v>6856</v>
      </c>
      <c r="IWV1" s="3" t="s">
        <v>6857</v>
      </c>
      <c r="IWW1" s="3" t="s">
        <v>6858</v>
      </c>
      <c r="IWX1" s="3" t="s">
        <v>6859</v>
      </c>
      <c r="IWY1" s="3" t="s">
        <v>6860</v>
      </c>
      <c r="IWZ1" s="3" t="s">
        <v>6861</v>
      </c>
      <c r="IXA1" s="3" t="s">
        <v>6862</v>
      </c>
      <c r="IXB1" s="3" t="s">
        <v>6863</v>
      </c>
      <c r="IXC1" s="3" t="s">
        <v>6864</v>
      </c>
      <c r="IXD1" s="3" t="s">
        <v>6865</v>
      </c>
      <c r="IXE1" s="3" t="s">
        <v>6866</v>
      </c>
      <c r="IXF1" s="3" t="s">
        <v>6867</v>
      </c>
      <c r="IXG1" s="3" t="s">
        <v>6868</v>
      </c>
      <c r="IXH1" s="3" t="s">
        <v>6869</v>
      </c>
      <c r="IXI1" s="3" t="s">
        <v>6870</v>
      </c>
      <c r="IXJ1" s="3" t="s">
        <v>6871</v>
      </c>
      <c r="IXK1" s="3" t="s">
        <v>6872</v>
      </c>
      <c r="IXL1" s="3" t="s">
        <v>6873</v>
      </c>
      <c r="IXM1" s="3" t="s">
        <v>6874</v>
      </c>
      <c r="IXN1" s="3" t="s">
        <v>6875</v>
      </c>
      <c r="IXO1" s="3" t="s">
        <v>6876</v>
      </c>
      <c r="IXP1" s="3" t="s">
        <v>6877</v>
      </c>
      <c r="IXQ1" s="3" t="s">
        <v>6878</v>
      </c>
      <c r="IXR1" s="3" t="s">
        <v>6879</v>
      </c>
      <c r="IXS1" s="3" t="s">
        <v>6880</v>
      </c>
      <c r="IXT1" s="3" t="s">
        <v>6881</v>
      </c>
      <c r="IXU1" s="3" t="s">
        <v>6882</v>
      </c>
      <c r="IXV1" s="3" t="s">
        <v>6883</v>
      </c>
      <c r="IXW1" s="3" t="s">
        <v>6884</v>
      </c>
      <c r="IXX1" s="3" t="s">
        <v>6885</v>
      </c>
      <c r="IXY1" s="3" t="s">
        <v>6886</v>
      </c>
      <c r="IXZ1" s="3" t="s">
        <v>6887</v>
      </c>
      <c r="IYA1" s="3" t="s">
        <v>6888</v>
      </c>
      <c r="IYB1" s="3" t="s">
        <v>6889</v>
      </c>
      <c r="IYC1" s="3" t="s">
        <v>6890</v>
      </c>
      <c r="IYD1" s="3" t="s">
        <v>6891</v>
      </c>
      <c r="IYE1" s="3" t="s">
        <v>6892</v>
      </c>
      <c r="IYF1" s="3" t="s">
        <v>6893</v>
      </c>
      <c r="IYG1" s="3" t="s">
        <v>6894</v>
      </c>
      <c r="IYH1" s="3" t="s">
        <v>6895</v>
      </c>
      <c r="IYI1" s="3" t="s">
        <v>6896</v>
      </c>
      <c r="IYJ1" s="3" t="s">
        <v>6897</v>
      </c>
      <c r="IYK1" s="3" t="s">
        <v>6898</v>
      </c>
      <c r="IYL1" s="3" t="s">
        <v>6899</v>
      </c>
      <c r="IYM1" s="3" t="s">
        <v>6900</v>
      </c>
      <c r="IYN1" s="3" t="s">
        <v>6901</v>
      </c>
      <c r="IYO1" s="3" t="s">
        <v>6902</v>
      </c>
      <c r="IYP1" s="3" t="s">
        <v>6903</v>
      </c>
      <c r="IYQ1" s="3" t="s">
        <v>6904</v>
      </c>
      <c r="IYR1" s="3" t="s">
        <v>6905</v>
      </c>
      <c r="IYS1" s="3" t="s">
        <v>6906</v>
      </c>
      <c r="IYT1" s="3" t="s">
        <v>6907</v>
      </c>
      <c r="IYU1" s="3" t="s">
        <v>6908</v>
      </c>
      <c r="IYV1" s="3" t="s">
        <v>6909</v>
      </c>
      <c r="IYW1" s="3" t="s">
        <v>6910</v>
      </c>
      <c r="IYX1" s="3" t="s">
        <v>6911</v>
      </c>
      <c r="IYY1" s="3" t="s">
        <v>6912</v>
      </c>
      <c r="IYZ1" s="3" t="s">
        <v>6913</v>
      </c>
      <c r="IZA1" s="3" t="s">
        <v>6914</v>
      </c>
      <c r="IZB1" s="3" t="s">
        <v>6915</v>
      </c>
      <c r="IZC1" s="3" t="s">
        <v>6916</v>
      </c>
      <c r="IZD1" s="3" t="s">
        <v>6917</v>
      </c>
      <c r="IZE1" s="3" t="s">
        <v>6918</v>
      </c>
      <c r="IZF1" s="3" t="s">
        <v>6919</v>
      </c>
      <c r="IZG1" s="3" t="s">
        <v>6920</v>
      </c>
      <c r="IZH1" s="3" t="s">
        <v>6921</v>
      </c>
      <c r="IZI1" s="3" t="s">
        <v>6922</v>
      </c>
      <c r="IZJ1" s="3" t="s">
        <v>6923</v>
      </c>
      <c r="IZK1" s="3" t="s">
        <v>6924</v>
      </c>
      <c r="IZL1" s="3" t="s">
        <v>6925</v>
      </c>
      <c r="IZM1" s="3" t="s">
        <v>6926</v>
      </c>
      <c r="IZN1" s="3" t="s">
        <v>6927</v>
      </c>
      <c r="IZO1" s="3" t="s">
        <v>6928</v>
      </c>
      <c r="IZP1" s="3" t="s">
        <v>6929</v>
      </c>
      <c r="IZQ1" s="3" t="s">
        <v>6930</v>
      </c>
      <c r="IZR1" s="3" t="s">
        <v>6931</v>
      </c>
      <c r="IZS1" s="3" t="s">
        <v>6932</v>
      </c>
      <c r="IZT1" s="3" t="s">
        <v>6933</v>
      </c>
      <c r="IZU1" s="3" t="s">
        <v>6934</v>
      </c>
      <c r="IZV1" s="3" t="s">
        <v>6935</v>
      </c>
      <c r="IZW1" s="3" t="s">
        <v>6936</v>
      </c>
      <c r="IZX1" s="3" t="s">
        <v>6937</v>
      </c>
      <c r="IZY1" s="3" t="s">
        <v>6938</v>
      </c>
      <c r="IZZ1" s="3" t="s">
        <v>6939</v>
      </c>
      <c r="JAA1" s="3" t="s">
        <v>6940</v>
      </c>
      <c r="JAB1" s="3" t="s">
        <v>6941</v>
      </c>
      <c r="JAC1" s="3" t="s">
        <v>6942</v>
      </c>
      <c r="JAD1" s="3" t="s">
        <v>6943</v>
      </c>
      <c r="JAE1" s="3" t="s">
        <v>6944</v>
      </c>
      <c r="JAF1" s="3" t="s">
        <v>6945</v>
      </c>
      <c r="JAG1" s="3" t="s">
        <v>6946</v>
      </c>
      <c r="JAH1" s="3" t="s">
        <v>6947</v>
      </c>
      <c r="JAI1" s="3" t="s">
        <v>6948</v>
      </c>
      <c r="JAJ1" s="3" t="s">
        <v>6949</v>
      </c>
      <c r="JAK1" s="3" t="s">
        <v>6950</v>
      </c>
      <c r="JAL1" s="3" t="s">
        <v>6951</v>
      </c>
      <c r="JAM1" s="3" t="s">
        <v>6952</v>
      </c>
      <c r="JAN1" s="3" t="s">
        <v>6953</v>
      </c>
      <c r="JAO1" s="3" t="s">
        <v>6954</v>
      </c>
      <c r="JAP1" s="3" t="s">
        <v>6955</v>
      </c>
      <c r="JAQ1" s="3" t="s">
        <v>6956</v>
      </c>
      <c r="JAR1" s="3" t="s">
        <v>6957</v>
      </c>
      <c r="JAS1" s="3" t="s">
        <v>6958</v>
      </c>
      <c r="JAT1" s="3" t="s">
        <v>6959</v>
      </c>
      <c r="JAU1" s="3" t="s">
        <v>6960</v>
      </c>
      <c r="JAV1" s="3" t="s">
        <v>6961</v>
      </c>
      <c r="JAW1" s="3" t="s">
        <v>6962</v>
      </c>
      <c r="JAX1" s="3" t="s">
        <v>6963</v>
      </c>
      <c r="JAY1" s="3" t="s">
        <v>6964</v>
      </c>
      <c r="JAZ1" s="3" t="s">
        <v>6965</v>
      </c>
      <c r="JBA1" s="3" t="s">
        <v>6966</v>
      </c>
      <c r="JBB1" s="3" t="s">
        <v>6967</v>
      </c>
      <c r="JBC1" s="3" t="s">
        <v>6968</v>
      </c>
      <c r="JBD1" s="3" t="s">
        <v>6969</v>
      </c>
      <c r="JBE1" s="3" t="s">
        <v>6970</v>
      </c>
      <c r="JBF1" s="3" t="s">
        <v>6971</v>
      </c>
      <c r="JBG1" s="3" t="s">
        <v>6972</v>
      </c>
      <c r="JBH1" s="3" t="s">
        <v>6973</v>
      </c>
      <c r="JBI1" s="3" t="s">
        <v>6974</v>
      </c>
      <c r="JBJ1" s="3" t="s">
        <v>6975</v>
      </c>
      <c r="JBK1" s="3" t="s">
        <v>6976</v>
      </c>
      <c r="JBL1" s="3" t="s">
        <v>6977</v>
      </c>
      <c r="JBM1" s="3" t="s">
        <v>6978</v>
      </c>
      <c r="JBN1" s="3" t="s">
        <v>6979</v>
      </c>
      <c r="JBO1" s="3" t="s">
        <v>6980</v>
      </c>
      <c r="JBP1" s="3" t="s">
        <v>6981</v>
      </c>
      <c r="JBQ1" s="3" t="s">
        <v>6982</v>
      </c>
      <c r="JBR1" s="3" t="s">
        <v>6983</v>
      </c>
      <c r="JBS1" s="3" t="s">
        <v>6984</v>
      </c>
      <c r="JBT1" s="3" t="s">
        <v>6985</v>
      </c>
      <c r="JBU1" s="3" t="s">
        <v>6986</v>
      </c>
      <c r="JBV1" s="3" t="s">
        <v>6987</v>
      </c>
      <c r="JBW1" s="3" t="s">
        <v>6988</v>
      </c>
      <c r="JBX1" s="3" t="s">
        <v>6989</v>
      </c>
      <c r="JBY1" s="3" t="s">
        <v>6990</v>
      </c>
      <c r="JBZ1" s="3" t="s">
        <v>6991</v>
      </c>
      <c r="JCA1" s="3" t="s">
        <v>6992</v>
      </c>
      <c r="JCB1" s="3" t="s">
        <v>6993</v>
      </c>
      <c r="JCC1" s="3" t="s">
        <v>6994</v>
      </c>
      <c r="JCD1" s="3" t="s">
        <v>6995</v>
      </c>
      <c r="JCE1" s="3" t="s">
        <v>6996</v>
      </c>
      <c r="JCF1" s="3" t="s">
        <v>6997</v>
      </c>
      <c r="JCG1" s="3" t="s">
        <v>6998</v>
      </c>
      <c r="JCH1" s="3" t="s">
        <v>6999</v>
      </c>
      <c r="JCI1" s="3" t="s">
        <v>7000</v>
      </c>
      <c r="JCJ1" s="3" t="s">
        <v>7001</v>
      </c>
      <c r="JCK1" s="3" t="s">
        <v>7002</v>
      </c>
      <c r="JCL1" s="3" t="s">
        <v>7003</v>
      </c>
      <c r="JCM1" s="3" t="s">
        <v>7004</v>
      </c>
      <c r="JCN1" s="3" t="s">
        <v>7005</v>
      </c>
      <c r="JCO1" s="3" t="s">
        <v>7006</v>
      </c>
      <c r="JCP1" s="3" t="s">
        <v>7007</v>
      </c>
      <c r="JCQ1" s="3" t="s">
        <v>7008</v>
      </c>
      <c r="JCR1" s="3" t="s">
        <v>7009</v>
      </c>
      <c r="JCS1" s="3" t="s">
        <v>7010</v>
      </c>
      <c r="JCT1" s="3" t="s">
        <v>7011</v>
      </c>
      <c r="JCU1" s="3" t="s">
        <v>7012</v>
      </c>
      <c r="JCV1" s="3" t="s">
        <v>7013</v>
      </c>
      <c r="JCW1" s="3" t="s">
        <v>7014</v>
      </c>
      <c r="JCX1" s="3" t="s">
        <v>7015</v>
      </c>
      <c r="JCY1" s="3" t="s">
        <v>7016</v>
      </c>
      <c r="JCZ1" s="3" t="s">
        <v>7017</v>
      </c>
      <c r="JDA1" s="3" t="s">
        <v>7018</v>
      </c>
      <c r="JDB1" s="3" t="s">
        <v>7019</v>
      </c>
      <c r="JDC1" s="3" t="s">
        <v>7020</v>
      </c>
      <c r="JDD1" s="3" t="s">
        <v>7021</v>
      </c>
      <c r="JDE1" s="3" t="s">
        <v>7022</v>
      </c>
      <c r="JDF1" s="3" t="s">
        <v>7023</v>
      </c>
      <c r="JDG1" s="3" t="s">
        <v>7024</v>
      </c>
      <c r="JDH1" s="3" t="s">
        <v>7025</v>
      </c>
      <c r="JDI1" s="3" t="s">
        <v>7026</v>
      </c>
      <c r="JDJ1" s="3" t="s">
        <v>7027</v>
      </c>
      <c r="JDK1" s="3" t="s">
        <v>7028</v>
      </c>
      <c r="JDL1" s="3" t="s">
        <v>7029</v>
      </c>
      <c r="JDM1" s="3" t="s">
        <v>7030</v>
      </c>
      <c r="JDN1" s="3" t="s">
        <v>7031</v>
      </c>
      <c r="JDO1" s="3" t="s">
        <v>7032</v>
      </c>
      <c r="JDP1" s="3" t="s">
        <v>7033</v>
      </c>
      <c r="JDQ1" s="3" t="s">
        <v>7034</v>
      </c>
      <c r="JDR1" s="3" t="s">
        <v>7035</v>
      </c>
      <c r="JDS1" s="3" t="s">
        <v>7036</v>
      </c>
      <c r="JDT1" s="3" t="s">
        <v>7037</v>
      </c>
      <c r="JDU1" s="3" t="s">
        <v>7038</v>
      </c>
      <c r="JDV1" s="3" t="s">
        <v>7039</v>
      </c>
      <c r="JDW1" s="3" t="s">
        <v>7040</v>
      </c>
      <c r="JDX1" s="3" t="s">
        <v>7041</v>
      </c>
      <c r="JDY1" s="3" t="s">
        <v>7042</v>
      </c>
      <c r="JDZ1" s="3" t="s">
        <v>7043</v>
      </c>
      <c r="JEA1" s="3" t="s">
        <v>7044</v>
      </c>
      <c r="JEB1" s="3" t="s">
        <v>7045</v>
      </c>
      <c r="JEC1" s="3" t="s">
        <v>7046</v>
      </c>
      <c r="JED1" s="3" t="s">
        <v>7047</v>
      </c>
      <c r="JEE1" s="3" t="s">
        <v>7048</v>
      </c>
      <c r="JEF1" s="3" t="s">
        <v>7049</v>
      </c>
      <c r="JEG1" s="3" t="s">
        <v>7050</v>
      </c>
      <c r="JEH1" s="3" t="s">
        <v>7051</v>
      </c>
      <c r="JEI1" s="3" t="s">
        <v>7052</v>
      </c>
      <c r="JEJ1" s="3" t="s">
        <v>7053</v>
      </c>
      <c r="JEK1" s="3" t="s">
        <v>7054</v>
      </c>
      <c r="JEL1" s="3" t="s">
        <v>7055</v>
      </c>
      <c r="JEM1" s="3" t="s">
        <v>7056</v>
      </c>
      <c r="JEN1" s="3" t="s">
        <v>7057</v>
      </c>
      <c r="JEO1" s="3" t="s">
        <v>7058</v>
      </c>
      <c r="JEP1" s="3" t="s">
        <v>7059</v>
      </c>
      <c r="JEQ1" s="3" t="s">
        <v>7060</v>
      </c>
      <c r="JER1" s="3" t="s">
        <v>7061</v>
      </c>
      <c r="JES1" s="3" t="s">
        <v>7062</v>
      </c>
      <c r="JET1" s="3" t="s">
        <v>7063</v>
      </c>
      <c r="JEU1" s="3" t="s">
        <v>7064</v>
      </c>
      <c r="JEV1" s="3" t="s">
        <v>7065</v>
      </c>
      <c r="JEW1" s="3" t="s">
        <v>7066</v>
      </c>
      <c r="JEX1" s="3" t="s">
        <v>7067</v>
      </c>
      <c r="JEY1" s="3" t="s">
        <v>7068</v>
      </c>
      <c r="JEZ1" s="3" t="s">
        <v>7069</v>
      </c>
      <c r="JFA1" s="3" t="s">
        <v>7070</v>
      </c>
      <c r="JFB1" s="3" t="s">
        <v>7071</v>
      </c>
      <c r="JFC1" s="3" t="s">
        <v>7072</v>
      </c>
      <c r="JFD1" s="3" t="s">
        <v>7073</v>
      </c>
      <c r="JFE1" s="3" t="s">
        <v>7074</v>
      </c>
      <c r="JFF1" s="3" t="s">
        <v>7075</v>
      </c>
      <c r="JFG1" s="3" t="s">
        <v>7076</v>
      </c>
      <c r="JFH1" s="3" t="s">
        <v>7077</v>
      </c>
      <c r="JFI1" s="3" t="s">
        <v>7078</v>
      </c>
      <c r="JFJ1" s="3" t="s">
        <v>7079</v>
      </c>
      <c r="JFK1" s="3" t="s">
        <v>7080</v>
      </c>
      <c r="JFL1" s="3" t="s">
        <v>7081</v>
      </c>
      <c r="JFM1" s="3" t="s">
        <v>7082</v>
      </c>
      <c r="JFN1" s="3" t="s">
        <v>7083</v>
      </c>
      <c r="JFO1" s="3" t="s">
        <v>7084</v>
      </c>
      <c r="JFP1" s="3" t="s">
        <v>7085</v>
      </c>
      <c r="JFQ1" s="3" t="s">
        <v>7086</v>
      </c>
      <c r="JFR1" s="3" t="s">
        <v>7087</v>
      </c>
      <c r="JFS1" s="3" t="s">
        <v>7088</v>
      </c>
      <c r="JFT1" s="3" t="s">
        <v>7089</v>
      </c>
      <c r="JFU1" s="3" t="s">
        <v>7090</v>
      </c>
      <c r="JFV1" s="3" t="s">
        <v>7091</v>
      </c>
      <c r="JFW1" s="3" t="s">
        <v>7092</v>
      </c>
      <c r="JFX1" s="3" t="s">
        <v>7093</v>
      </c>
      <c r="JFY1" s="3" t="s">
        <v>7094</v>
      </c>
      <c r="JFZ1" s="3" t="s">
        <v>7095</v>
      </c>
      <c r="JGA1" s="3" t="s">
        <v>7096</v>
      </c>
      <c r="JGB1" s="3" t="s">
        <v>7097</v>
      </c>
      <c r="JGC1" s="3" t="s">
        <v>7098</v>
      </c>
      <c r="JGD1" s="3" t="s">
        <v>7099</v>
      </c>
      <c r="JGE1" s="3" t="s">
        <v>7100</v>
      </c>
      <c r="JGF1" s="3" t="s">
        <v>7101</v>
      </c>
      <c r="JGG1" s="3" t="s">
        <v>7102</v>
      </c>
      <c r="JGH1" s="3" t="s">
        <v>7103</v>
      </c>
      <c r="JGI1" s="3" t="s">
        <v>7104</v>
      </c>
      <c r="JGJ1" s="3" t="s">
        <v>7105</v>
      </c>
      <c r="JGK1" s="3" t="s">
        <v>7106</v>
      </c>
      <c r="JGL1" s="3" t="s">
        <v>7107</v>
      </c>
      <c r="JGM1" s="3" t="s">
        <v>7108</v>
      </c>
      <c r="JGN1" s="3" t="s">
        <v>7109</v>
      </c>
      <c r="JGO1" s="3" t="s">
        <v>7110</v>
      </c>
      <c r="JGP1" s="3" t="s">
        <v>7111</v>
      </c>
      <c r="JGQ1" s="3" t="s">
        <v>7112</v>
      </c>
      <c r="JGR1" s="3" t="s">
        <v>7113</v>
      </c>
      <c r="JGS1" s="3" t="s">
        <v>7114</v>
      </c>
      <c r="JGT1" s="3" t="s">
        <v>7115</v>
      </c>
      <c r="JGU1" s="3" t="s">
        <v>7116</v>
      </c>
      <c r="JGV1" s="3" t="s">
        <v>7117</v>
      </c>
      <c r="JGW1" s="3" t="s">
        <v>7118</v>
      </c>
      <c r="JGX1" s="3" t="s">
        <v>7119</v>
      </c>
      <c r="JGY1" s="3" t="s">
        <v>7120</v>
      </c>
      <c r="JGZ1" s="3" t="s">
        <v>7121</v>
      </c>
      <c r="JHA1" s="3" t="s">
        <v>7122</v>
      </c>
      <c r="JHB1" s="3" t="s">
        <v>7123</v>
      </c>
      <c r="JHC1" s="3" t="s">
        <v>7124</v>
      </c>
      <c r="JHD1" s="3" t="s">
        <v>7125</v>
      </c>
      <c r="JHE1" s="3" t="s">
        <v>7126</v>
      </c>
      <c r="JHF1" s="3" t="s">
        <v>7127</v>
      </c>
      <c r="JHG1" s="3" t="s">
        <v>7128</v>
      </c>
      <c r="JHH1" s="3" t="s">
        <v>7129</v>
      </c>
      <c r="JHI1" s="3" t="s">
        <v>7130</v>
      </c>
      <c r="JHJ1" s="3" t="s">
        <v>7131</v>
      </c>
      <c r="JHK1" s="3" t="s">
        <v>7132</v>
      </c>
      <c r="JHL1" s="3" t="s">
        <v>7133</v>
      </c>
      <c r="JHM1" s="3" t="s">
        <v>7134</v>
      </c>
      <c r="JHN1" s="3" t="s">
        <v>7135</v>
      </c>
      <c r="JHO1" s="3" t="s">
        <v>7136</v>
      </c>
      <c r="JHP1" s="3" t="s">
        <v>7137</v>
      </c>
      <c r="JHQ1" s="3" t="s">
        <v>7138</v>
      </c>
      <c r="JHR1" s="3" t="s">
        <v>7139</v>
      </c>
      <c r="JHS1" s="3" t="s">
        <v>7140</v>
      </c>
      <c r="JHT1" s="3" t="s">
        <v>7141</v>
      </c>
      <c r="JHU1" s="3" t="s">
        <v>7142</v>
      </c>
      <c r="JHV1" s="3" t="s">
        <v>7143</v>
      </c>
      <c r="JHW1" s="3" t="s">
        <v>7144</v>
      </c>
      <c r="JHX1" s="3" t="s">
        <v>7145</v>
      </c>
      <c r="JHY1" s="3" t="s">
        <v>7146</v>
      </c>
      <c r="JHZ1" s="3" t="s">
        <v>7147</v>
      </c>
      <c r="JIA1" s="3" t="s">
        <v>7148</v>
      </c>
      <c r="JIB1" s="3" t="s">
        <v>7149</v>
      </c>
      <c r="JIC1" s="3" t="s">
        <v>7150</v>
      </c>
      <c r="JID1" s="3" t="s">
        <v>7151</v>
      </c>
      <c r="JIE1" s="3" t="s">
        <v>7152</v>
      </c>
      <c r="JIF1" s="3" t="s">
        <v>7153</v>
      </c>
      <c r="JIG1" s="3" t="s">
        <v>7154</v>
      </c>
      <c r="JIH1" s="3" t="s">
        <v>7155</v>
      </c>
      <c r="JII1" s="3" t="s">
        <v>7156</v>
      </c>
      <c r="JIJ1" s="3" t="s">
        <v>7157</v>
      </c>
      <c r="JIK1" s="3" t="s">
        <v>7158</v>
      </c>
      <c r="JIL1" s="3" t="s">
        <v>7159</v>
      </c>
      <c r="JIM1" s="3" t="s">
        <v>7160</v>
      </c>
      <c r="JIN1" s="3" t="s">
        <v>7161</v>
      </c>
      <c r="JIO1" s="3" t="s">
        <v>7162</v>
      </c>
      <c r="JIP1" s="3" t="s">
        <v>7163</v>
      </c>
      <c r="JIQ1" s="3" t="s">
        <v>7164</v>
      </c>
      <c r="JIR1" s="3" t="s">
        <v>7165</v>
      </c>
      <c r="JIS1" s="3" t="s">
        <v>7166</v>
      </c>
      <c r="JIT1" s="3" t="s">
        <v>7167</v>
      </c>
      <c r="JIU1" s="3" t="s">
        <v>7168</v>
      </c>
      <c r="JIV1" s="3" t="s">
        <v>7169</v>
      </c>
      <c r="JIW1" s="3" t="s">
        <v>7170</v>
      </c>
      <c r="JIX1" s="3" t="s">
        <v>7171</v>
      </c>
      <c r="JIY1" s="3" t="s">
        <v>7172</v>
      </c>
      <c r="JIZ1" s="3" t="s">
        <v>7173</v>
      </c>
      <c r="JJA1" s="3" t="s">
        <v>7174</v>
      </c>
      <c r="JJB1" s="3" t="s">
        <v>7175</v>
      </c>
      <c r="JJC1" s="3" t="s">
        <v>7176</v>
      </c>
      <c r="JJD1" s="3" t="s">
        <v>7177</v>
      </c>
      <c r="JJE1" s="3" t="s">
        <v>7178</v>
      </c>
      <c r="JJF1" s="3" t="s">
        <v>7179</v>
      </c>
      <c r="JJG1" s="3" t="s">
        <v>7180</v>
      </c>
      <c r="JJH1" s="3" t="s">
        <v>7181</v>
      </c>
      <c r="JJI1" s="3" t="s">
        <v>7182</v>
      </c>
      <c r="JJJ1" s="3" t="s">
        <v>7183</v>
      </c>
      <c r="JJK1" s="3" t="s">
        <v>7184</v>
      </c>
      <c r="JJL1" s="3" t="s">
        <v>7185</v>
      </c>
      <c r="JJM1" s="3" t="s">
        <v>7186</v>
      </c>
      <c r="JJN1" s="3" t="s">
        <v>7187</v>
      </c>
      <c r="JJO1" s="3" t="s">
        <v>7188</v>
      </c>
      <c r="JJP1" s="3" t="s">
        <v>7189</v>
      </c>
      <c r="JJQ1" s="3" t="s">
        <v>7190</v>
      </c>
      <c r="JJR1" s="3" t="s">
        <v>7191</v>
      </c>
      <c r="JJS1" s="3" t="s">
        <v>7192</v>
      </c>
      <c r="JJT1" s="3" t="s">
        <v>7193</v>
      </c>
      <c r="JJU1" s="3" t="s">
        <v>7194</v>
      </c>
      <c r="JJV1" s="3" t="s">
        <v>7195</v>
      </c>
      <c r="JJW1" s="3" t="s">
        <v>7196</v>
      </c>
      <c r="JJX1" s="3" t="s">
        <v>7197</v>
      </c>
      <c r="JJY1" s="3" t="s">
        <v>7198</v>
      </c>
      <c r="JJZ1" s="3" t="s">
        <v>7199</v>
      </c>
      <c r="JKA1" s="3" t="s">
        <v>7200</v>
      </c>
      <c r="JKB1" s="3" t="s">
        <v>7201</v>
      </c>
      <c r="JKC1" s="3" t="s">
        <v>7202</v>
      </c>
      <c r="JKD1" s="3" t="s">
        <v>7203</v>
      </c>
      <c r="JKE1" s="3" t="s">
        <v>7204</v>
      </c>
      <c r="JKF1" s="3" t="s">
        <v>7205</v>
      </c>
      <c r="JKG1" s="3" t="s">
        <v>7206</v>
      </c>
      <c r="JKH1" s="3" t="s">
        <v>7207</v>
      </c>
      <c r="JKI1" s="3" t="s">
        <v>7208</v>
      </c>
      <c r="JKJ1" s="3" t="s">
        <v>7209</v>
      </c>
      <c r="JKK1" s="3" t="s">
        <v>7210</v>
      </c>
      <c r="JKL1" s="3" t="s">
        <v>7211</v>
      </c>
      <c r="JKM1" s="3" t="s">
        <v>7212</v>
      </c>
      <c r="JKN1" s="3" t="s">
        <v>7213</v>
      </c>
      <c r="JKO1" s="3" t="s">
        <v>7214</v>
      </c>
      <c r="JKP1" s="3" t="s">
        <v>7215</v>
      </c>
      <c r="JKQ1" s="3" t="s">
        <v>7216</v>
      </c>
      <c r="JKR1" s="3" t="s">
        <v>7217</v>
      </c>
      <c r="JKS1" s="3" t="s">
        <v>7218</v>
      </c>
      <c r="JKT1" s="3" t="s">
        <v>7219</v>
      </c>
      <c r="JKU1" s="3" t="s">
        <v>7220</v>
      </c>
      <c r="JKV1" s="3" t="s">
        <v>7221</v>
      </c>
      <c r="JKW1" s="3" t="s">
        <v>7222</v>
      </c>
      <c r="JKX1" s="3" t="s">
        <v>7223</v>
      </c>
      <c r="JKY1" s="3" t="s">
        <v>7224</v>
      </c>
      <c r="JKZ1" s="3" t="s">
        <v>7225</v>
      </c>
      <c r="JLA1" s="3" t="s">
        <v>7226</v>
      </c>
      <c r="JLB1" s="3" t="s">
        <v>7227</v>
      </c>
      <c r="JLC1" s="3" t="s">
        <v>7228</v>
      </c>
      <c r="JLD1" s="3" t="s">
        <v>7229</v>
      </c>
      <c r="JLE1" s="3" t="s">
        <v>7230</v>
      </c>
      <c r="JLF1" s="3" t="s">
        <v>7231</v>
      </c>
      <c r="JLG1" s="3" t="s">
        <v>7232</v>
      </c>
      <c r="JLH1" s="3" t="s">
        <v>7233</v>
      </c>
      <c r="JLI1" s="3" t="s">
        <v>7234</v>
      </c>
      <c r="JLJ1" s="3" t="s">
        <v>7235</v>
      </c>
      <c r="JLK1" s="3" t="s">
        <v>7236</v>
      </c>
      <c r="JLL1" s="3" t="s">
        <v>7237</v>
      </c>
      <c r="JLM1" s="3" t="s">
        <v>7238</v>
      </c>
      <c r="JLN1" s="3" t="s">
        <v>7239</v>
      </c>
      <c r="JLO1" s="3" t="s">
        <v>7240</v>
      </c>
      <c r="JLP1" s="3" t="s">
        <v>7241</v>
      </c>
      <c r="JLQ1" s="3" t="s">
        <v>7242</v>
      </c>
      <c r="JLR1" s="3" t="s">
        <v>7243</v>
      </c>
      <c r="JLS1" s="3" t="s">
        <v>7244</v>
      </c>
      <c r="JLT1" s="3" t="s">
        <v>7245</v>
      </c>
      <c r="JLU1" s="3" t="s">
        <v>7246</v>
      </c>
      <c r="JLV1" s="3" t="s">
        <v>7247</v>
      </c>
      <c r="JLW1" s="3" t="s">
        <v>7248</v>
      </c>
      <c r="JLX1" s="3" t="s">
        <v>7249</v>
      </c>
      <c r="JLY1" s="3" t="s">
        <v>7250</v>
      </c>
      <c r="JLZ1" s="3" t="s">
        <v>7251</v>
      </c>
      <c r="JMA1" s="3" t="s">
        <v>7252</v>
      </c>
      <c r="JMB1" s="3" t="s">
        <v>7253</v>
      </c>
      <c r="JMC1" s="3" t="s">
        <v>7254</v>
      </c>
      <c r="JMD1" s="3" t="s">
        <v>7255</v>
      </c>
      <c r="JME1" s="3" t="s">
        <v>7256</v>
      </c>
      <c r="JMF1" s="3" t="s">
        <v>7257</v>
      </c>
      <c r="JMG1" s="3" t="s">
        <v>7258</v>
      </c>
      <c r="JMH1" s="3" t="s">
        <v>7259</v>
      </c>
      <c r="JMI1" s="3" t="s">
        <v>7260</v>
      </c>
      <c r="JMJ1" s="3" t="s">
        <v>7261</v>
      </c>
      <c r="JMK1" s="3" t="s">
        <v>7262</v>
      </c>
      <c r="JML1" s="3" t="s">
        <v>7263</v>
      </c>
      <c r="JMM1" s="3" t="s">
        <v>7264</v>
      </c>
      <c r="JMN1" s="3" t="s">
        <v>7265</v>
      </c>
      <c r="JMO1" s="3" t="s">
        <v>7266</v>
      </c>
      <c r="JMP1" s="3" t="s">
        <v>7267</v>
      </c>
      <c r="JMQ1" s="3" t="s">
        <v>7268</v>
      </c>
      <c r="JMR1" s="3" t="s">
        <v>7269</v>
      </c>
      <c r="JMS1" s="3" t="s">
        <v>7270</v>
      </c>
      <c r="JMT1" s="3" t="s">
        <v>7271</v>
      </c>
      <c r="JMU1" s="3" t="s">
        <v>7272</v>
      </c>
      <c r="JMV1" s="3" t="s">
        <v>7273</v>
      </c>
      <c r="JMW1" s="3" t="s">
        <v>7274</v>
      </c>
      <c r="JMX1" s="3" t="s">
        <v>7275</v>
      </c>
      <c r="JMY1" s="3" t="s">
        <v>7276</v>
      </c>
      <c r="JMZ1" s="3" t="s">
        <v>7277</v>
      </c>
      <c r="JNA1" s="3" t="s">
        <v>7278</v>
      </c>
      <c r="JNB1" s="3" t="s">
        <v>7279</v>
      </c>
      <c r="JNC1" s="3" t="s">
        <v>7280</v>
      </c>
      <c r="JND1" s="3" t="s">
        <v>7281</v>
      </c>
      <c r="JNE1" s="3" t="s">
        <v>7282</v>
      </c>
      <c r="JNF1" s="3" t="s">
        <v>7283</v>
      </c>
      <c r="JNG1" s="3" t="s">
        <v>7284</v>
      </c>
      <c r="JNH1" s="3" t="s">
        <v>7285</v>
      </c>
      <c r="JNI1" s="3" t="s">
        <v>7286</v>
      </c>
      <c r="JNJ1" s="3" t="s">
        <v>7287</v>
      </c>
      <c r="JNK1" s="3" t="s">
        <v>7288</v>
      </c>
      <c r="JNL1" s="3" t="s">
        <v>7289</v>
      </c>
      <c r="JNM1" s="3" t="s">
        <v>7290</v>
      </c>
      <c r="JNN1" s="3" t="s">
        <v>7291</v>
      </c>
      <c r="JNO1" s="3" t="s">
        <v>7292</v>
      </c>
      <c r="JNP1" s="3" t="s">
        <v>7293</v>
      </c>
      <c r="JNQ1" s="3" t="s">
        <v>7294</v>
      </c>
      <c r="JNR1" s="3" t="s">
        <v>7295</v>
      </c>
      <c r="JNS1" s="3" t="s">
        <v>7296</v>
      </c>
      <c r="JNT1" s="3" t="s">
        <v>7297</v>
      </c>
      <c r="JNU1" s="3" t="s">
        <v>7298</v>
      </c>
      <c r="JNV1" s="3" t="s">
        <v>7299</v>
      </c>
      <c r="JNW1" s="3" t="s">
        <v>7300</v>
      </c>
      <c r="JNX1" s="3" t="s">
        <v>7301</v>
      </c>
      <c r="JNY1" s="3" t="s">
        <v>7302</v>
      </c>
      <c r="JNZ1" s="3" t="s">
        <v>7303</v>
      </c>
      <c r="JOA1" s="3" t="s">
        <v>7304</v>
      </c>
      <c r="JOB1" s="3" t="s">
        <v>7305</v>
      </c>
      <c r="JOC1" s="3" t="s">
        <v>7306</v>
      </c>
      <c r="JOD1" s="3" t="s">
        <v>7307</v>
      </c>
      <c r="JOE1" s="3" t="s">
        <v>7308</v>
      </c>
      <c r="JOF1" s="3" t="s">
        <v>7309</v>
      </c>
      <c r="JOG1" s="3" t="s">
        <v>7310</v>
      </c>
      <c r="JOH1" s="3" t="s">
        <v>7311</v>
      </c>
      <c r="JOI1" s="3" t="s">
        <v>7312</v>
      </c>
      <c r="JOJ1" s="3" t="s">
        <v>7313</v>
      </c>
      <c r="JOK1" s="3" t="s">
        <v>7314</v>
      </c>
      <c r="JOL1" s="3" t="s">
        <v>7315</v>
      </c>
      <c r="JOM1" s="3" t="s">
        <v>7316</v>
      </c>
      <c r="JON1" s="3" t="s">
        <v>7317</v>
      </c>
      <c r="JOO1" s="3" t="s">
        <v>7318</v>
      </c>
      <c r="JOP1" s="3" t="s">
        <v>7319</v>
      </c>
      <c r="JOQ1" s="3" t="s">
        <v>7320</v>
      </c>
      <c r="JOR1" s="3" t="s">
        <v>7321</v>
      </c>
      <c r="JOS1" s="3" t="s">
        <v>7322</v>
      </c>
      <c r="JOT1" s="3" t="s">
        <v>7323</v>
      </c>
      <c r="JOU1" s="3" t="s">
        <v>7324</v>
      </c>
      <c r="JOV1" s="3" t="s">
        <v>7325</v>
      </c>
      <c r="JOW1" s="3" t="s">
        <v>7326</v>
      </c>
      <c r="JOX1" s="3" t="s">
        <v>7327</v>
      </c>
      <c r="JOY1" s="3" t="s">
        <v>7328</v>
      </c>
      <c r="JOZ1" s="3" t="s">
        <v>7329</v>
      </c>
      <c r="JPA1" s="3" t="s">
        <v>7330</v>
      </c>
      <c r="JPB1" s="3" t="s">
        <v>7331</v>
      </c>
      <c r="JPC1" s="3" t="s">
        <v>7332</v>
      </c>
      <c r="JPD1" s="3" t="s">
        <v>7333</v>
      </c>
      <c r="JPE1" s="3" t="s">
        <v>7334</v>
      </c>
      <c r="JPF1" s="3" t="s">
        <v>7335</v>
      </c>
      <c r="JPG1" s="3" t="s">
        <v>7336</v>
      </c>
      <c r="JPH1" s="3" t="s">
        <v>7337</v>
      </c>
      <c r="JPI1" s="3" t="s">
        <v>7338</v>
      </c>
      <c r="JPJ1" s="3" t="s">
        <v>7339</v>
      </c>
      <c r="JPK1" s="3" t="s">
        <v>7340</v>
      </c>
      <c r="JPL1" s="3" t="s">
        <v>7341</v>
      </c>
      <c r="JPM1" s="3" t="s">
        <v>7342</v>
      </c>
      <c r="JPN1" s="3" t="s">
        <v>7343</v>
      </c>
      <c r="JPO1" s="3" t="s">
        <v>7344</v>
      </c>
      <c r="JPP1" s="3" t="s">
        <v>7345</v>
      </c>
      <c r="JPQ1" s="3" t="s">
        <v>7346</v>
      </c>
      <c r="JPR1" s="3" t="s">
        <v>7347</v>
      </c>
      <c r="JPS1" s="3" t="s">
        <v>7348</v>
      </c>
      <c r="JPT1" s="3" t="s">
        <v>7349</v>
      </c>
      <c r="JPU1" s="3" t="s">
        <v>7350</v>
      </c>
      <c r="JPV1" s="3" t="s">
        <v>7351</v>
      </c>
      <c r="JPW1" s="3" t="s">
        <v>7352</v>
      </c>
      <c r="JPX1" s="3" t="s">
        <v>7353</v>
      </c>
      <c r="JPY1" s="3" t="s">
        <v>7354</v>
      </c>
      <c r="JPZ1" s="3" t="s">
        <v>7355</v>
      </c>
      <c r="JQA1" s="3" t="s">
        <v>7356</v>
      </c>
      <c r="JQB1" s="3" t="s">
        <v>7357</v>
      </c>
      <c r="JQC1" s="3" t="s">
        <v>7358</v>
      </c>
      <c r="JQD1" s="3" t="s">
        <v>7359</v>
      </c>
      <c r="JQE1" s="3" t="s">
        <v>7360</v>
      </c>
      <c r="JQF1" s="3" t="s">
        <v>7361</v>
      </c>
      <c r="JQG1" s="3" t="s">
        <v>7362</v>
      </c>
      <c r="JQH1" s="3" t="s">
        <v>7363</v>
      </c>
      <c r="JQI1" s="3" t="s">
        <v>7364</v>
      </c>
      <c r="JQJ1" s="3" t="s">
        <v>7365</v>
      </c>
      <c r="JQK1" s="3" t="s">
        <v>7366</v>
      </c>
      <c r="JQL1" s="3" t="s">
        <v>7367</v>
      </c>
      <c r="JQM1" s="3" t="s">
        <v>7368</v>
      </c>
      <c r="JQN1" s="3" t="s">
        <v>7369</v>
      </c>
      <c r="JQO1" s="3" t="s">
        <v>7370</v>
      </c>
      <c r="JQP1" s="3" t="s">
        <v>7371</v>
      </c>
      <c r="JQQ1" s="3" t="s">
        <v>7372</v>
      </c>
      <c r="JQR1" s="3" t="s">
        <v>7373</v>
      </c>
      <c r="JQS1" s="3" t="s">
        <v>7374</v>
      </c>
      <c r="JQT1" s="3" t="s">
        <v>7375</v>
      </c>
      <c r="JQU1" s="3" t="s">
        <v>7376</v>
      </c>
      <c r="JQV1" s="3" t="s">
        <v>7377</v>
      </c>
      <c r="JQW1" s="3" t="s">
        <v>7378</v>
      </c>
      <c r="JQX1" s="3" t="s">
        <v>7379</v>
      </c>
      <c r="JQY1" s="3" t="s">
        <v>7380</v>
      </c>
      <c r="JQZ1" s="3" t="s">
        <v>7381</v>
      </c>
      <c r="JRA1" s="3" t="s">
        <v>7382</v>
      </c>
      <c r="JRB1" s="3" t="s">
        <v>7383</v>
      </c>
      <c r="JRC1" s="3" t="s">
        <v>7384</v>
      </c>
      <c r="JRD1" s="3" t="s">
        <v>7385</v>
      </c>
      <c r="JRE1" s="3" t="s">
        <v>7386</v>
      </c>
      <c r="JRF1" s="3" t="s">
        <v>7387</v>
      </c>
      <c r="JRG1" s="3" t="s">
        <v>7388</v>
      </c>
      <c r="JRH1" s="3" t="s">
        <v>7389</v>
      </c>
      <c r="JRI1" s="3" t="s">
        <v>7390</v>
      </c>
      <c r="JRJ1" s="3" t="s">
        <v>7391</v>
      </c>
      <c r="JRK1" s="3" t="s">
        <v>7392</v>
      </c>
      <c r="JRL1" s="3" t="s">
        <v>7393</v>
      </c>
      <c r="JRM1" s="3" t="s">
        <v>7394</v>
      </c>
      <c r="JRN1" s="3" t="s">
        <v>7395</v>
      </c>
      <c r="JRO1" s="3" t="s">
        <v>7396</v>
      </c>
      <c r="JRP1" s="3" t="s">
        <v>7397</v>
      </c>
      <c r="JRQ1" s="3" t="s">
        <v>7398</v>
      </c>
      <c r="JRR1" s="3" t="s">
        <v>7399</v>
      </c>
      <c r="JRS1" s="3" t="s">
        <v>7400</v>
      </c>
      <c r="JRT1" s="3" t="s">
        <v>7401</v>
      </c>
      <c r="JRU1" s="3" t="s">
        <v>7402</v>
      </c>
      <c r="JRV1" s="3" t="s">
        <v>7403</v>
      </c>
      <c r="JRW1" s="3" t="s">
        <v>7404</v>
      </c>
      <c r="JRX1" s="3" t="s">
        <v>7405</v>
      </c>
      <c r="JRY1" s="3" t="s">
        <v>7406</v>
      </c>
      <c r="JRZ1" s="3" t="s">
        <v>7407</v>
      </c>
      <c r="JSA1" s="3" t="s">
        <v>7408</v>
      </c>
      <c r="JSB1" s="3" t="s">
        <v>7409</v>
      </c>
      <c r="JSC1" s="3" t="s">
        <v>7410</v>
      </c>
      <c r="JSD1" s="3" t="s">
        <v>7411</v>
      </c>
      <c r="JSE1" s="3" t="s">
        <v>7412</v>
      </c>
      <c r="JSF1" s="3" t="s">
        <v>7413</v>
      </c>
      <c r="JSG1" s="3" t="s">
        <v>7414</v>
      </c>
      <c r="JSH1" s="3" t="s">
        <v>7415</v>
      </c>
      <c r="JSI1" s="3" t="s">
        <v>7416</v>
      </c>
      <c r="JSJ1" s="3" t="s">
        <v>7417</v>
      </c>
      <c r="JSK1" s="3" t="s">
        <v>7418</v>
      </c>
      <c r="JSL1" s="3" t="s">
        <v>7419</v>
      </c>
      <c r="JSM1" s="3" t="s">
        <v>7420</v>
      </c>
      <c r="JSN1" s="3" t="s">
        <v>7421</v>
      </c>
      <c r="JSO1" s="3" t="s">
        <v>7422</v>
      </c>
      <c r="JSP1" s="3" t="s">
        <v>7423</v>
      </c>
      <c r="JSQ1" s="3" t="s">
        <v>7424</v>
      </c>
      <c r="JSR1" s="3" t="s">
        <v>7425</v>
      </c>
      <c r="JSS1" s="3" t="s">
        <v>7426</v>
      </c>
      <c r="JST1" s="3" t="s">
        <v>7427</v>
      </c>
      <c r="JSU1" s="3" t="s">
        <v>7428</v>
      </c>
      <c r="JSV1" s="3" t="s">
        <v>7429</v>
      </c>
      <c r="JSW1" s="3" t="s">
        <v>7430</v>
      </c>
      <c r="JSX1" s="3" t="s">
        <v>7431</v>
      </c>
      <c r="JSY1" s="3" t="s">
        <v>7432</v>
      </c>
      <c r="JSZ1" s="3" t="s">
        <v>7433</v>
      </c>
      <c r="JTA1" s="3" t="s">
        <v>7434</v>
      </c>
      <c r="JTB1" s="3" t="s">
        <v>7435</v>
      </c>
      <c r="JTC1" s="3" t="s">
        <v>7436</v>
      </c>
      <c r="JTD1" s="3" t="s">
        <v>7437</v>
      </c>
      <c r="JTE1" s="3" t="s">
        <v>7438</v>
      </c>
      <c r="JTF1" s="3" t="s">
        <v>7439</v>
      </c>
      <c r="JTG1" s="3" t="s">
        <v>7440</v>
      </c>
      <c r="JTH1" s="3" t="s">
        <v>7441</v>
      </c>
      <c r="JTI1" s="3" t="s">
        <v>7442</v>
      </c>
      <c r="JTJ1" s="3" t="s">
        <v>7443</v>
      </c>
      <c r="JTK1" s="3" t="s">
        <v>7444</v>
      </c>
      <c r="JTL1" s="3" t="s">
        <v>7445</v>
      </c>
      <c r="JTM1" s="3" t="s">
        <v>7446</v>
      </c>
      <c r="JTN1" s="3" t="s">
        <v>7447</v>
      </c>
      <c r="JTO1" s="3" t="s">
        <v>7448</v>
      </c>
      <c r="JTP1" s="3" t="s">
        <v>7449</v>
      </c>
      <c r="JTQ1" s="3" t="s">
        <v>7450</v>
      </c>
      <c r="JTR1" s="3" t="s">
        <v>7451</v>
      </c>
      <c r="JTS1" s="3" t="s">
        <v>7452</v>
      </c>
      <c r="JTT1" s="3" t="s">
        <v>7453</v>
      </c>
      <c r="JTU1" s="3" t="s">
        <v>7454</v>
      </c>
      <c r="JTV1" s="3" t="s">
        <v>7455</v>
      </c>
      <c r="JTW1" s="3" t="s">
        <v>7456</v>
      </c>
      <c r="JTX1" s="3" t="s">
        <v>7457</v>
      </c>
      <c r="JTY1" s="3" t="s">
        <v>7458</v>
      </c>
      <c r="JTZ1" s="3" t="s">
        <v>7459</v>
      </c>
      <c r="JUA1" s="3" t="s">
        <v>7460</v>
      </c>
      <c r="JUB1" s="3" t="s">
        <v>7461</v>
      </c>
      <c r="JUC1" s="3" t="s">
        <v>7462</v>
      </c>
      <c r="JUD1" s="3" t="s">
        <v>7463</v>
      </c>
      <c r="JUE1" s="3" t="s">
        <v>7464</v>
      </c>
      <c r="JUF1" s="3" t="s">
        <v>7465</v>
      </c>
      <c r="JUG1" s="3" t="s">
        <v>7466</v>
      </c>
      <c r="JUH1" s="3" t="s">
        <v>7467</v>
      </c>
      <c r="JUI1" s="3" t="s">
        <v>7468</v>
      </c>
      <c r="JUJ1" s="3" t="s">
        <v>7469</v>
      </c>
      <c r="JUK1" s="3" t="s">
        <v>7470</v>
      </c>
      <c r="JUL1" s="3" t="s">
        <v>7471</v>
      </c>
      <c r="JUM1" s="3" t="s">
        <v>7472</v>
      </c>
      <c r="JUN1" s="3" t="s">
        <v>7473</v>
      </c>
      <c r="JUO1" s="3" t="s">
        <v>7474</v>
      </c>
      <c r="JUP1" s="3" t="s">
        <v>7475</v>
      </c>
      <c r="JUQ1" s="3" t="s">
        <v>7476</v>
      </c>
      <c r="JUR1" s="3" t="s">
        <v>7477</v>
      </c>
      <c r="JUS1" s="3" t="s">
        <v>7478</v>
      </c>
      <c r="JUT1" s="3" t="s">
        <v>7479</v>
      </c>
      <c r="JUU1" s="3" t="s">
        <v>7480</v>
      </c>
      <c r="JUV1" s="3" t="s">
        <v>7481</v>
      </c>
      <c r="JUW1" s="3" t="s">
        <v>7482</v>
      </c>
      <c r="JUX1" s="3" t="s">
        <v>7483</v>
      </c>
      <c r="JUY1" s="3" t="s">
        <v>7484</v>
      </c>
      <c r="JUZ1" s="3" t="s">
        <v>7485</v>
      </c>
      <c r="JVA1" s="3" t="s">
        <v>7486</v>
      </c>
      <c r="JVB1" s="3" t="s">
        <v>7487</v>
      </c>
      <c r="JVC1" s="3" t="s">
        <v>7488</v>
      </c>
      <c r="JVD1" s="3" t="s">
        <v>7489</v>
      </c>
      <c r="JVE1" s="3" t="s">
        <v>7490</v>
      </c>
      <c r="JVF1" s="3" t="s">
        <v>7491</v>
      </c>
      <c r="JVG1" s="3" t="s">
        <v>7492</v>
      </c>
      <c r="JVH1" s="3" t="s">
        <v>7493</v>
      </c>
      <c r="JVI1" s="3" t="s">
        <v>7494</v>
      </c>
      <c r="JVJ1" s="3" t="s">
        <v>7495</v>
      </c>
      <c r="JVK1" s="3" t="s">
        <v>7496</v>
      </c>
      <c r="JVL1" s="3" t="s">
        <v>7497</v>
      </c>
      <c r="JVM1" s="3" t="s">
        <v>7498</v>
      </c>
      <c r="JVN1" s="3" t="s">
        <v>7499</v>
      </c>
      <c r="JVO1" s="3" t="s">
        <v>7500</v>
      </c>
      <c r="JVP1" s="3" t="s">
        <v>7501</v>
      </c>
      <c r="JVQ1" s="3" t="s">
        <v>7502</v>
      </c>
      <c r="JVR1" s="3" t="s">
        <v>7503</v>
      </c>
      <c r="JVS1" s="3" t="s">
        <v>7504</v>
      </c>
      <c r="JVT1" s="3" t="s">
        <v>7505</v>
      </c>
      <c r="JVU1" s="3" t="s">
        <v>7506</v>
      </c>
      <c r="JVV1" s="3" t="s">
        <v>7507</v>
      </c>
      <c r="JVW1" s="3" t="s">
        <v>7508</v>
      </c>
      <c r="JVX1" s="3" t="s">
        <v>7509</v>
      </c>
      <c r="JVY1" s="3" t="s">
        <v>7510</v>
      </c>
      <c r="JVZ1" s="3" t="s">
        <v>7511</v>
      </c>
      <c r="JWA1" s="3" t="s">
        <v>7512</v>
      </c>
      <c r="JWB1" s="3" t="s">
        <v>7513</v>
      </c>
      <c r="JWC1" s="3" t="s">
        <v>7514</v>
      </c>
      <c r="JWD1" s="3" t="s">
        <v>7515</v>
      </c>
      <c r="JWE1" s="3" t="s">
        <v>7516</v>
      </c>
      <c r="JWF1" s="3" t="s">
        <v>7517</v>
      </c>
      <c r="JWG1" s="3" t="s">
        <v>7518</v>
      </c>
      <c r="JWH1" s="3" t="s">
        <v>7519</v>
      </c>
      <c r="JWI1" s="3" t="s">
        <v>7520</v>
      </c>
      <c r="JWJ1" s="3" t="s">
        <v>7521</v>
      </c>
      <c r="JWK1" s="3" t="s">
        <v>7522</v>
      </c>
      <c r="JWL1" s="3" t="s">
        <v>7523</v>
      </c>
      <c r="JWM1" s="3" t="s">
        <v>7524</v>
      </c>
      <c r="JWN1" s="3" t="s">
        <v>7525</v>
      </c>
      <c r="JWO1" s="3" t="s">
        <v>7526</v>
      </c>
      <c r="JWP1" s="3" t="s">
        <v>7527</v>
      </c>
      <c r="JWQ1" s="3" t="s">
        <v>7528</v>
      </c>
      <c r="JWR1" s="3" t="s">
        <v>7529</v>
      </c>
      <c r="JWS1" s="3" t="s">
        <v>7530</v>
      </c>
      <c r="JWT1" s="3" t="s">
        <v>7531</v>
      </c>
      <c r="JWU1" s="3" t="s">
        <v>7532</v>
      </c>
      <c r="JWV1" s="3" t="s">
        <v>7533</v>
      </c>
      <c r="JWW1" s="3" t="s">
        <v>7534</v>
      </c>
      <c r="JWX1" s="3" t="s">
        <v>7535</v>
      </c>
      <c r="JWY1" s="3" t="s">
        <v>7536</v>
      </c>
      <c r="JWZ1" s="3" t="s">
        <v>7537</v>
      </c>
      <c r="JXA1" s="3" t="s">
        <v>7538</v>
      </c>
      <c r="JXB1" s="3" t="s">
        <v>7539</v>
      </c>
      <c r="JXC1" s="3" t="s">
        <v>7540</v>
      </c>
      <c r="JXD1" s="3" t="s">
        <v>7541</v>
      </c>
      <c r="JXE1" s="3" t="s">
        <v>7542</v>
      </c>
      <c r="JXF1" s="3" t="s">
        <v>7543</v>
      </c>
      <c r="JXG1" s="3" t="s">
        <v>7544</v>
      </c>
      <c r="JXH1" s="3" t="s">
        <v>7545</v>
      </c>
      <c r="JXI1" s="3" t="s">
        <v>7546</v>
      </c>
      <c r="JXJ1" s="3" t="s">
        <v>7547</v>
      </c>
      <c r="JXK1" s="3" t="s">
        <v>7548</v>
      </c>
      <c r="JXL1" s="3" t="s">
        <v>7549</v>
      </c>
      <c r="JXM1" s="3" t="s">
        <v>7550</v>
      </c>
      <c r="JXN1" s="3" t="s">
        <v>7551</v>
      </c>
      <c r="JXO1" s="3" t="s">
        <v>7552</v>
      </c>
      <c r="JXP1" s="3" t="s">
        <v>7553</v>
      </c>
      <c r="JXQ1" s="3" t="s">
        <v>7554</v>
      </c>
      <c r="JXR1" s="3" t="s">
        <v>7555</v>
      </c>
      <c r="JXS1" s="3" t="s">
        <v>7556</v>
      </c>
      <c r="JXT1" s="3" t="s">
        <v>7557</v>
      </c>
      <c r="JXU1" s="3" t="s">
        <v>7558</v>
      </c>
      <c r="JXV1" s="3" t="s">
        <v>7559</v>
      </c>
      <c r="JXW1" s="3" t="s">
        <v>7560</v>
      </c>
      <c r="JXX1" s="3" t="s">
        <v>7561</v>
      </c>
      <c r="JXY1" s="3" t="s">
        <v>7562</v>
      </c>
      <c r="JXZ1" s="3" t="s">
        <v>7563</v>
      </c>
      <c r="JYA1" s="3" t="s">
        <v>7564</v>
      </c>
      <c r="JYB1" s="3" t="s">
        <v>7565</v>
      </c>
      <c r="JYC1" s="3" t="s">
        <v>7566</v>
      </c>
      <c r="JYD1" s="3" t="s">
        <v>7567</v>
      </c>
      <c r="JYE1" s="3" t="s">
        <v>7568</v>
      </c>
      <c r="JYF1" s="3" t="s">
        <v>7569</v>
      </c>
      <c r="JYG1" s="3" t="s">
        <v>7570</v>
      </c>
      <c r="JYH1" s="3" t="s">
        <v>7571</v>
      </c>
      <c r="JYI1" s="3" t="s">
        <v>7572</v>
      </c>
      <c r="JYJ1" s="3" t="s">
        <v>7573</v>
      </c>
      <c r="JYK1" s="3" t="s">
        <v>7574</v>
      </c>
      <c r="JYL1" s="3" t="s">
        <v>7575</v>
      </c>
      <c r="JYM1" s="3" t="s">
        <v>7576</v>
      </c>
      <c r="JYN1" s="3" t="s">
        <v>7577</v>
      </c>
      <c r="JYO1" s="3" t="s">
        <v>7578</v>
      </c>
      <c r="JYP1" s="3" t="s">
        <v>7579</v>
      </c>
      <c r="JYQ1" s="3" t="s">
        <v>7580</v>
      </c>
      <c r="JYR1" s="3" t="s">
        <v>7581</v>
      </c>
      <c r="JYS1" s="3" t="s">
        <v>7582</v>
      </c>
      <c r="JYT1" s="3" t="s">
        <v>7583</v>
      </c>
      <c r="JYU1" s="3" t="s">
        <v>7584</v>
      </c>
      <c r="JYV1" s="3" t="s">
        <v>7585</v>
      </c>
      <c r="JYW1" s="3" t="s">
        <v>7586</v>
      </c>
      <c r="JYX1" s="3" t="s">
        <v>7587</v>
      </c>
      <c r="JYY1" s="3" t="s">
        <v>7588</v>
      </c>
      <c r="JYZ1" s="3" t="s">
        <v>7589</v>
      </c>
      <c r="JZA1" s="3" t="s">
        <v>7590</v>
      </c>
      <c r="JZB1" s="3" t="s">
        <v>7591</v>
      </c>
      <c r="JZC1" s="3" t="s">
        <v>7592</v>
      </c>
      <c r="JZD1" s="3" t="s">
        <v>7593</v>
      </c>
      <c r="JZE1" s="3" t="s">
        <v>7594</v>
      </c>
      <c r="JZF1" s="3" t="s">
        <v>7595</v>
      </c>
      <c r="JZG1" s="3" t="s">
        <v>7596</v>
      </c>
      <c r="JZH1" s="3" t="s">
        <v>7597</v>
      </c>
      <c r="JZI1" s="3" t="s">
        <v>7598</v>
      </c>
      <c r="JZJ1" s="3" t="s">
        <v>7599</v>
      </c>
      <c r="JZK1" s="3" t="s">
        <v>7600</v>
      </c>
      <c r="JZL1" s="3" t="s">
        <v>7601</v>
      </c>
      <c r="JZM1" s="3" t="s">
        <v>7602</v>
      </c>
      <c r="JZN1" s="3" t="s">
        <v>7603</v>
      </c>
      <c r="JZO1" s="3" t="s">
        <v>7604</v>
      </c>
      <c r="JZP1" s="3" t="s">
        <v>7605</v>
      </c>
      <c r="JZQ1" s="3" t="s">
        <v>7606</v>
      </c>
      <c r="JZR1" s="3" t="s">
        <v>7607</v>
      </c>
      <c r="JZS1" s="3" t="s">
        <v>7608</v>
      </c>
      <c r="JZT1" s="3" t="s">
        <v>7609</v>
      </c>
      <c r="JZU1" s="3" t="s">
        <v>7610</v>
      </c>
      <c r="JZV1" s="3" t="s">
        <v>7611</v>
      </c>
      <c r="JZW1" s="3" t="s">
        <v>7612</v>
      </c>
      <c r="JZX1" s="3" t="s">
        <v>7613</v>
      </c>
      <c r="JZY1" s="3" t="s">
        <v>7614</v>
      </c>
      <c r="JZZ1" s="3" t="s">
        <v>7615</v>
      </c>
      <c r="KAA1" s="3" t="s">
        <v>7616</v>
      </c>
      <c r="KAB1" s="3" t="s">
        <v>7617</v>
      </c>
      <c r="KAC1" s="3" t="s">
        <v>7618</v>
      </c>
      <c r="KAD1" s="3" t="s">
        <v>7619</v>
      </c>
      <c r="KAE1" s="3" t="s">
        <v>7620</v>
      </c>
      <c r="KAF1" s="3" t="s">
        <v>7621</v>
      </c>
      <c r="KAG1" s="3" t="s">
        <v>7622</v>
      </c>
      <c r="KAH1" s="3" t="s">
        <v>7623</v>
      </c>
      <c r="KAI1" s="3" t="s">
        <v>7624</v>
      </c>
      <c r="KAJ1" s="3" t="s">
        <v>7625</v>
      </c>
      <c r="KAK1" s="3" t="s">
        <v>7626</v>
      </c>
      <c r="KAL1" s="3" t="s">
        <v>7627</v>
      </c>
      <c r="KAM1" s="3" t="s">
        <v>7628</v>
      </c>
      <c r="KAN1" s="3" t="s">
        <v>7629</v>
      </c>
      <c r="KAO1" s="3" t="s">
        <v>7630</v>
      </c>
      <c r="KAP1" s="3" t="s">
        <v>7631</v>
      </c>
      <c r="KAQ1" s="3" t="s">
        <v>7632</v>
      </c>
      <c r="KAR1" s="3" t="s">
        <v>7633</v>
      </c>
      <c r="KAS1" s="3" t="s">
        <v>7634</v>
      </c>
      <c r="KAT1" s="3" t="s">
        <v>7635</v>
      </c>
      <c r="KAU1" s="3" t="s">
        <v>7636</v>
      </c>
      <c r="KAV1" s="3" t="s">
        <v>7637</v>
      </c>
      <c r="KAW1" s="3" t="s">
        <v>7638</v>
      </c>
      <c r="KAX1" s="3" t="s">
        <v>7639</v>
      </c>
      <c r="KAY1" s="3" t="s">
        <v>7640</v>
      </c>
      <c r="KAZ1" s="3" t="s">
        <v>7641</v>
      </c>
      <c r="KBA1" s="3" t="s">
        <v>7642</v>
      </c>
      <c r="KBB1" s="3" t="s">
        <v>7643</v>
      </c>
      <c r="KBC1" s="3" t="s">
        <v>7644</v>
      </c>
      <c r="KBD1" s="3" t="s">
        <v>7645</v>
      </c>
      <c r="KBE1" s="3" t="s">
        <v>7646</v>
      </c>
      <c r="KBF1" s="3" t="s">
        <v>7647</v>
      </c>
      <c r="KBG1" s="3" t="s">
        <v>7648</v>
      </c>
      <c r="KBH1" s="3" t="s">
        <v>7649</v>
      </c>
      <c r="KBI1" s="3" t="s">
        <v>7650</v>
      </c>
      <c r="KBJ1" s="3" t="s">
        <v>7651</v>
      </c>
      <c r="KBK1" s="3" t="s">
        <v>7652</v>
      </c>
      <c r="KBL1" s="3" t="s">
        <v>7653</v>
      </c>
      <c r="KBM1" s="3" t="s">
        <v>7654</v>
      </c>
      <c r="KBN1" s="3" t="s">
        <v>7655</v>
      </c>
      <c r="KBO1" s="3" t="s">
        <v>7656</v>
      </c>
      <c r="KBP1" s="3" t="s">
        <v>7657</v>
      </c>
      <c r="KBQ1" s="3" t="s">
        <v>7658</v>
      </c>
      <c r="KBR1" s="3" t="s">
        <v>7659</v>
      </c>
      <c r="KBS1" s="3" t="s">
        <v>7660</v>
      </c>
      <c r="KBT1" s="3" t="s">
        <v>7661</v>
      </c>
      <c r="KBU1" s="3" t="s">
        <v>7662</v>
      </c>
      <c r="KBV1" s="3" t="s">
        <v>7663</v>
      </c>
      <c r="KBW1" s="3" t="s">
        <v>7664</v>
      </c>
      <c r="KBX1" s="3" t="s">
        <v>7665</v>
      </c>
      <c r="KBY1" s="3" t="s">
        <v>7666</v>
      </c>
      <c r="KBZ1" s="3" t="s">
        <v>7667</v>
      </c>
      <c r="KCA1" s="3" t="s">
        <v>7668</v>
      </c>
      <c r="KCB1" s="3" t="s">
        <v>7669</v>
      </c>
      <c r="KCC1" s="3" t="s">
        <v>7670</v>
      </c>
      <c r="KCD1" s="3" t="s">
        <v>7671</v>
      </c>
      <c r="KCE1" s="3" t="s">
        <v>7672</v>
      </c>
      <c r="KCF1" s="3" t="s">
        <v>7673</v>
      </c>
      <c r="KCG1" s="3" t="s">
        <v>7674</v>
      </c>
      <c r="KCH1" s="3" t="s">
        <v>7675</v>
      </c>
      <c r="KCI1" s="3" t="s">
        <v>7676</v>
      </c>
      <c r="KCJ1" s="3" t="s">
        <v>7677</v>
      </c>
      <c r="KCK1" s="3" t="s">
        <v>7678</v>
      </c>
      <c r="KCL1" s="3" t="s">
        <v>7679</v>
      </c>
      <c r="KCM1" s="3" t="s">
        <v>7680</v>
      </c>
      <c r="KCN1" s="3" t="s">
        <v>7681</v>
      </c>
      <c r="KCO1" s="3" t="s">
        <v>7682</v>
      </c>
      <c r="KCP1" s="3" t="s">
        <v>7683</v>
      </c>
      <c r="KCQ1" s="3" t="s">
        <v>7684</v>
      </c>
      <c r="KCR1" s="3" t="s">
        <v>7685</v>
      </c>
      <c r="KCS1" s="3" t="s">
        <v>7686</v>
      </c>
      <c r="KCT1" s="3" t="s">
        <v>7687</v>
      </c>
      <c r="KCU1" s="3" t="s">
        <v>7688</v>
      </c>
      <c r="KCV1" s="3" t="s">
        <v>7689</v>
      </c>
      <c r="KCW1" s="3" t="s">
        <v>7690</v>
      </c>
      <c r="KCX1" s="3" t="s">
        <v>7691</v>
      </c>
      <c r="KCY1" s="3" t="s">
        <v>7692</v>
      </c>
      <c r="KCZ1" s="3" t="s">
        <v>7693</v>
      </c>
      <c r="KDA1" s="3" t="s">
        <v>7694</v>
      </c>
      <c r="KDB1" s="3" t="s">
        <v>7695</v>
      </c>
      <c r="KDC1" s="3" t="s">
        <v>7696</v>
      </c>
      <c r="KDD1" s="3" t="s">
        <v>7697</v>
      </c>
      <c r="KDE1" s="3" t="s">
        <v>7698</v>
      </c>
      <c r="KDF1" s="3" t="s">
        <v>7699</v>
      </c>
      <c r="KDG1" s="3" t="s">
        <v>7700</v>
      </c>
      <c r="KDH1" s="3" t="s">
        <v>7701</v>
      </c>
      <c r="KDI1" s="3" t="s">
        <v>7702</v>
      </c>
      <c r="KDJ1" s="3" t="s">
        <v>7703</v>
      </c>
      <c r="KDK1" s="3" t="s">
        <v>7704</v>
      </c>
      <c r="KDL1" s="3" t="s">
        <v>7705</v>
      </c>
      <c r="KDM1" s="3" t="s">
        <v>7706</v>
      </c>
      <c r="KDN1" s="3" t="s">
        <v>7707</v>
      </c>
      <c r="KDO1" s="3" t="s">
        <v>7708</v>
      </c>
      <c r="KDP1" s="3" t="s">
        <v>7709</v>
      </c>
      <c r="KDQ1" s="3" t="s">
        <v>7710</v>
      </c>
      <c r="KDR1" s="3" t="s">
        <v>7711</v>
      </c>
      <c r="KDS1" s="3" t="s">
        <v>7712</v>
      </c>
      <c r="KDT1" s="3" t="s">
        <v>7713</v>
      </c>
      <c r="KDU1" s="3" t="s">
        <v>7714</v>
      </c>
      <c r="KDV1" s="3" t="s">
        <v>7715</v>
      </c>
      <c r="KDW1" s="3" t="s">
        <v>7716</v>
      </c>
      <c r="KDX1" s="3" t="s">
        <v>7717</v>
      </c>
      <c r="KDY1" s="3" t="s">
        <v>7718</v>
      </c>
      <c r="KDZ1" s="3" t="s">
        <v>7719</v>
      </c>
      <c r="KEA1" s="3" t="s">
        <v>7720</v>
      </c>
      <c r="KEB1" s="3" t="s">
        <v>7721</v>
      </c>
      <c r="KEC1" s="3" t="s">
        <v>7722</v>
      </c>
      <c r="KED1" s="3" t="s">
        <v>7723</v>
      </c>
      <c r="KEE1" s="3" t="s">
        <v>7724</v>
      </c>
      <c r="KEF1" s="3" t="s">
        <v>7725</v>
      </c>
      <c r="KEG1" s="3" t="s">
        <v>7726</v>
      </c>
      <c r="KEH1" s="3" t="s">
        <v>7727</v>
      </c>
      <c r="KEI1" s="3" t="s">
        <v>7728</v>
      </c>
      <c r="KEJ1" s="3" t="s">
        <v>7729</v>
      </c>
      <c r="KEK1" s="3" t="s">
        <v>7730</v>
      </c>
      <c r="KEL1" s="3" t="s">
        <v>7731</v>
      </c>
      <c r="KEM1" s="3" t="s">
        <v>7732</v>
      </c>
      <c r="KEN1" s="3" t="s">
        <v>7733</v>
      </c>
      <c r="KEO1" s="3" t="s">
        <v>7734</v>
      </c>
      <c r="KEP1" s="3" t="s">
        <v>7735</v>
      </c>
      <c r="KEQ1" s="3" t="s">
        <v>7736</v>
      </c>
      <c r="KER1" s="3" t="s">
        <v>7737</v>
      </c>
      <c r="KES1" s="3" t="s">
        <v>7738</v>
      </c>
      <c r="KET1" s="3" t="s">
        <v>7739</v>
      </c>
      <c r="KEU1" s="3" t="s">
        <v>7740</v>
      </c>
      <c r="KEV1" s="3" t="s">
        <v>7741</v>
      </c>
      <c r="KEW1" s="3" t="s">
        <v>7742</v>
      </c>
      <c r="KEX1" s="3" t="s">
        <v>7743</v>
      </c>
      <c r="KEY1" s="3" t="s">
        <v>7744</v>
      </c>
      <c r="KEZ1" s="3" t="s">
        <v>7745</v>
      </c>
      <c r="KFA1" s="3" t="s">
        <v>7746</v>
      </c>
      <c r="KFB1" s="3" t="s">
        <v>7747</v>
      </c>
      <c r="KFC1" s="3" t="s">
        <v>7748</v>
      </c>
      <c r="KFD1" s="3" t="s">
        <v>7749</v>
      </c>
      <c r="KFE1" s="3" t="s">
        <v>7750</v>
      </c>
      <c r="KFF1" s="3" t="s">
        <v>7751</v>
      </c>
      <c r="KFG1" s="3" t="s">
        <v>7752</v>
      </c>
      <c r="KFH1" s="3" t="s">
        <v>7753</v>
      </c>
      <c r="KFI1" s="3" t="s">
        <v>7754</v>
      </c>
      <c r="KFJ1" s="3" t="s">
        <v>7755</v>
      </c>
      <c r="KFK1" s="3" t="s">
        <v>7756</v>
      </c>
      <c r="KFL1" s="3" t="s">
        <v>7757</v>
      </c>
      <c r="KFM1" s="3" t="s">
        <v>7758</v>
      </c>
      <c r="KFN1" s="3" t="s">
        <v>7759</v>
      </c>
      <c r="KFO1" s="3" t="s">
        <v>7760</v>
      </c>
      <c r="KFP1" s="3" t="s">
        <v>7761</v>
      </c>
      <c r="KFQ1" s="3" t="s">
        <v>7762</v>
      </c>
      <c r="KFR1" s="3" t="s">
        <v>7763</v>
      </c>
      <c r="KFS1" s="3" t="s">
        <v>7764</v>
      </c>
      <c r="KFT1" s="3" t="s">
        <v>7765</v>
      </c>
      <c r="KFU1" s="3" t="s">
        <v>7766</v>
      </c>
      <c r="KFV1" s="3" t="s">
        <v>7767</v>
      </c>
      <c r="KFW1" s="3" t="s">
        <v>7768</v>
      </c>
      <c r="KFX1" s="3" t="s">
        <v>7769</v>
      </c>
      <c r="KFY1" s="3" t="s">
        <v>7770</v>
      </c>
      <c r="KFZ1" s="3" t="s">
        <v>7771</v>
      </c>
      <c r="KGA1" s="3" t="s">
        <v>7772</v>
      </c>
      <c r="KGB1" s="3" t="s">
        <v>7773</v>
      </c>
      <c r="KGC1" s="3" t="s">
        <v>7774</v>
      </c>
      <c r="KGD1" s="3" t="s">
        <v>7775</v>
      </c>
      <c r="KGE1" s="3" t="s">
        <v>7776</v>
      </c>
      <c r="KGF1" s="3" t="s">
        <v>7777</v>
      </c>
      <c r="KGG1" s="3" t="s">
        <v>7778</v>
      </c>
      <c r="KGH1" s="3" t="s">
        <v>7779</v>
      </c>
      <c r="KGI1" s="3" t="s">
        <v>7780</v>
      </c>
      <c r="KGJ1" s="3" t="s">
        <v>7781</v>
      </c>
      <c r="KGK1" s="3" t="s">
        <v>7782</v>
      </c>
      <c r="KGL1" s="3" t="s">
        <v>7783</v>
      </c>
      <c r="KGM1" s="3" t="s">
        <v>7784</v>
      </c>
      <c r="KGN1" s="3" t="s">
        <v>7785</v>
      </c>
      <c r="KGO1" s="3" t="s">
        <v>7786</v>
      </c>
      <c r="KGP1" s="3" t="s">
        <v>7787</v>
      </c>
      <c r="KGQ1" s="3" t="s">
        <v>7788</v>
      </c>
      <c r="KGR1" s="3" t="s">
        <v>7789</v>
      </c>
      <c r="KGS1" s="3" t="s">
        <v>7790</v>
      </c>
      <c r="KGT1" s="3" t="s">
        <v>7791</v>
      </c>
      <c r="KGU1" s="3" t="s">
        <v>7792</v>
      </c>
      <c r="KGV1" s="3" t="s">
        <v>7793</v>
      </c>
      <c r="KGW1" s="3" t="s">
        <v>7794</v>
      </c>
      <c r="KGX1" s="3" t="s">
        <v>7795</v>
      </c>
      <c r="KGY1" s="3" t="s">
        <v>7796</v>
      </c>
      <c r="KGZ1" s="3" t="s">
        <v>7797</v>
      </c>
      <c r="KHA1" s="3" t="s">
        <v>7798</v>
      </c>
      <c r="KHB1" s="3" t="s">
        <v>7799</v>
      </c>
      <c r="KHC1" s="3" t="s">
        <v>7800</v>
      </c>
      <c r="KHD1" s="3" t="s">
        <v>7801</v>
      </c>
      <c r="KHE1" s="3" t="s">
        <v>7802</v>
      </c>
      <c r="KHF1" s="3" t="s">
        <v>7803</v>
      </c>
      <c r="KHG1" s="3" t="s">
        <v>7804</v>
      </c>
      <c r="KHH1" s="3" t="s">
        <v>7805</v>
      </c>
      <c r="KHI1" s="3" t="s">
        <v>7806</v>
      </c>
      <c r="KHJ1" s="3" t="s">
        <v>7807</v>
      </c>
      <c r="KHK1" s="3" t="s">
        <v>7808</v>
      </c>
      <c r="KHL1" s="3" t="s">
        <v>7809</v>
      </c>
      <c r="KHM1" s="3" t="s">
        <v>7810</v>
      </c>
      <c r="KHN1" s="3" t="s">
        <v>7811</v>
      </c>
      <c r="KHO1" s="3" t="s">
        <v>7812</v>
      </c>
      <c r="KHP1" s="3" t="s">
        <v>7813</v>
      </c>
      <c r="KHQ1" s="3" t="s">
        <v>7814</v>
      </c>
      <c r="KHR1" s="3" t="s">
        <v>7815</v>
      </c>
      <c r="KHS1" s="3" t="s">
        <v>7816</v>
      </c>
      <c r="KHT1" s="3" t="s">
        <v>7817</v>
      </c>
      <c r="KHU1" s="3" t="s">
        <v>7818</v>
      </c>
      <c r="KHV1" s="3" t="s">
        <v>7819</v>
      </c>
      <c r="KHW1" s="3" t="s">
        <v>7820</v>
      </c>
      <c r="KHX1" s="3" t="s">
        <v>7821</v>
      </c>
      <c r="KHY1" s="3" t="s">
        <v>7822</v>
      </c>
      <c r="KHZ1" s="3" t="s">
        <v>7823</v>
      </c>
      <c r="KIA1" s="3" t="s">
        <v>7824</v>
      </c>
      <c r="KIB1" s="3" t="s">
        <v>7825</v>
      </c>
      <c r="KIC1" s="3" t="s">
        <v>7826</v>
      </c>
      <c r="KID1" s="3" t="s">
        <v>7827</v>
      </c>
      <c r="KIE1" s="3" t="s">
        <v>7828</v>
      </c>
      <c r="KIF1" s="3" t="s">
        <v>7829</v>
      </c>
      <c r="KIG1" s="3" t="s">
        <v>7830</v>
      </c>
      <c r="KIH1" s="3" t="s">
        <v>7831</v>
      </c>
      <c r="KII1" s="3" t="s">
        <v>7832</v>
      </c>
      <c r="KIJ1" s="3" t="s">
        <v>7833</v>
      </c>
      <c r="KIK1" s="3" t="s">
        <v>7834</v>
      </c>
      <c r="KIL1" s="3" t="s">
        <v>7835</v>
      </c>
      <c r="KIM1" s="3" t="s">
        <v>7836</v>
      </c>
      <c r="KIN1" s="3" t="s">
        <v>7837</v>
      </c>
      <c r="KIO1" s="3" t="s">
        <v>7838</v>
      </c>
      <c r="KIP1" s="3" t="s">
        <v>7839</v>
      </c>
      <c r="KIQ1" s="3" t="s">
        <v>7840</v>
      </c>
      <c r="KIR1" s="3" t="s">
        <v>7841</v>
      </c>
      <c r="KIS1" s="3" t="s">
        <v>7842</v>
      </c>
      <c r="KIT1" s="3" t="s">
        <v>7843</v>
      </c>
      <c r="KIU1" s="3" t="s">
        <v>7844</v>
      </c>
      <c r="KIV1" s="3" t="s">
        <v>7845</v>
      </c>
      <c r="KIW1" s="3" t="s">
        <v>7846</v>
      </c>
      <c r="KIX1" s="3" t="s">
        <v>7847</v>
      </c>
      <c r="KIY1" s="3" t="s">
        <v>7848</v>
      </c>
      <c r="KIZ1" s="3" t="s">
        <v>7849</v>
      </c>
      <c r="KJA1" s="3" t="s">
        <v>7850</v>
      </c>
      <c r="KJB1" s="3" t="s">
        <v>7851</v>
      </c>
      <c r="KJC1" s="3" t="s">
        <v>7852</v>
      </c>
      <c r="KJD1" s="3" t="s">
        <v>7853</v>
      </c>
      <c r="KJE1" s="3" t="s">
        <v>7854</v>
      </c>
      <c r="KJF1" s="3" t="s">
        <v>7855</v>
      </c>
      <c r="KJG1" s="3" t="s">
        <v>7856</v>
      </c>
      <c r="KJH1" s="3" t="s">
        <v>7857</v>
      </c>
      <c r="KJI1" s="3" t="s">
        <v>7858</v>
      </c>
      <c r="KJJ1" s="3" t="s">
        <v>7859</v>
      </c>
      <c r="KJK1" s="3" t="s">
        <v>7860</v>
      </c>
      <c r="KJL1" s="3" t="s">
        <v>7861</v>
      </c>
      <c r="KJM1" s="3" t="s">
        <v>7862</v>
      </c>
      <c r="KJN1" s="3" t="s">
        <v>7863</v>
      </c>
      <c r="KJO1" s="3" t="s">
        <v>7864</v>
      </c>
      <c r="KJP1" s="3" t="s">
        <v>7865</v>
      </c>
      <c r="KJQ1" s="3" t="s">
        <v>7866</v>
      </c>
      <c r="KJR1" s="3" t="s">
        <v>7867</v>
      </c>
      <c r="KJS1" s="3" t="s">
        <v>7868</v>
      </c>
      <c r="KJT1" s="3" t="s">
        <v>7869</v>
      </c>
      <c r="KJU1" s="3" t="s">
        <v>7870</v>
      </c>
      <c r="KJV1" s="3" t="s">
        <v>7871</v>
      </c>
      <c r="KJW1" s="3" t="s">
        <v>7872</v>
      </c>
      <c r="KJX1" s="3" t="s">
        <v>7873</v>
      </c>
      <c r="KJY1" s="3" t="s">
        <v>7874</v>
      </c>
      <c r="KJZ1" s="3" t="s">
        <v>7875</v>
      </c>
      <c r="KKA1" s="3" t="s">
        <v>7876</v>
      </c>
      <c r="KKB1" s="3" t="s">
        <v>7877</v>
      </c>
      <c r="KKC1" s="3" t="s">
        <v>7878</v>
      </c>
      <c r="KKD1" s="3" t="s">
        <v>7879</v>
      </c>
      <c r="KKE1" s="3" t="s">
        <v>7880</v>
      </c>
      <c r="KKF1" s="3" t="s">
        <v>7881</v>
      </c>
      <c r="KKG1" s="3" t="s">
        <v>7882</v>
      </c>
      <c r="KKH1" s="3" t="s">
        <v>7883</v>
      </c>
      <c r="KKI1" s="3" t="s">
        <v>7884</v>
      </c>
      <c r="KKJ1" s="3" t="s">
        <v>7885</v>
      </c>
      <c r="KKK1" s="3" t="s">
        <v>7886</v>
      </c>
      <c r="KKL1" s="3" t="s">
        <v>7887</v>
      </c>
      <c r="KKM1" s="3" t="s">
        <v>7888</v>
      </c>
      <c r="KKN1" s="3" t="s">
        <v>7889</v>
      </c>
      <c r="KKO1" s="3" t="s">
        <v>7890</v>
      </c>
      <c r="KKP1" s="3" t="s">
        <v>7891</v>
      </c>
      <c r="KKQ1" s="3" t="s">
        <v>7892</v>
      </c>
      <c r="KKR1" s="3" t="s">
        <v>7893</v>
      </c>
      <c r="KKS1" s="3" t="s">
        <v>7894</v>
      </c>
      <c r="KKT1" s="3" t="s">
        <v>7895</v>
      </c>
      <c r="KKU1" s="3" t="s">
        <v>7896</v>
      </c>
      <c r="KKV1" s="3" t="s">
        <v>7897</v>
      </c>
      <c r="KKW1" s="3" t="s">
        <v>7898</v>
      </c>
      <c r="KKX1" s="3" t="s">
        <v>7899</v>
      </c>
      <c r="KKY1" s="3" t="s">
        <v>7900</v>
      </c>
      <c r="KKZ1" s="3" t="s">
        <v>7901</v>
      </c>
      <c r="KLA1" s="3" t="s">
        <v>7902</v>
      </c>
      <c r="KLB1" s="3" t="s">
        <v>7903</v>
      </c>
      <c r="KLC1" s="3" t="s">
        <v>7904</v>
      </c>
      <c r="KLD1" s="3" t="s">
        <v>7905</v>
      </c>
      <c r="KLE1" s="3" t="s">
        <v>7906</v>
      </c>
      <c r="KLF1" s="3" t="s">
        <v>7907</v>
      </c>
      <c r="KLG1" s="3" t="s">
        <v>7908</v>
      </c>
      <c r="KLH1" s="3" t="s">
        <v>7909</v>
      </c>
      <c r="KLI1" s="3" t="s">
        <v>7910</v>
      </c>
      <c r="KLJ1" s="3" t="s">
        <v>7911</v>
      </c>
      <c r="KLK1" s="3" t="s">
        <v>7912</v>
      </c>
      <c r="KLL1" s="3" t="s">
        <v>7913</v>
      </c>
      <c r="KLM1" s="3" t="s">
        <v>7914</v>
      </c>
      <c r="KLN1" s="3" t="s">
        <v>7915</v>
      </c>
      <c r="KLO1" s="3" t="s">
        <v>7916</v>
      </c>
      <c r="KLP1" s="3" t="s">
        <v>7917</v>
      </c>
      <c r="KLQ1" s="3" t="s">
        <v>7918</v>
      </c>
      <c r="KLR1" s="3" t="s">
        <v>7919</v>
      </c>
      <c r="KLS1" s="3" t="s">
        <v>7920</v>
      </c>
      <c r="KLT1" s="3" t="s">
        <v>7921</v>
      </c>
      <c r="KLU1" s="3" t="s">
        <v>7922</v>
      </c>
      <c r="KLV1" s="3" t="s">
        <v>7923</v>
      </c>
      <c r="KLW1" s="3" t="s">
        <v>7924</v>
      </c>
      <c r="KLX1" s="3" t="s">
        <v>7925</v>
      </c>
      <c r="KLY1" s="3" t="s">
        <v>7926</v>
      </c>
      <c r="KLZ1" s="3" t="s">
        <v>7927</v>
      </c>
      <c r="KMA1" s="3" t="s">
        <v>7928</v>
      </c>
      <c r="KMB1" s="3" t="s">
        <v>7929</v>
      </c>
      <c r="KMC1" s="3" t="s">
        <v>7930</v>
      </c>
      <c r="KMD1" s="3" t="s">
        <v>7931</v>
      </c>
      <c r="KME1" s="3" t="s">
        <v>7932</v>
      </c>
      <c r="KMF1" s="3" t="s">
        <v>7933</v>
      </c>
      <c r="KMG1" s="3" t="s">
        <v>7934</v>
      </c>
      <c r="KMH1" s="3" t="s">
        <v>7935</v>
      </c>
      <c r="KMI1" s="3" t="s">
        <v>7936</v>
      </c>
      <c r="KMJ1" s="3" t="s">
        <v>7937</v>
      </c>
      <c r="KMK1" s="3" t="s">
        <v>7938</v>
      </c>
      <c r="KML1" s="3" t="s">
        <v>7939</v>
      </c>
      <c r="KMM1" s="3" t="s">
        <v>7940</v>
      </c>
      <c r="KMN1" s="3" t="s">
        <v>7941</v>
      </c>
      <c r="KMO1" s="3" t="s">
        <v>7942</v>
      </c>
      <c r="KMP1" s="3" t="s">
        <v>7943</v>
      </c>
      <c r="KMQ1" s="3" t="s">
        <v>7944</v>
      </c>
      <c r="KMR1" s="3" t="s">
        <v>7945</v>
      </c>
      <c r="KMS1" s="3" t="s">
        <v>7946</v>
      </c>
      <c r="KMT1" s="3" t="s">
        <v>7947</v>
      </c>
      <c r="KMU1" s="3" t="s">
        <v>7948</v>
      </c>
      <c r="KMV1" s="3" t="s">
        <v>7949</v>
      </c>
      <c r="KMW1" s="3" t="s">
        <v>7950</v>
      </c>
      <c r="KMX1" s="3" t="s">
        <v>7951</v>
      </c>
      <c r="KMY1" s="3" t="s">
        <v>7952</v>
      </c>
      <c r="KMZ1" s="3" t="s">
        <v>7953</v>
      </c>
      <c r="KNA1" s="3" t="s">
        <v>7954</v>
      </c>
      <c r="KNB1" s="3" t="s">
        <v>7955</v>
      </c>
      <c r="KNC1" s="3" t="s">
        <v>7956</v>
      </c>
      <c r="KND1" s="3" t="s">
        <v>7957</v>
      </c>
      <c r="KNE1" s="3" t="s">
        <v>7958</v>
      </c>
      <c r="KNF1" s="3" t="s">
        <v>7959</v>
      </c>
      <c r="KNG1" s="3" t="s">
        <v>7960</v>
      </c>
      <c r="KNH1" s="3" t="s">
        <v>7961</v>
      </c>
      <c r="KNI1" s="3" t="s">
        <v>7962</v>
      </c>
      <c r="KNJ1" s="3" t="s">
        <v>7963</v>
      </c>
      <c r="KNK1" s="3" t="s">
        <v>7964</v>
      </c>
      <c r="KNL1" s="3" t="s">
        <v>7965</v>
      </c>
      <c r="KNM1" s="3" t="s">
        <v>7966</v>
      </c>
      <c r="KNN1" s="3" t="s">
        <v>7967</v>
      </c>
      <c r="KNO1" s="3" t="s">
        <v>7968</v>
      </c>
      <c r="KNP1" s="3" t="s">
        <v>7969</v>
      </c>
      <c r="KNQ1" s="3" t="s">
        <v>7970</v>
      </c>
      <c r="KNR1" s="3" t="s">
        <v>7971</v>
      </c>
      <c r="KNS1" s="3" t="s">
        <v>7972</v>
      </c>
      <c r="KNT1" s="3" t="s">
        <v>7973</v>
      </c>
      <c r="KNU1" s="3" t="s">
        <v>7974</v>
      </c>
      <c r="KNV1" s="3" t="s">
        <v>7975</v>
      </c>
      <c r="KNW1" s="3" t="s">
        <v>7976</v>
      </c>
      <c r="KNX1" s="3" t="s">
        <v>7977</v>
      </c>
      <c r="KNY1" s="3" t="s">
        <v>7978</v>
      </c>
      <c r="KNZ1" s="3" t="s">
        <v>7979</v>
      </c>
      <c r="KOA1" s="3" t="s">
        <v>7980</v>
      </c>
      <c r="KOB1" s="3" t="s">
        <v>7981</v>
      </c>
      <c r="KOC1" s="3" t="s">
        <v>7982</v>
      </c>
      <c r="KOD1" s="3" t="s">
        <v>7983</v>
      </c>
      <c r="KOE1" s="3" t="s">
        <v>7984</v>
      </c>
      <c r="KOF1" s="3" t="s">
        <v>7985</v>
      </c>
      <c r="KOG1" s="3" t="s">
        <v>7986</v>
      </c>
      <c r="KOH1" s="3" t="s">
        <v>7987</v>
      </c>
      <c r="KOI1" s="3" t="s">
        <v>7988</v>
      </c>
      <c r="KOJ1" s="3" t="s">
        <v>7989</v>
      </c>
      <c r="KOK1" s="3" t="s">
        <v>7990</v>
      </c>
      <c r="KOL1" s="3" t="s">
        <v>7991</v>
      </c>
      <c r="KOM1" s="3" t="s">
        <v>7992</v>
      </c>
      <c r="KON1" s="3" t="s">
        <v>7993</v>
      </c>
      <c r="KOO1" s="3" t="s">
        <v>7994</v>
      </c>
      <c r="KOP1" s="3" t="s">
        <v>7995</v>
      </c>
      <c r="KOQ1" s="3" t="s">
        <v>7996</v>
      </c>
      <c r="KOR1" s="3" t="s">
        <v>7997</v>
      </c>
      <c r="KOS1" s="3" t="s">
        <v>7998</v>
      </c>
      <c r="KOT1" s="3" t="s">
        <v>7999</v>
      </c>
      <c r="KOU1" s="3" t="s">
        <v>8000</v>
      </c>
      <c r="KOV1" s="3" t="s">
        <v>8001</v>
      </c>
      <c r="KOW1" s="3" t="s">
        <v>8002</v>
      </c>
      <c r="KOX1" s="3" t="s">
        <v>8003</v>
      </c>
      <c r="KOY1" s="3" t="s">
        <v>8004</v>
      </c>
      <c r="KOZ1" s="3" t="s">
        <v>8005</v>
      </c>
      <c r="KPA1" s="3" t="s">
        <v>8006</v>
      </c>
      <c r="KPB1" s="3" t="s">
        <v>8007</v>
      </c>
      <c r="KPC1" s="3" t="s">
        <v>8008</v>
      </c>
      <c r="KPD1" s="3" t="s">
        <v>8009</v>
      </c>
      <c r="KPE1" s="3" t="s">
        <v>8010</v>
      </c>
      <c r="KPF1" s="3" t="s">
        <v>8011</v>
      </c>
      <c r="KPG1" s="3" t="s">
        <v>8012</v>
      </c>
      <c r="KPH1" s="3" t="s">
        <v>8013</v>
      </c>
      <c r="KPI1" s="3" t="s">
        <v>8014</v>
      </c>
      <c r="KPJ1" s="3" t="s">
        <v>8015</v>
      </c>
      <c r="KPK1" s="3" t="s">
        <v>8016</v>
      </c>
      <c r="KPL1" s="3" t="s">
        <v>8017</v>
      </c>
      <c r="KPM1" s="3" t="s">
        <v>8018</v>
      </c>
      <c r="KPN1" s="3" t="s">
        <v>8019</v>
      </c>
      <c r="KPO1" s="3" t="s">
        <v>8020</v>
      </c>
      <c r="KPP1" s="3" t="s">
        <v>8021</v>
      </c>
      <c r="KPQ1" s="3" t="s">
        <v>8022</v>
      </c>
      <c r="KPR1" s="3" t="s">
        <v>8023</v>
      </c>
      <c r="KPS1" s="3" t="s">
        <v>8024</v>
      </c>
      <c r="KPT1" s="3" t="s">
        <v>8025</v>
      </c>
      <c r="KPU1" s="3" t="s">
        <v>8026</v>
      </c>
      <c r="KPV1" s="3" t="s">
        <v>8027</v>
      </c>
      <c r="KPW1" s="3" t="s">
        <v>8028</v>
      </c>
      <c r="KPX1" s="3" t="s">
        <v>8029</v>
      </c>
      <c r="KPY1" s="3" t="s">
        <v>8030</v>
      </c>
      <c r="KPZ1" s="3" t="s">
        <v>8031</v>
      </c>
      <c r="KQA1" s="3" t="s">
        <v>8032</v>
      </c>
      <c r="KQB1" s="3" t="s">
        <v>8033</v>
      </c>
      <c r="KQC1" s="3" t="s">
        <v>8034</v>
      </c>
      <c r="KQD1" s="3" t="s">
        <v>8035</v>
      </c>
      <c r="KQE1" s="3" t="s">
        <v>8036</v>
      </c>
      <c r="KQF1" s="3" t="s">
        <v>8037</v>
      </c>
      <c r="KQG1" s="3" t="s">
        <v>8038</v>
      </c>
      <c r="KQH1" s="3" t="s">
        <v>8039</v>
      </c>
      <c r="KQI1" s="3" t="s">
        <v>8040</v>
      </c>
      <c r="KQJ1" s="3" t="s">
        <v>8041</v>
      </c>
      <c r="KQK1" s="3" t="s">
        <v>8042</v>
      </c>
      <c r="KQL1" s="3" t="s">
        <v>8043</v>
      </c>
      <c r="KQM1" s="3" t="s">
        <v>8044</v>
      </c>
      <c r="KQN1" s="3" t="s">
        <v>8045</v>
      </c>
      <c r="KQO1" s="3" t="s">
        <v>8046</v>
      </c>
      <c r="KQP1" s="3" t="s">
        <v>8047</v>
      </c>
      <c r="KQQ1" s="3" t="s">
        <v>8048</v>
      </c>
      <c r="KQR1" s="3" t="s">
        <v>8049</v>
      </c>
      <c r="KQS1" s="3" t="s">
        <v>8050</v>
      </c>
      <c r="KQT1" s="3" t="s">
        <v>8051</v>
      </c>
      <c r="KQU1" s="3" t="s">
        <v>8052</v>
      </c>
      <c r="KQV1" s="3" t="s">
        <v>8053</v>
      </c>
      <c r="KQW1" s="3" t="s">
        <v>8054</v>
      </c>
      <c r="KQX1" s="3" t="s">
        <v>8055</v>
      </c>
      <c r="KQY1" s="3" t="s">
        <v>8056</v>
      </c>
      <c r="KQZ1" s="3" t="s">
        <v>8057</v>
      </c>
      <c r="KRA1" s="3" t="s">
        <v>8058</v>
      </c>
      <c r="KRB1" s="3" t="s">
        <v>8059</v>
      </c>
      <c r="KRC1" s="3" t="s">
        <v>8060</v>
      </c>
      <c r="KRD1" s="3" t="s">
        <v>8061</v>
      </c>
      <c r="KRE1" s="3" t="s">
        <v>8062</v>
      </c>
      <c r="KRF1" s="3" t="s">
        <v>8063</v>
      </c>
      <c r="KRG1" s="3" t="s">
        <v>8064</v>
      </c>
      <c r="KRH1" s="3" t="s">
        <v>8065</v>
      </c>
      <c r="KRI1" s="3" t="s">
        <v>8066</v>
      </c>
      <c r="KRJ1" s="3" t="s">
        <v>8067</v>
      </c>
      <c r="KRK1" s="3" t="s">
        <v>8068</v>
      </c>
      <c r="KRL1" s="3" t="s">
        <v>8069</v>
      </c>
      <c r="KRM1" s="3" t="s">
        <v>8070</v>
      </c>
      <c r="KRN1" s="3" t="s">
        <v>8071</v>
      </c>
      <c r="KRO1" s="3" t="s">
        <v>8072</v>
      </c>
      <c r="KRP1" s="3" t="s">
        <v>8073</v>
      </c>
      <c r="KRQ1" s="3" t="s">
        <v>8074</v>
      </c>
      <c r="KRR1" s="3" t="s">
        <v>8075</v>
      </c>
      <c r="KRS1" s="3" t="s">
        <v>8076</v>
      </c>
      <c r="KRT1" s="3" t="s">
        <v>8077</v>
      </c>
      <c r="KRU1" s="3" t="s">
        <v>8078</v>
      </c>
      <c r="KRV1" s="3" t="s">
        <v>8079</v>
      </c>
      <c r="KRW1" s="3" t="s">
        <v>8080</v>
      </c>
      <c r="KRX1" s="3" t="s">
        <v>8081</v>
      </c>
      <c r="KRY1" s="3" t="s">
        <v>8082</v>
      </c>
      <c r="KRZ1" s="3" t="s">
        <v>8083</v>
      </c>
      <c r="KSA1" s="3" t="s">
        <v>8084</v>
      </c>
      <c r="KSB1" s="3" t="s">
        <v>8085</v>
      </c>
      <c r="KSC1" s="3" t="s">
        <v>8086</v>
      </c>
      <c r="KSD1" s="3" t="s">
        <v>8087</v>
      </c>
      <c r="KSE1" s="3" t="s">
        <v>8088</v>
      </c>
      <c r="KSF1" s="3" t="s">
        <v>8089</v>
      </c>
      <c r="KSG1" s="3" t="s">
        <v>8090</v>
      </c>
      <c r="KSH1" s="3" t="s">
        <v>8091</v>
      </c>
      <c r="KSI1" s="3" t="s">
        <v>8092</v>
      </c>
      <c r="KSJ1" s="3" t="s">
        <v>8093</v>
      </c>
      <c r="KSK1" s="3" t="s">
        <v>8094</v>
      </c>
      <c r="KSL1" s="3" t="s">
        <v>8095</v>
      </c>
      <c r="KSM1" s="3" t="s">
        <v>8096</v>
      </c>
      <c r="KSN1" s="3" t="s">
        <v>8097</v>
      </c>
      <c r="KSO1" s="3" t="s">
        <v>8098</v>
      </c>
      <c r="KSP1" s="3" t="s">
        <v>8099</v>
      </c>
      <c r="KSQ1" s="3" t="s">
        <v>8100</v>
      </c>
      <c r="KSR1" s="3" t="s">
        <v>8101</v>
      </c>
      <c r="KSS1" s="3" t="s">
        <v>8102</v>
      </c>
      <c r="KST1" s="3" t="s">
        <v>8103</v>
      </c>
      <c r="KSU1" s="3" t="s">
        <v>8104</v>
      </c>
      <c r="KSV1" s="3" t="s">
        <v>8105</v>
      </c>
      <c r="KSW1" s="3" t="s">
        <v>8106</v>
      </c>
      <c r="KSX1" s="3" t="s">
        <v>8107</v>
      </c>
      <c r="KSY1" s="3" t="s">
        <v>8108</v>
      </c>
      <c r="KSZ1" s="3" t="s">
        <v>8109</v>
      </c>
      <c r="KTA1" s="3" t="s">
        <v>8110</v>
      </c>
      <c r="KTB1" s="3" t="s">
        <v>8111</v>
      </c>
      <c r="KTC1" s="3" t="s">
        <v>8112</v>
      </c>
      <c r="KTD1" s="3" t="s">
        <v>8113</v>
      </c>
      <c r="KTE1" s="3" t="s">
        <v>8114</v>
      </c>
      <c r="KTF1" s="3" t="s">
        <v>8115</v>
      </c>
      <c r="KTG1" s="3" t="s">
        <v>8116</v>
      </c>
      <c r="KTH1" s="3" t="s">
        <v>8117</v>
      </c>
      <c r="KTI1" s="3" t="s">
        <v>8118</v>
      </c>
      <c r="KTJ1" s="3" t="s">
        <v>8119</v>
      </c>
      <c r="KTK1" s="3" t="s">
        <v>8120</v>
      </c>
      <c r="KTL1" s="3" t="s">
        <v>8121</v>
      </c>
      <c r="KTM1" s="3" t="s">
        <v>8122</v>
      </c>
      <c r="KTN1" s="3" t="s">
        <v>8123</v>
      </c>
      <c r="KTO1" s="3" t="s">
        <v>8124</v>
      </c>
      <c r="KTP1" s="3" t="s">
        <v>8125</v>
      </c>
      <c r="KTQ1" s="3" t="s">
        <v>8126</v>
      </c>
      <c r="KTR1" s="3" t="s">
        <v>8127</v>
      </c>
      <c r="KTS1" s="3" t="s">
        <v>8128</v>
      </c>
      <c r="KTT1" s="3" t="s">
        <v>8129</v>
      </c>
      <c r="KTU1" s="3" t="s">
        <v>8130</v>
      </c>
      <c r="KTV1" s="3" t="s">
        <v>8131</v>
      </c>
      <c r="KTW1" s="3" t="s">
        <v>8132</v>
      </c>
      <c r="KTX1" s="3" t="s">
        <v>8133</v>
      </c>
      <c r="KTY1" s="3" t="s">
        <v>8134</v>
      </c>
      <c r="KTZ1" s="3" t="s">
        <v>8135</v>
      </c>
      <c r="KUA1" s="3" t="s">
        <v>8136</v>
      </c>
      <c r="KUB1" s="3" t="s">
        <v>8137</v>
      </c>
      <c r="KUC1" s="3" t="s">
        <v>8138</v>
      </c>
      <c r="KUD1" s="3" t="s">
        <v>8139</v>
      </c>
      <c r="KUE1" s="3" t="s">
        <v>8140</v>
      </c>
      <c r="KUF1" s="3" t="s">
        <v>8141</v>
      </c>
      <c r="KUG1" s="3" t="s">
        <v>8142</v>
      </c>
      <c r="KUH1" s="3" t="s">
        <v>8143</v>
      </c>
      <c r="KUI1" s="3" t="s">
        <v>8144</v>
      </c>
      <c r="KUJ1" s="3" t="s">
        <v>8145</v>
      </c>
      <c r="KUK1" s="3" t="s">
        <v>8146</v>
      </c>
      <c r="KUL1" s="3" t="s">
        <v>8147</v>
      </c>
      <c r="KUM1" s="3" t="s">
        <v>8148</v>
      </c>
      <c r="KUN1" s="3" t="s">
        <v>8149</v>
      </c>
      <c r="KUO1" s="3" t="s">
        <v>8150</v>
      </c>
      <c r="KUP1" s="3" t="s">
        <v>8151</v>
      </c>
      <c r="KUQ1" s="3" t="s">
        <v>8152</v>
      </c>
      <c r="KUR1" s="3" t="s">
        <v>8153</v>
      </c>
      <c r="KUS1" s="3" t="s">
        <v>8154</v>
      </c>
      <c r="KUT1" s="3" t="s">
        <v>8155</v>
      </c>
      <c r="KUU1" s="3" t="s">
        <v>8156</v>
      </c>
      <c r="KUV1" s="3" t="s">
        <v>8157</v>
      </c>
      <c r="KUW1" s="3" t="s">
        <v>8158</v>
      </c>
      <c r="KUX1" s="3" t="s">
        <v>8159</v>
      </c>
      <c r="KUY1" s="3" t="s">
        <v>8160</v>
      </c>
      <c r="KUZ1" s="3" t="s">
        <v>8161</v>
      </c>
      <c r="KVA1" s="3" t="s">
        <v>8162</v>
      </c>
      <c r="KVB1" s="3" t="s">
        <v>8163</v>
      </c>
      <c r="KVC1" s="3" t="s">
        <v>8164</v>
      </c>
      <c r="KVD1" s="3" t="s">
        <v>8165</v>
      </c>
      <c r="KVE1" s="3" t="s">
        <v>8166</v>
      </c>
      <c r="KVF1" s="3" t="s">
        <v>8167</v>
      </c>
      <c r="KVG1" s="3" t="s">
        <v>8168</v>
      </c>
      <c r="KVH1" s="3" t="s">
        <v>8169</v>
      </c>
      <c r="KVI1" s="3" t="s">
        <v>8170</v>
      </c>
      <c r="KVJ1" s="3" t="s">
        <v>8171</v>
      </c>
      <c r="KVK1" s="3" t="s">
        <v>8172</v>
      </c>
      <c r="KVL1" s="3" t="s">
        <v>8173</v>
      </c>
      <c r="KVM1" s="3" t="s">
        <v>8174</v>
      </c>
      <c r="KVN1" s="3" t="s">
        <v>8175</v>
      </c>
      <c r="KVO1" s="3" t="s">
        <v>8176</v>
      </c>
      <c r="KVP1" s="3" t="s">
        <v>8177</v>
      </c>
      <c r="KVQ1" s="3" t="s">
        <v>8178</v>
      </c>
      <c r="KVR1" s="3" t="s">
        <v>8179</v>
      </c>
      <c r="KVS1" s="3" t="s">
        <v>8180</v>
      </c>
      <c r="KVT1" s="3" t="s">
        <v>8181</v>
      </c>
      <c r="KVU1" s="3" t="s">
        <v>8182</v>
      </c>
      <c r="KVV1" s="3" t="s">
        <v>8183</v>
      </c>
      <c r="KVW1" s="3" t="s">
        <v>8184</v>
      </c>
      <c r="KVX1" s="3" t="s">
        <v>8185</v>
      </c>
      <c r="KVY1" s="3" t="s">
        <v>8186</v>
      </c>
      <c r="KVZ1" s="3" t="s">
        <v>8187</v>
      </c>
      <c r="KWA1" s="3" t="s">
        <v>8188</v>
      </c>
      <c r="KWB1" s="3" t="s">
        <v>8189</v>
      </c>
      <c r="KWC1" s="3" t="s">
        <v>8190</v>
      </c>
      <c r="KWD1" s="3" t="s">
        <v>8191</v>
      </c>
      <c r="KWE1" s="3" t="s">
        <v>8192</v>
      </c>
      <c r="KWF1" s="3" t="s">
        <v>8193</v>
      </c>
      <c r="KWG1" s="3" t="s">
        <v>8194</v>
      </c>
      <c r="KWH1" s="3" t="s">
        <v>8195</v>
      </c>
      <c r="KWI1" s="3" t="s">
        <v>8196</v>
      </c>
      <c r="KWJ1" s="3" t="s">
        <v>8197</v>
      </c>
      <c r="KWK1" s="3" t="s">
        <v>8198</v>
      </c>
      <c r="KWL1" s="3" t="s">
        <v>8199</v>
      </c>
      <c r="KWM1" s="3" t="s">
        <v>8200</v>
      </c>
      <c r="KWN1" s="3" t="s">
        <v>8201</v>
      </c>
      <c r="KWO1" s="3" t="s">
        <v>8202</v>
      </c>
      <c r="KWP1" s="3" t="s">
        <v>8203</v>
      </c>
      <c r="KWQ1" s="3" t="s">
        <v>8204</v>
      </c>
      <c r="KWR1" s="3" t="s">
        <v>8205</v>
      </c>
      <c r="KWS1" s="3" t="s">
        <v>8206</v>
      </c>
      <c r="KWT1" s="3" t="s">
        <v>8207</v>
      </c>
      <c r="KWU1" s="3" t="s">
        <v>8208</v>
      </c>
      <c r="KWV1" s="3" t="s">
        <v>8209</v>
      </c>
      <c r="KWW1" s="3" t="s">
        <v>8210</v>
      </c>
      <c r="KWX1" s="3" t="s">
        <v>8211</v>
      </c>
      <c r="KWY1" s="3" t="s">
        <v>8212</v>
      </c>
      <c r="KWZ1" s="3" t="s">
        <v>8213</v>
      </c>
      <c r="KXA1" s="3" t="s">
        <v>8214</v>
      </c>
      <c r="KXB1" s="3" t="s">
        <v>8215</v>
      </c>
      <c r="KXC1" s="3" t="s">
        <v>8216</v>
      </c>
      <c r="KXD1" s="3" t="s">
        <v>8217</v>
      </c>
      <c r="KXE1" s="3" t="s">
        <v>8218</v>
      </c>
      <c r="KXF1" s="3" t="s">
        <v>8219</v>
      </c>
      <c r="KXG1" s="3" t="s">
        <v>8220</v>
      </c>
      <c r="KXH1" s="3" t="s">
        <v>8221</v>
      </c>
      <c r="KXI1" s="3" t="s">
        <v>8222</v>
      </c>
      <c r="KXJ1" s="3" t="s">
        <v>8223</v>
      </c>
      <c r="KXK1" s="3" t="s">
        <v>8224</v>
      </c>
      <c r="KXL1" s="3" t="s">
        <v>8225</v>
      </c>
      <c r="KXM1" s="3" t="s">
        <v>8226</v>
      </c>
      <c r="KXN1" s="3" t="s">
        <v>8227</v>
      </c>
      <c r="KXO1" s="3" t="s">
        <v>8228</v>
      </c>
      <c r="KXP1" s="3" t="s">
        <v>8229</v>
      </c>
      <c r="KXQ1" s="3" t="s">
        <v>8230</v>
      </c>
      <c r="KXR1" s="3" t="s">
        <v>8231</v>
      </c>
      <c r="KXS1" s="3" t="s">
        <v>8232</v>
      </c>
      <c r="KXT1" s="3" t="s">
        <v>8233</v>
      </c>
      <c r="KXU1" s="3" t="s">
        <v>8234</v>
      </c>
      <c r="KXV1" s="3" t="s">
        <v>8235</v>
      </c>
      <c r="KXW1" s="3" t="s">
        <v>8236</v>
      </c>
      <c r="KXX1" s="3" t="s">
        <v>8237</v>
      </c>
      <c r="KXY1" s="3" t="s">
        <v>8238</v>
      </c>
      <c r="KXZ1" s="3" t="s">
        <v>8239</v>
      </c>
      <c r="KYA1" s="3" t="s">
        <v>8240</v>
      </c>
      <c r="KYB1" s="3" t="s">
        <v>8241</v>
      </c>
      <c r="KYC1" s="3" t="s">
        <v>8242</v>
      </c>
      <c r="KYD1" s="3" t="s">
        <v>8243</v>
      </c>
      <c r="KYE1" s="3" t="s">
        <v>8244</v>
      </c>
      <c r="KYF1" s="3" t="s">
        <v>8245</v>
      </c>
      <c r="KYG1" s="3" t="s">
        <v>8246</v>
      </c>
      <c r="KYH1" s="3" t="s">
        <v>8247</v>
      </c>
      <c r="KYI1" s="3" t="s">
        <v>8248</v>
      </c>
      <c r="KYJ1" s="3" t="s">
        <v>8249</v>
      </c>
      <c r="KYK1" s="3" t="s">
        <v>8250</v>
      </c>
      <c r="KYL1" s="3" t="s">
        <v>8251</v>
      </c>
      <c r="KYM1" s="3" t="s">
        <v>8252</v>
      </c>
      <c r="KYN1" s="3" t="s">
        <v>8253</v>
      </c>
      <c r="KYO1" s="3" t="s">
        <v>8254</v>
      </c>
      <c r="KYP1" s="3" t="s">
        <v>8255</v>
      </c>
      <c r="KYQ1" s="3" t="s">
        <v>8256</v>
      </c>
      <c r="KYR1" s="3" t="s">
        <v>8257</v>
      </c>
      <c r="KYS1" s="3" t="s">
        <v>8258</v>
      </c>
      <c r="KYT1" s="3" t="s">
        <v>8259</v>
      </c>
      <c r="KYU1" s="3" t="s">
        <v>8260</v>
      </c>
      <c r="KYV1" s="3" t="s">
        <v>8261</v>
      </c>
      <c r="KYW1" s="3" t="s">
        <v>8262</v>
      </c>
      <c r="KYX1" s="3" t="s">
        <v>8263</v>
      </c>
      <c r="KYY1" s="3" t="s">
        <v>8264</v>
      </c>
      <c r="KYZ1" s="3" t="s">
        <v>8265</v>
      </c>
      <c r="KZA1" s="3" t="s">
        <v>8266</v>
      </c>
      <c r="KZB1" s="3" t="s">
        <v>8267</v>
      </c>
      <c r="KZC1" s="3" t="s">
        <v>8268</v>
      </c>
      <c r="KZD1" s="3" t="s">
        <v>8269</v>
      </c>
      <c r="KZE1" s="3" t="s">
        <v>8270</v>
      </c>
      <c r="KZF1" s="3" t="s">
        <v>8271</v>
      </c>
      <c r="KZG1" s="3" t="s">
        <v>8272</v>
      </c>
      <c r="KZH1" s="3" t="s">
        <v>8273</v>
      </c>
      <c r="KZI1" s="3" t="s">
        <v>8274</v>
      </c>
      <c r="KZJ1" s="3" t="s">
        <v>8275</v>
      </c>
      <c r="KZK1" s="3" t="s">
        <v>8276</v>
      </c>
      <c r="KZL1" s="3" t="s">
        <v>8277</v>
      </c>
      <c r="KZM1" s="3" t="s">
        <v>8278</v>
      </c>
      <c r="KZN1" s="3" t="s">
        <v>8279</v>
      </c>
      <c r="KZO1" s="3" t="s">
        <v>8280</v>
      </c>
      <c r="KZP1" s="3" t="s">
        <v>8281</v>
      </c>
      <c r="KZQ1" s="3" t="s">
        <v>8282</v>
      </c>
      <c r="KZR1" s="3" t="s">
        <v>8283</v>
      </c>
      <c r="KZS1" s="3" t="s">
        <v>8284</v>
      </c>
      <c r="KZT1" s="3" t="s">
        <v>8285</v>
      </c>
      <c r="KZU1" s="3" t="s">
        <v>8286</v>
      </c>
      <c r="KZV1" s="3" t="s">
        <v>8287</v>
      </c>
      <c r="KZW1" s="3" t="s">
        <v>8288</v>
      </c>
      <c r="KZX1" s="3" t="s">
        <v>8289</v>
      </c>
      <c r="KZY1" s="3" t="s">
        <v>8290</v>
      </c>
      <c r="KZZ1" s="3" t="s">
        <v>8291</v>
      </c>
      <c r="LAA1" s="3" t="s">
        <v>8292</v>
      </c>
      <c r="LAB1" s="3" t="s">
        <v>8293</v>
      </c>
      <c r="LAC1" s="3" t="s">
        <v>8294</v>
      </c>
      <c r="LAD1" s="3" t="s">
        <v>8295</v>
      </c>
      <c r="LAE1" s="3" t="s">
        <v>8296</v>
      </c>
      <c r="LAF1" s="3" t="s">
        <v>8297</v>
      </c>
      <c r="LAG1" s="3" t="s">
        <v>8298</v>
      </c>
      <c r="LAH1" s="3" t="s">
        <v>8299</v>
      </c>
      <c r="LAI1" s="3" t="s">
        <v>8300</v>
      </c>
      <c r="LAJ1" s="3" t="s">
        <v>8301</v>
      </c>
      <c r="LAK1" s="3" t="s">
        <v>8302</v>
      </c>
      <c r="LAL1" s="3" t="s">
        <v>8303</v>
      </c>
      <c r="LAM1" s="3" t="s">
        <v>8304</v>
      </c>
      <c r="LAN1" s="3" t="s">
        <v>8305</v>
      </c>
      <c r="LAO1" s="3" t="s">
        <v>8306</v>
      </c>
      <c r="LAP1" s="3" t="s">
        <v>8307</v>
      </c>
      <c r="LAQ1" s="3" t="s">
        <v>8308</v>
      </c>
      <c r="LAR1" s="3" t="s">
        <v>8309</v>
      </c>
      <c r="LAS1" s="3" t="s">
        <v>8310</v>
      </c>
      <c r="LAT1" s="3" t="s">
        <v>8311</v>
      </c>
      <c r="LAU1" s="3" t="s">
        <v>8312</v>
      </c>
      <c r="LAV1" s="3" t="s">
        <v>8313</v>
      </c>
      <c r="LAW1" s="3" t="s">
        <v>8314</v>
      </c>
      <c r="LAX1" s="3" t="s">
        <v>8315</v>
      </c>
      <c r="LAY1" s="3" t="s">
        <v>8316</v>
      </c>
      <c r="LAZ1" s="3" t="s">
        <v>8317</v>
      </c>
      <c r="LBA1" s="3" t="s">
        <v>8318</v>
      </c>
      <c r="LBB1" s="3" t="s">
        <v>8319</v>
      </c>
      <c r="LBC1" s="3" t="s">
        <v>8320</v>
      </c>
      <c r="LBD1" s="3" t="s">
        <v>8321</v>
      </c>
      <c r="LBE1" s="3" t="s">
        <v>8322</v>
      </c>
      <c r="LBF1" s="3" t="s">
        <v>8323</v>
      </c>
      <c r="LBG1" s="3" t="s">
        <v>8324</v>
      </c>
      <c r="LBH1" s="3" t="s">
        <v>8325</v>
      </c>
      <c r="LBI1" s="3" t="s">
        <v>8326</v>
      </c>
      <c r="LBJ1" s="3" t="s">
        <v>8327</v>
      </c>
      <c r="LBK1" s="3" t="s">
        <v>8328</v>
      </c>
      <c r="LBL1" s="3" t="s">
        <v>8329</v>
      </c>
      <c r="LBM1" s="3" t="s">
        <v>8330</v>
      </c>
      <c r="LBN1" s="3" t="s">
        <v>8331</v>
      </c>
      <c r="LBO1" s="3" t="s">
        <v>8332</v>
      </c>
      <c r="LBP1" s="3" t="s">
        <v>8333</v>
      </c>
      <c r="LBQ1" s="3" t="s">
        <v>8334</v>
      </c>
      <c r="LBR1" s="3" t="s">
        <v>8335</v>
      </c>
      <c r="LBS1" s="3" t="s">
        <v>8336</v>
      </c>
      <c r="LBT1" s="3" t="s">
        <v>8337</v>
      </c>
      <c r="LBU1" s="3" t="s">
        <v>8338</v>
      </c>
      <c r="LBV1" s="3" t="s">
        <v>8339</v>
      </c>
      <c r="LBW1" s="3" t="s">
        <v>8340</v>
      </c>
      <c r="LBX1" s="3" t="s">
        <v>8341</v>
      </c>
      <c r="LBY1" s="3" t="s">
        <v>8342</v>
      </c>
      <c r="LBZ1" s="3" t="s">
        <v>8343</v>
      </c>
      <c r="LCA1" s="3" t="s">
        <v>8344</v>
      </c>
      <c r="LCB1" s="3" t="s">
        <v>8345</v>
      </c>
      <c r="LCC1" s="3" t="s">
        <v>8346</v>
      </c>
      <c r="LCD1" s="3" t="s">
        <v>8347</v>
      </c>
      <c r="LCE1" s="3" t="s">
        <v>8348</v>
      </c>
      <c r="LCF1" s="3" t="s">
        <v>8349</v>
      </c>
      <c r="LCG1" s="3" t="s">
        <v>8350</v>
      </c>
      <c r="LCH1" s="3" t="s">
        <v>8351</v>
      </c>
      <c r="LCI1" s="3" t="s">
        <v>8352</v>
      </c>
      <c r="LCJ1" s="3" t="s">
        <v>8353</v>
      </c>
      <c r="LCK1" s="3" t="s">
        <v>8354</v>
      </c>
      <c r="LCL1" s="3" t="s">
        <v>8355</v>
      </c>
      <c r="LCM1" s="3" t="s">
        <v>8356</v>
      </c>
      <c r="LCN1" s="3" t="s">
        <v>8357</v>
      </c>
      <c r="LCO1" s="3" t="s">
        <v>8358</v>
      </c>
      <c r="LCP1" s="3" t="s">
        <v>8359</v>
      </c>
      <c r="LCQ1" s="3" t="s">
        <v>8360</v>
      </c>
      <c r="LCR1" s="3" t="s">
        <v>8361</v>
      </c>
      <c r="LCS1" s="3" t="s">
        <v>8362</v>
      </c>
      <c r="LCT1" s="3" t="s">
        <v>8363</v>
      </c>
      <c r="LCU1" s="3" t="s">
        <v>8364</v>
      </c>
      <c r="LCV1" s="3" t="s">
        <v>8365</v>
      </c>
      <c r="LCW1" s="3" t="s">
        <v>8366</v>
      </c>
      <c r="LCX1" s="3" t="s">
        <v>8367</v>
      </c>
      <c r="LCY1" s="3" t="s">
        <v>8368</v>
      </c>
      <c r="LCZ1" s="3" t="s">
        <v>8369</v>
      </c>
      <c r="LDA1" s="3" t="s">
        <v>8370</v>
      </c>
      <c r="LDB1" s="3" t="s">
        <v>8371</v>
      </c>
      <c r="LDC1" s="3" t="s">
        <v>8372</v>
      </c>
      <c r="LDD1" s="3" t="s">
        <v>8373</v>
      </c>
      <c r="LDE1" s="3" t="s">
        <v>8374</v>
      </c>
      <c r="LDF1" s="3" t="s">
        <v>8375</v>
      </c>
      <c r="LDG1" s="3" t="s">
        <v>8376</v>
      </c>
      <c r="LDH1" s="3" t="s">
        <v>8377</v>
      </c>
      <c r="LDI1" s="3" t="s">
        <v>8378</v>
      </c>
      <c r="LDJ1" s="3" t="s">
        <v>8379</v>
      </c>
      <c r="LDK1" s="3" t="s">
        <v>8380</v>
      </c>
      <c r="LDL1" s="3" t="s">
        <v>8381</v>
      </c>
      <c r="LDM1" s="3" t="s">
        <v>8382</v>
      </c>
      <c r="LDN1" s="3" t="s">
        <v>8383</v>
      </c>
      <c r="LDO1" s="3" t="s">
        <v>8384</v>
      </c>
      <c r="LDP1" s="3" t="s">
        <v>8385</v>
      </c>
      <c r="LDQ1" s="3" t="s">
        <v>8386</v>
      </c>
      <c r="LDR1" s="3" t="s">
        <v>8387</v>
      </c>
      <c r="LDS1" s="3" t="s">
        <v>8388</v>
      </c>
      <c r="LDT1" s="3" t="s">
        <v>8389</v>
      </c>
      <c r="LDU1" s="3" t="s">
        <v>8390</v>
      </c>
      <c r="LDV1" s="3" t="s">
        <v>8391</v>
      </c>
      <c r="LDW1" s="3" t="s">
        <v>8392</v>
      </c>
      <c r="LDX1" s="3" t="s">
        <v>8393</v>
      </c>
      <c r="LDY1" s="3" t="s">
        <v>8394</v>
      </c>
      <c r="LDZ1" s="3" t="s">
        <v>8395</v>
      </c>
      <c r="LEA1" s="3" t="s">
        <v>8396</v>
      </c>
      <c r="LEB1" s="3" t="s">
        <v>8397</v>
      </c>
      <c r="LEC1" s="3" t="s">
        <v>8398</v>
      </c>
      <c r="LED1" s="3" t="s">
        <v>8399</v>
      </c>
      <c r="LEE1" s="3" t="s">
        <v>8400</v>
      </c>
      <c r="LEF1" s="3" t="s">
        <v>8401</v>
      </c>
      <c r="LEG1" s="3" t="s">
        <v>8402</v>
      </c>
      <c r="LEH1" s="3" t="s">
        <v>8403</v>
      </c>
      <c r="LEI1" s="3" t="s">
        <v>8404</v>
      </c>
      <c r="LEJ1" s="3" t="s">
        <v>8405</v>
      </c>
      <c r="LEK1" s="3" t="s">
        <v>8406</v>
      </c>
      <c r="LEL1" s="3" t="s">
        <v>8407</v>
      </c>
      <c r="LEM1" s="3" t="s">
        <v>8408</v>
      </c>
      <c r="LEN1" s="3" t="s">
        <v>8409</v>
      </c>
      <c r="LEO1" s="3" t="s">
        <v>8410</v>
      </c>
      <c r="LEP1" s="3" t="s">
        <v>8411</v>
      </c>
      <c r="LEQ1" s="3" t="s">
        <v>8412</v>
      </c>
      <c r="LER1" s="3" t="s">
        <v>8413</v>
      </c>
      <c r="LES1" s="3" t="s">
        <v>8414</v>
      </c>
      <c r="LET1" s="3" t="s">
        <v>8415</v>
      </c>
      <c r="LEU1" s="3" t="s">
        <v>8416</v>
      </c>
      <c r="LEV1" s="3" t="s">
        <v>8417</v>
      </c>
      <c r="LEW1" s="3" t="s">
        <v>8418</v>
      </c>
      <c r="LEX1" s="3" t="s">
        <v>8419</v>
      </c>
      <c r="LEY1" s="3" t="s">
        <v>8420</v>
      </c>
      <c r="LEZ1" s="3" t="s">
        <v>8421</v>
      </c>
      <c r="LFA1" s="3" t="s">
        <v>8422</v>
      </c>
      <c r="LFB1" s="3" t="s">
        <v>8423</v>
      </c>
      <c r="LFC1" s="3" t="s">
        <v>8424</v>
      </c>
      <c r="LFD1" s="3" t="s">
        <v>8425</v>
      </c>
      <c r="LFE1" s="3" t="s">
        <v>8426</v>
      </c>
      <c r="LFF1" s="3" t="s">
        <v>8427</v>
      </c>
      <c r="LFG1" s="3" t="s">
        <v>8428</v>
      </c>
      <c r="LFH1" s="3" t="s">
        <v>8429</v>
      </c>
      <c r="LFI1" s="3" t="s">
        <v>8430</v>
      </c>
      <c r="LFJ1" s="3" t="s">
        <v>8431</v>
      </c>
      <c r="LFK1" s="3" t="s">
        <v>8432</v>
      </c>
      <c r="LFL1" s="3" t="s">
        <v>8433</v>
      </c>
      <c r="LFM1" s="3" t="s">
        <v>8434</v>
      </c>
      <c r="LFN1" s="3" t="s">
        <v>8435</v>
      </c>
      <c r="LFO1" s="3" t="s">
        <v>8436</v>
      </c>
      <c r="LFP1" s="3" t="s">
        <v>8437</v>
      </c>
      <c r="LFQ1" s="3" t="s">
        <v>8438</v>
      </c>
      <c r="LFR1" s="3" t="s">
        <v>8439</v>
      </c>
      <c r="LFS1" s="3" t="s">
        <v>8440</v>
      </c>
      <c r="LFT1" s="3" t="s">
        <v>8441</v>
      </c>
      <c r="LFU1" s="3" t="s">
        <v>8442</v>
      </c>
      <c r="LFV1" s="3" t="s">
        <v>8443</v>
      </c>
      <c r="LFW1" s="3" t="s">
        <v>8444</v>
      </c>
      <c r="LFX1" s="3" t="s">
        <v>8445</v>
      </c>
      <c r="LFY1" s="3" t="s">
        <v>8446</v>
      </c>
      <c r="LFZ1" s="3" t="s">
        <v>8447</v>
      </c>
      <c r="LGA1" s="3" t="s">
        <v>8448</v>
      </c>
      <c r="LGB1" s="3" t="s">
        <v>8449</v>
      </c>
      <c r="LGC1" s="3" t="s">
        <v>8450</v>
      </c>
      <c r="LGD1" s="3" t="s">
        <v>8451</v>
      </c>
      <c r="LGE1" s="3" t="s">
        <v>8452</v>
      </c>
      <c r="LGF1" s="3" t="s">
        <v>8453</v>
      </c>
      <c r="LGG1" s="3" t="s">
        <v>8454</v>
      </c>
      <c r="LGH1" s="3" t="s">
        <v>8455</v>
      </c>
      <c r="LGI1" s="3" t="s">
        <v>8456</v>
      </c>
      <c r="LGJ1" s="3" t="s">
        <v>8457</v>
      </c>
      <c r="LGK1" s="3" t="s">
        <v>8458</v>
      </c>
      <c r="LGL1" s="3" t="s">
        <v>8459</v>
      </c>
      <c r="LGM1" s="3" t="s">
        <v>8460</v>
      </c>
      <c r="LGN1" s="3" t="s">
        <v>8461</v>
      </c>
      <c r="LGO1" s="3" t="s">
        <v>8462</v>
      </c>
      <c r="LGP1" s="3" t="s">
        <v>8463</v>
      </c>
      <c r="LGQ1" s="3" t="s">
        <v>8464</v>
      </c>
      <c r="LGR1" s="3" t="s">
        <v>8465</v>
      </c>
      <c r="LGS1" s="3" t="s">
        <v>8466</v>
      </c>
      <c r="LGT1" s="3" t="s">
        <v>8467</v>
      </c>
      <c r="LGU1" s="3" t="s">
        <v>8468</v>
      </c>
      <c r="LGV1" s="3" t="s">
        <v>8469</v>
      </c>
      <c r="LGW1" s="3" t="s">
        <v>8470</v>
      </c>
      <c r="LGX1" s="3" t="s">
        <v>8471</v>
      </c>
      <c r="LGY1" s="3" t="s">
        <v>8472</v>
      </c>
      <c r="LGZ1" s="3" t="s">
        <v>8473</v>
      </c>
      <c r="LHA1" s="3" t="s">
        <v>8474</v>
      </c>
      <c r="LHB1" s="3" t="s">
        <v>8475</v>
      </c>
      <c r="LHC1" s="3" t="s">
        <v>8476</v>
      </c>
      <c r="LHD1" s="3" t="s">
        <v>8477</v>
      </c>
      <c r="LHE1" s="3" t="s">
        <v>8478</v>
      </c>
      <c r="LHF1" s="3" t="s">
        <v>8479</v>
      </c>
      <c r="LHG1" s="3" t="s">
        <v>8480</v>
      </c>
      <c r="LHH1" s="3" t="s">
        <v>8481</v>
      </c>
      <c r="LHI1" s="3" t="s">
        <v>8482</v>
      </c>
      <c r="LHJ1" s="3" t="s">
        <v>8483</v>
      </c>
      <c r="LHK1" s="3" t="s">
        <v>8484</v>
      </c>
      <c r="LHL1" s="3" t="s">
        <v>8485</v>
      </c>
      <c r="LHM1" s="3" t="s">
        <v>8486</v>
      </c>
      <c r="LHN1" s="3" t="s">
        <v>8487</v>
      </c>
      <c r="LHO1" s="3" t="s">
        <v>8488</v>
      </c>
      <c r="LHP1" s="3" t="s">
        <v>8489</v>
      </c>
      <c r="LHQ1" s="3" t="s">
        <v>8490</v>
      </c>
      <c r="LHR1" s="3" t="s">
        <v>8491</v>
      </c>
      <c r="LHS1" s="3" t="s">
        <v>8492</v>
      </c>
      <c r="LHT1" s="3" t="s">
        <v>8493</v>
      </c>
      <c r="LHU1" s="3" t="s">
        <v>8494</v>
      </c>
      <c r="LHV1" s="3" t="s">
        <v>8495</v>
      </c>
      <c r="LHW1" s="3" t="s">
        <v>8496</v>
      </c>
      <c r="LHX1" s="3" t="s">
        <v>8497</v>
      </c>
      <c r="LHY1" s="3" t="s">
        <v>8498</v>
      </c>
      <c r="LHZ1" s="3" t="s">
        <v>8499</v>
      </c>
      <c r="LIA1" s="3" t="s">
        <v>8500</v>
      </c>
      <c r="LIB1" s="3" t="s">
        <v>8501</v>
      </c>
      <c r="LIC1" s="3" t="s">
        <v>8502</v>
      </c>
      <c r="LID1" s="3" t="s">
        <v>8503</v>
      </c>
      <c r="LIE1" s="3" t="s">
        <v>8504</v>
      </c>
      <c r="LIF1" s="3" t="s">
        <v>8505</v>
      </c>
      <c r="LIG1" s="3" t="s">
        <v>8506</v>
      </c>
      <c r="LIH1" s="3" t="s">
        <v>8507</v>
      </c>
      <c r="LII1" s="3" t="s">
        <v>8508</v>
      </c>
      <c r="LIJ1" s="3" t="s">
        <v>8509</v>
      </c>
      <c r="LIK1" s="3" t="s">
        <v>8510</v>
      </c>
      <c r="LIL1" s="3" t="s">
        <v>8511</v>
      </c>
      <c r="LIM1" s="3" t="s">
        <v>8512</v>
      </c>
      <c r="LIN1" s="3" t="s">
        <v>8513</v>
      </c>
      <c r="LIO1" s="3" t="s">
        <v>8514</v>
      </c>
      <c r="LIP1" s="3" t="s">
        <v>8515</v>
      </c>
      <c r="LIQ1" s="3" t="s">
        <v>8516</v>
      </c>
      <c r="LIR1" s="3" t="s">
        <v>8517</v>
      </c>
      <c r="LIS1" s="3" t="s">
        <v>8518</v>
      </c>
      <c r="LIT1" s="3" t="s">
        <v>8519</v>
      </c>
      <c r="LIU1" s="3" t="s">
        <v>8520</v>
      </c>
      <c r="LIV1" s="3" t="s">
        <v>8521</v>
      </c>
      <c r="LIW1" s="3" t="s">
        <v>8522</v>
      </c>
      <c r="LIX1" s="3" t="s">
        <v>8523</v>
      </c>
      <c r="LIY1" s="3" t="s">
        <v>8524</v>
      </c>
      <c r="LIZ1" s="3" t="s">
        <v>8525</v>
      </c>
      <c r="LJA1" s="3" t="s">
        <v>8526</v>
      </c>
      <c r="LJB1" s="3" t="s">
        <v>8527</v>
      </c>
      <c r="LJC1" s="3" t="s">
        <v>8528</v>
      </c>
      <c r="LJD1" s="3" t="s">
        <v>8529</v>
      </c>
      <c r="LJE1" s="3" t="s">
        <v>8530</v>
      </c>
      <c r="LJF1" s="3" t="s">
        <v>8531</v>
      </c>
      <c r="LJG1" s="3" t="s">
        <v>8532</v>
      </c>
      <c r="LJH1" s="3" t="s">
        <v>8533</v>
      </c>
      <c r="LJI1" s="3" t="s">
        <v>8534</v>
      </c>
      <c r="LJJ1" s="3" t="s">
        <v>8535</v>
      </c>
      <c r="LJK1" s="3" t="s">
        <v>8536</v>
      </c>
      <c r="LJL1" s="3" t="s">
        <v>8537</v>
      </c>
      <c r="LJM1" s="3" t="s">
        <v>8538</v>
      </c>
      <c r="LJN1" s="3" t="s">
        <v>8539</v>
      </c>
      <c r="LJO1" s="3" t="s">
        <v>8540</v>
      </c>
      <c r="LJP1" s="3" t="s">
        <v>8541</v>
      </c>
      <c r="LJQ1" s="3" t="s">
        <v>8542</v>
      </c>
      <c r="LJR1" s="3" t="s">
        <v>8543</v>
      </c>
      <c r="LJS1" s="3" t="s">
        <v>8544</v>
      </c>
      <c r="LJT1" s="3" t="s">
        <v>8545</v>
      </c>
      <c r="LJU1" s="3" t="s">
        <v>8546</v>
      </c>
      <c r="LJV1" s="3" t="s">
        <v>8547</v>
      </c>
      <c r="LJW1" s="3" t="s">
        <v>8548</v>
      </c>
      <c r="LJX1" s="3" t="s">
        <v>8549</v>
      </c>
      <c r="LJY1" s="3" t="s">
        <v>8550</v>
      </c>
      <c r="LJZ1" s="3" t="s">
        <v>8551</v>
      </c>
      <c r="LKA1" s="3" t="s">
        <v>8552</v>
      </c>
      <c r="LKB1" s="3" t="s">
        <v>8553</v>
      </c>
      <c r="LKC1" s="3" t="s">
        <v>8554</v>
      </c>
      <c r="LKD1" s="3" t="s">
        <v>8555</v>
      </c>
      <c r="LKE1" s="3" t="s">
        <v>8556</v>
      </c>
      <c r="LKF1" s="3" t="s">
        <v>8557</v>
      </c>
      <c r="LKG1" s="3" t="s">
        <v>8558</v>
      </c>
      <c r="LKH1" s="3" t="s">
        <v>8559</v>
      </c>
      <c r="LKI1" s="3" t="s">
        <v>8560</v>
      </c>
      <c r="LKJ1" s="3" t="s">
        <v>8561</v>
      </c>
      <c r="LKK1" s="3" t="s">
        <v>8562</v>
      </c>
      <c r="LKL1" s="3" t="s">
        <v>8563</v>
      </c>
      <c r="LKM1" s="3" t="s">
        <v>8564</v>
      </c>
      <c r="LKN1" s="3" t="s">
        <v>8565</v>
      </c>
      <c r="LKO1" s="3" t="s">
        <v>8566</v>
      </c>
      <c r="LKP1" s="3" t="s">
        <v>8567</v>
      </c>
      <c r="LKQ1" s="3" t="s">
        <v>8568</v>
      </c>
      <c r="LKR1" s="3" t="s">
        <v>8569</v>
      </c>
      <c r="LKS1" s="3" t="s">
        <v>8570</v>
      </c>
      <c r="LKT1" s="3" t="s">
        <v>8571</v>
      </c>
      <c r="LKU1" s="3" t="s">
        <v>8572</v>
      </c>
      <c r="LKV1" s="3" t="s">
        <v>8573</v>
      </c>
      <c r="LKW1" s="3" t="s">
        <v>8574</v>
      </c>
      <c r="LKX1" s="3" t="s">
        <v>8575</v>
      </c>
      <c r="LKY1" s="3" t="s">
        <v>8576</v>
      </c>
      <c r="LKZ1" s="3" t="s">
        <v>8577</v>
      </c>
      <c r="LLA1" s="3" t="s">
        <v>8578</v>
      </c>
      <c r="LLB1" s="3" t="s">
        <v>8579</v>
      </c>
      <c r="LLC1" s="3" t="s">
        <v>8580</v>
      </c>
      <c r="LLD1" s="3" t="s">
        <v>8581</v>
      </c>
      <c r="LLE1" s="3" t="s">
        <v>8582</v>
      </c>
      <c r="LLF1" s="3" t="s">
        <v>8583</v>
      </c>
      <c r="LLG1" s="3" t="s">
        <v>8584</v>
      </c>
      <c r="LLH1" s="3" t="s">
        <v>8585</v>
      </c>
      <c r="LLI1" s="3" t="s">
        <v>8586</v>
      </c>
      <c r="LLJ1" s="3" t="s">
        <v>8587</v>
      </c>
      <c r="LLK1" s="3" t="s">
        <v>8588</v>
      </c>
      <c r="LLL1" s="3" t="s">
        <v>8589</v>
      </c>
      <c r="LLM1" s="3" t="s">
        <v>8590</v>
      </c>
      <c r="LLN1" s="3" t="s">
        <v>8591</v>
      </c>
      <c r="LLO1" s="3" t="s">
        <v>8592</v>
      </c>
      <c r="LLP1" s="3" t="s">
        <v>8593</v>
      </c>
      <c r="LLQ1" s="3" t="s">
        <v>8594</v>
      </c>
      <c r="LLR1" s="3" t="s">
        <v>8595</v>
      </c>
      <c r="LLS1" s="3" t="s">
        <v>8596</v>
      </c>
      <c r="LLT1" s="3" t="s">
        <v>8597</v>
      </c>
      <c r="LLU1" s="3" t="s">
        <v>8598</v>
      </c>
      <c r="LLV1" s="3" t="s">
        <v>8599</v>
      </c>
      <c r="LLW1" s="3" t="s">
        <v>8600</v>
      </c>
      <c r="LLX1" s="3" t="s">
        <v>8601</v>
      </c>
      <c r="LLY1" s="3" t="s">
        <v>8602</v>
      </c>
      <c r="LLZ1" s="3" t="s">
        <v>8603</v>
      </c>
      <c r="LMA1" s="3" t="s">
        <v>8604</v>
      </c>
      <c r="LMB1" s="3" t="s">
        <v>8605</v>
      </c>
      <c r="LMC1" s="3" t="s">
        <v>8606</v>
      </c>
      <c r="LMD1" s="3" t="s">
        <v>8607</v>
      </c>
      <c r="LME1" s="3" t="s">
        <v>8608</v>
      </c>
      <c r="LMF1" s="3" t="s">
        <v>8609</v>
      </c>
      <c r="LMG1" s="3" t="s">
        <v>8610</v>
      </c>
      <c r="LMH1" s="3" t="s">
        <v>8611</v>
      </c>
      <c r="LMI1" s="3" t="s">
        <v>8612</v>
      </c>
      <c r="LMJ1" s="3" t="s">
        <v>8613</v>
      </c>
      <c r="LMK1" s="3" t="s">
        <v>8614</v>
      </c>
      <c r="LML1" s="3" t="s">
        <v>8615</v>
      </c>
      <c r="LMM1" s="3" t="s">
        <v>8616</v>
      </c>
      <c r="LMN1" s="3" t="s">
        <v>8617</v>
      </c>
      <c r="LMO1" s="3" t="s">
        <v>8618</v>
      </c>
      <c r="LMP1" s="3" t="s">
        <v>8619</v>
      </c>
      <c r="LMQ1" s="3" t="s">
        <v>8620</v>
      </c>
      <c r="LMR1" s="3" t="s">
        <v>8621</v>
      </c>
      <c r="LMS1" s="3" t="s">
        <v>8622</v>
      </c>
      <c r="LMT1" s="3" t="s">
        <v>8623</v>
      </c>
      <c r="LMU1" s="3" t="s">
        <v>8624</v>
      </c>
      <c r="LMV1" s="3" t="s">
        <v>8625</v>
      </c>
      <c r="LMW1" s="3" t="s">
        <v>8626</v>
      </c>
      <c r="LMX1" s="3" t="s">
        <v>8627</v>
      </c>
      <c r="LMY1" s="3" t="s">
        <v>8628</v>
      </c>
      <c r="LMZ1" s="3" t="s">
        <v>8629</v>
      </c>
      <c r="LNA1" s="3" t="s">
        <v>8630</v>
      </c>
      <c r="LNB1" s="3" t="s">
        <v>8631</v>
      </c>
      <c r="LNC1" s="3" t="s">
        <v>8632</v>
      </c>
      <c r="LND1" s="3" t="s">
        <v>8633</v>
      </c>
      <c r="LNE1" s="3" t="s">
        <v>8634</v>
      </c>
      <c r="LNF1" s="3" t="s">
        <v>8635</v>
      </c>
      <c r="LNG1" s="3" t="s">
        <v>8636</v>
      </c>
      <c r="LNH1" s="3" t="s">
        <v>8637</v>
      </c>
      <c r="LNI1" s="3" t="s">
        <v>8638</v>
      </c>
      <c r="LNJ1" s="3" t="s">
        <v>8639</v>
      </c>
      <c r="LNK1" s="3" t="s">
        <v>8640</v>
      </c>
      <c r="LNL1" s="3" t="s">
        <v>8641</v>
      </c>
      <c r="LNM1" s="3" t="s">
        <v>8642</v>
      </c>
      <c r="LNN1" s="3" t="s">
        <v>8643</v>
      </c>
      <c r="LNO1" s="3" t="s">
        <v>8644</v>
      </c>
      <c r="LNP1" s="3" t="s">
        <v>8645</v>
      </c>
      <c r="LNQ1" s="3" t="s">
        <v>8646</v>
      </c>
      <c r="LNR1" s="3" t="s">
        <v>8647</v>
      </c>
      <c r="LNS1" s="3" t="s">
        <v>8648</v>
      </c>
      <c r="LNT1" s="3" t="s">
        <v>8649</v>
      </c>
      <c r="LNU1" s="3" t="s">
        <v>8650</v>
      </c>
      <c r="LNV1" s="3" t="s">
        <v>8651</v>
      </c>
      <c r="LNW1" s="3" t="s">
        <v>8652</v>
      </c>
      <c r="LNX1" s="3" t="s">
        <v>8653</v>
      </c>
      <c r="LNY1" s="3" t="s">
        <v>8654</v>
      </c>
      <c r="LNZ1" s="3" t="s">
        <v>8655</v>
      </c>
      <c r="LOA1" s="3" t="s">
        <v>8656</v>
      </c>
      <c r="LOB1" s="3" t="s">
        <v>8657</v>
      </c>
      <c r="LOC1" s="3" t="s">
        <v>8658</v>
      </c>
      <c r="LOD1" s="3" t="s">
        <v>8659</v>
      </c>
      <c r="LOE1" s="3" t="s">
        <v>8660</v>
      </c>
      <c r="LOF1" s="3" t="s">
        <v>8661</v>
      </c>
      <c r="LOG1" s="3" t="s">
        <v>8662</v>
      </c>
      <c r="LOH1" s="3" t="s">
        <v>8663</v>
      </c>
      <c r="LOI1" s="3" t="s">
        <v>8664</v>
      </c>
      <c r="LOJ1" s="3" t="s">
        <v>8665</v>
      </c>
      <c r="LOK1" s="3" t="s">
        <v>8666</v>
      </c>
      <c r="LOL1" s="3" t="s">
        <v>8667</v>
      </c>
      <c r="LOM1" s="3" t="s">
        <v>8668</v>
      </c>
      <c r="LON1" s="3" t="s">
        <v>8669</v>
      </c>
      <c r="LOO1" s="3" t="s">
        <v>8670</v>
      </c>
      <c r="LOP1" s="3" t="s">
        <v>8671</v>
      </c>
      <c r="LOQ1" s="3" t="s">
        <v>8672</v>
      </c>
      <c r="LOR1" s="3" t="s">
        <v>8673</v>
      </c>
      <c r="LOS1" s="3" t="s">
        <v>8674</v>
      </c>
      <c r="LOT1" s="3" t="s">
        <v>8675</v>
      </c>
      <c r="LOU1" s="3" t="s">
        <v>8676</v>
      </c>
      <c r="LOV1" s="3" t="s">
        <v>8677</v>
      </c>
      <c r="LOW1" s="3" t="s">
        <v>8678</v>
      </c>
      <c r="LOX1" s="3" t="s">
        <v>8679</v>
      </c>
      <c r="LOY1" s="3" t="s">
        <v>8680</v>
      </c>
      <c r="LOZ1" s="3" t="s">
        <v>8681</v>
      </c>
      <c r="LPA1" s="3" t="s">
        <v>8682</v>
      </c>
      <c r="LPB1" s="3" t="s">
        <v>8683</v>
      </c>
      <c r="LPC1" s="3" t="s">
        <v>8684</v>
      </c>
      <c r="LPD1" s="3" t="s">
        <v>8685</v>
      </c>
      <c r="LPE1" s="3" t="s">
        <v>8686</v>
      </c>
      <c r="LPF1" s="3" t="s">
        <v>8687</v>
      </c>
      <c r="LPG1" s="3" t="s">
        <v>8688</v>
      </c>
      <c r="LPH1" s="3" t="s">
        <v>8689</v>
      </c>
      <c r="LPI1" s="3" t="s">
        <v>8690</v>
      </c>
      <c r="LPJ1" s="3" t="s">
        <v>8691</v>
      </c>
      <c r="LPK1" s="3" t="s">
        <v>8692</v>
      </c>
      <c r="LPL1" s="3" t="s">
        <v>8693</v>
      </c>
      <c r="LPM1" s="3" t="s">
        <v>8694</v>
      </c>
      <c r="LPN1" s="3" t="s">
        <v>8695</v>
      </c>
      <c r="LPO1" s="3" t="s">
        <v>8696</v>
      </c>
      <c r="LPP1" s="3" t="s">
        <v>8697</v>
      </c>
      <c r="LPQ1" s="3" t="s">
        <v>8698</v>
      </c>
      <c r="LPR1" s="3" t="s">
        <v>8699</v>
      </c>
      <c r="LPS1" s="3" t="s">
        <v>8700</v>
      </c>
      <c r="LPT1" s="3" t="s">
        <v>8701</v>
      </c>
      <c r="LPU1" s="3" t="s">
        <v>8702</v>
      </c>
      <c r="LPV1" s="3" t="s">
        <v>8703</v>
      </c>
      <c r="LPW1" s="3" t="s">
        <v>8704</v>
      </c>
      <c r="LPX1" s="3" t="s">
        <v>8705</v>
      </c>
      <c r="LPY1" s="3" t="s">
        <v>8706</v>
      </c>
      <c r="LPZ1" s="3" t="s">
        <v>8707</v>
      </c>
      <c r="LQA1" s="3" t="s">
        <v>8708</v>
      </c>
      <c r="LQB1" s="3" t="s">
        <v>8709</v>
      </c>
      <c r="LQC1" s="3" t="s">
        <v>8710</v>
      </c>
      <c r="LQD1" s="3" t="s">
        <v>8711</v>
      </c>
      <c r="LQE1" s="3" t="s">
        <v>8712</v>
      </c>
      <c r="LQF1" s="3" t="s">
        <v>8713</v>
      </c>
      <c r="LQG1" s="3" t="s">
        <v>8714</v>
      </c>
      <c r="LQH1" s="3" t="s">
        <v>8715</v>
      </c>
      <c r="LQI1" s="3" t="s">
        <v>8716</v>
      </c>
      <c r="LQJ1" s="3" t="s">
        <v>8717</v>
      </c>
      <c r="LQK1" s="3" t="s">
        <v>8718</v>
      </c>
      <c r="LQL1" s="3" t="s">
        <v>8719</v>
      </c>
      <c r="LQM1" s="3" t="s">
        <v>8720</v>
      </c>
      <c r="LQN1" s="3" t="s">
        <v>8721</v>
      </c>
      <c r="LQO1" s="3" t="s">
        <v>8722</v>
      </c>
      <c r="LQP1" s="3" t="s">
        <v>8723</v>
      </c>
      <c r="LQQ1" s="3" t="s">
        <v>8724</v>
      </c>
      <c r="LQR1" s="3" t="s">
        <v>8725</v>
      </c>
      <c r="LQS1" s="3" t="s">
        <v>8726</v>
      </c>
      <c r="LQT1" s="3" t="s">
        <v>8727</v>
      </c>
      <c r="LQU1" s="3" t="s">
        <v>8728</v>
      </c>
      <c r="LQV1" s="3" t="s">
        <v>8729</v>
      </c>
      <c r="LQW1" s="3" t="s">
        <v>8730</v>
      </c>
      <c r="LQX1" s="3" t="s">
        <v>8731</v>
      </c>
      <c r="LQY1" s="3" t="s">
        <v>8732</v>
      </c>
      <c r="LQZ1" s="3" t="s">
        <v>8733</v>
      </c>
      <c r="LRA1" s="3" t="s">
        <v>8734</v>
      </c>
      <c r="LRB1" s="3" t="s">
        <v>8735</v>
      </c>
      <c r="LRC1" s="3" t="s">
        <v>8736</v>
      </c>
      <c r="LRD1" s="3" t="s">
        <v>8737</v>
      </c>
      <c r="LRE1" s="3" t="s">
        <v>8738</v>
      </c>
      <c r="LRF1" s="3" t="s">
        <v>8739</v>
      </c>
      <c r="LRG1" s="3" t="s">
        <v>8740</v>
      </c>
      <c r="LRH1" s="3" t="s">
        <v>8741</v>
      </c>
      <c r="LRI1" s="3" t="s">
        <v>8742</v>
      </c>
      <c r="LRJ1" s="3" t="s">
        <v>8743</v>
      </c>
      <c r="LRK1" s="3" t="s">
        <v>8744</v>
      </c>
      <c r="LRL1" s="3" t="s">
        <v>8745</v>
      </c>
      <c r="LRM1" s="3" t="s">
        <v>8746</v>
      </c>
      <c r="LRN1" s="3" t="s">
        <v>8747</v>
      </c>
      <c r="LRO1" s="3" t="s">
        <v>8748</v>
      </c>
      <c r="LRP1" s="3" t="s">
        <v>8749</v>
      </c>
      <c r="LRQ1" s="3" t="s">
        <v>8750</v>
      </c>
      <c r="LRR1" s="3" t="s">
        <v>8751</v>
      </c>
      <c r="LRS1" s="3" t="s">
        <v>8752</v>
      </c>
      <c r="LRT1" s="3" t="s">
        <v>8753</v>
      </c>
      <c r="LRU1" s="3" t="s">
        <v>8754</v>
      </c>
      <c r="LRV1" s="3" t="s">
        <v>8755</v>
      </c>
      <c r="LRW1" s="3" t="s">
        <v>8756</v>
      </c>
      <c r="LRX1" s="3" t="s">
        <v>8757</v>
      </c>
      <c r="LRY1" s="3" t="s">
        <v>8758</v>
      </c>
      <c r="LRZ1" s="3" t="s">
        <v>8759</v>
      </c>
      <c r="LSA1" s="3" t="s">
        <v>8760</v>
      </c>
      <c r="LSB1" s="3" t="s">
        <v>8761</v>
      </c>
      <c r="LSC1" s="3" t="s">
        <v>8762</v>
      </c>
      <c r="LSD1" s="3" t="s">
        <v>8763</v>
      </c>
      <c r="LSE1" s="3" t="s">
        <v>8764</v>
      </c>
      <c r="LSF1" s="3" t="s">
        <v>8765</v>
      </c>
      <c r="LSG1" s="3" t="s">
        <v>8766</v>
      </c>
      <c r="LSH1" s="3" t="s">
        <v>8767</v>
      </c>
      <c r="LSI1" s="3" t="s">
        <v>8768</v>
      </c>
      <c r="LSJ1" s="3" t="s">
        <v>8769</v>
      </c>
      <c r="LSK1" s="3" t="s">
        <v>8770</v>
      </c>
      <c r="LSL1" s="3" t="s">
        <v>8771</v>
      </c>
      <c r="LSM1" s="3" t="s">
        <v>8772</v>
      </c>
      <c r="LSN1" s="3" t="s">
        <v>8773</v>
      </c>
      <c r="LSO1" s="3" t="s">
        <v>8774</v>
      </c>
      <c r="LSP1" s="3" t="s">
        <v>8775</v>
      </c>
      <c r="LSQ1" s="3" t="s">
        <v>8776</v>
      </c>
      <c r="LSR1" s="3" t="s">
        <v>8777</v>
      </c>
      <c r="LSS1" s="3" t="s">
        <v>8778</v>
      </c>
      <c r="LST1" s="3" t="s">
        <v>8779</v>
      </c>
      <c r="LSU1" s="3" t="s">
        <v>8780</v>
      </c>
      <c r="LSV1" s="3" t="s">
        <v>8781</v>
      </c>
      <c r="LSW1" s="3" t="s">
        <v>8782</v>
      </c>
      <c r="LSX1" s="3" t="s">
        <v>8783</v>
      </c>
      <c r="LSY1" s="3" t="s">
        <v>8784</v>
      </c>
      <c r="LSZ1" s="3" t="s">
        <v>8785</v>
      </c>
      <c r="LTA1" s="3" t="s">
        <v>8786</v>
      </c>
      <c r="LTB1" s="3" t="s">
        <v>8787</v>
      </c>
      <c r="LTC1" s="3" t="s">
        <v>8788</v>
      </c>
      <c r="LTD1" s="3" t="s">
        <v>8789</v>
      </c>
      <c r="LTE1" s="3" t="s">
        <v>8790</v>
      </c>
      <c r="LTF1" s="3" t="s">
        <v>8791</v>
      </c>
      <c r="LTG1" s="3" t="s">
        <v>8792</v>
      </c>
      <c r="LTH1" s="3" t="s">
        <v>8793</v>
      </c>
      <c r="LTI1" s="3" t="s">
        <v>8794</v>
      </c>
      <c r="LTJ1" s="3" t="s">
        <v>8795</v>
      </c>
      <c r="LTK1" s="3" t="s">
        <v>8796</v>
      </c>
      <c r="LTL1" s="3" t="s">
        <v>8797</v>
      </c>
      <c r="LTM1" s="3" t="s">
        <v>8798</v>
      </c>
      <c r="LTN1" s="3" t="s">
        <v>8799</v>
      </c>
      <c r="LTO1" s="3" t="s">
        <v>8800</v>
      </c>
      <c r="LTP1" s="3" t="s">
        <v>8801</v>
      </c>
      <c r="LTQ1" s="3" t="s">
        <v>8802</v>
      </c>
      <c r="LTR1" s="3" t="s">
        <v>8803</v>
      </c>
      <c r="LTS1" s="3" t="s">
        <v>8804</v>
      </c>
      <c r="LTT1" s="3" t="s">
        <v>8805</v>
      </c>
      <c r="LTU1" s="3" t="s">
        <v>8806</v>
      </c>
      <c r="LTV1" s="3" t="s">
        <v>8807</v>
      </c>
      <c r="LTW1" s="3" t="s">
        <v>8808</v>
      </c>
      <c r="LTX1" s="3" t="s">
        <v>8809</v>
      </c>
      <c r="LTY1" s="3" t="s">
        <v>8810</v>
      </c>
      <c r="LTZ1" s="3" t="s">
        <v>8811</v>
      </c>
      <c r="LUA1" s="3" t="s">
        <v>8812</v>
      </c>
      <c r="LUB1" s="3" t="s">
        <v>8813</v>
      </c>
      <c r="LUC1" s="3" t="s">
        <v>8814</v>
      </c>
      <c r="LUD1" s="3" t="s">
        <v>8815</v>
      </c>
      <c r="LUE1" s="3" t="s">
        <v>8816</v>
      </c>
      <c r="LUF1" s="3" t="s">
        <v>8817</v>
      </c>
      <c r="LUG1" s="3" t="s">
        <v>8818</v>
      </c>
      <c r="LUH1" s="3" t="s">
        <v>8819</v>
      </c>
      <c r="LUI1" s="3" t="s">
        <v>8820</v>
      </c>
      <c r="LUJ1" s="3" t="s">
        <v>8821</v>
      </c>
      <c r="LUK1" s="3" t="s">
        <v>8822</v>
      </c>
      <c r="LUL1" s="3" t="s">
        <v>8823</v>
      </c>
      <c r="LUM1" s="3" t="s">
        <v>8824</v>
      </c>
      <c r="LUN1" s="3" t="s">
        <v>8825</v>
      </c>
      <c r="LUO1" s="3" t="s">
        <v>8826</v>
      </c>
      <c r="LUP1" s="3" t="s">
        <v>8827</v>
      </c>
      <c r="LUQ1" s="3" t="s">
        <v>8828</v>
      </c>
      <c r="LUR1" s="3" t="s">
        <v>8829</v>
      </c>
      <c r="LUS1" s="3" t="s">
        <v>8830</v>
      </c>
      <c r="LUT1" s="3" t="s">
        <v>8831</v>
      </c>
      <c r="LUU1" s="3" t="s">
        <v>8832</v>
      </c>
      <c r="LUV1" s="3" t="s">
        <v>8833</v>
      </c>
      <c r="LUW1" s="3" t="s">
        <v>8834</v>
      </c>
      <c r="LUX1" s="3" t="s">
        <v>8835</v>
      </c>
      <c r="LUY1" s="3" t="s">
        <v>8836</v>
      </c>
      <c r="LUZ1" s="3" t="s">
        <v>8837</v>
      </c>
      <c r="LVA1" s="3" t="s">
        <v>8838</v>
      </c>
      <c r="LVB1" s="3" t="s">
        <v>8839</v>
      </c>
      <c r="LVC1" s="3" t="s">
        <v>8840</v>
      </c>
      <c r="LVD1" s="3" t="s">
        <v>8841</v>
      </c>
      <c r="LVE1" s="3" t="s">
        <v>8842</v>
      </c>
      <c r="LVF1" s="3" t="s">
        <v>8843</v>
      </c>
      <c r="LVG1" s="3" t="s">
        <v>8844</v>
      </c>
      <c r="LVH1" s="3" t="s">
        <v>8845</v>
      </c>
      <c r="LVI1" s="3" t="s">
        <v>8846</v>
      </c>
      <c r="LVJ1" s="3" t="s">
        <v>8847</v>
      </c>
      <c r="LVK1" s="3" t="s">
        <v>8848</v>
      </c>
      <c r="LVL1" s="3" t="s">
        <v>8849</v>
      </c>
      <c r="LVM1" s="3" t="s">
        <v>8850</v>
      </c>
      <c r="LVN1" s="3" t="s">
        <v>8851</v>
      </c>
      <c r="LVO1" s="3" t="s">
        <v>8852</v>
      </c>
      <c r="LVP1" s="3" t="s">
        <v>8853</v>
      </c>
      <c r="LVQ1" s="3" t="s">
        <v>8854</v>
      </c>
      <c r="LVR1" s="3" t="s">
        <v>8855</v>
      </c>
      <c r="LVS1" s="3" t="s">
        <v>8856</v>
      </c>
      <c r="LVT1" s="3" t="s">
        <v>8857</v>
      </c>
      <c r="LVU1" s="3" t="s">
        <v>8858</v>
      </c>
      <c r="LVV1" s="3" t="s">
        <v>8859</v>
      </c>
      <c r="LVW1" s="3" t="s">
        <v>8860</v>
      </c>
      <c r="LVX1" s="3" t="s">
        <v>8861</v>
      </c>
      <c r="LVY1" s="3" t="s">
        <v>8862</v>
      </c>
      <c r="LVZ1" s="3" t="s">
        <v>8863</v>
      </c>
      <c r="LWA1" s="3" t="s">
        <v>8864</v>
      </c>
      <c r="LWB1" s="3" t="s">
        <v>8865</v>
      </c>
      <c r="LWC1" s="3" t="s">
        <v>8866</v>
      </c>
      <c r="LWD1" s="3" t="s">
        <v>8867</v>
      </c>
      <c r="LWE1" s="3" t="s">
        <v>8868</v>
      </c>
      <c r="LWF1" s="3" t="s">
        <v>8869</v>
      </c>
      <c r="LWG1" s="3" t="s">
        <v>8870</v>
      </c>
      <c r="LWH1" s="3" t="s">
        <v>8871</v>
      </c>
      <c r="LWI1" s="3" t="s">
        <v>8872</v>
      </c>
      <c r="LWJ1" s="3" t="s">
        <v>8873</v>
      </c>
      <c r="LWK1" s="3" t="s">
        <v>8874</v>
      </c>
      <c r="LWL1" s="3" t="s">
        <v>8875</v>
      </c>
      <c r="LWM1" s="3" t="s">
        <v>8876</v>
      </c>
      <c r="LWN1" s="3" t="s">
        <v>8877</v>
      </c>
      <c r="LWO1" s="3" t="s">
        <v>8878</v>
      </c>
      <c r="LWP1" s="3" t="s">
        <v>8879</v>
      </c>
      <c r="LWQ1" s="3" t="s">
        <v>8880</v>
      </c>
      <c r="LWR1" s="3" t="s">
        <v>8881</v>
      </c>
      <c r="LWS1" s="3" t="s">
        <v>8882</v>
      </c>
      <c r="LWT1" s="3" t="s">
        <v>8883</v>
      </c>
      <c r="LWU1" s="3" t="s">
        <v>8884</v>
      </c>
      <c r="LWV1" s="3" t="s">
        <v>8885</v>
      </c>
      <c r="LWW1" s="3" t="s">
        <v>8886</v>
      </c>
      <c r="LWX1" s="3" t="s">
        <v>8887</v>
      </c>
      <c r="LWY1" s="3" t="s">
        <v>8888</v>
      </c>
      <c r="LWZ1" s="3" t="s">
        <v>8889</v>
      </c>
      <c r="LXA1" s="3" t="s">
        <v>8890</v>
      </c>
      <c r="LXB1" s="3" t="s">
        <v>8891</v>
      </c>
      <c r="LXC1" s="3" t="s">
        <v>8892</v>
      </c>
      <c r="LXD1" s="3" t="s">
        <v>8893</v>
      </c>
      <c r="LXE1" s="3" t="s">
        <v>8894</v>
      </c>
      <c r="LXF1" s="3" t="s">
        <v>8895</v>
      </c>
      <c r="LXG1" s="3" t="s">
        <v>8896</v>
      </c>
      <c r="LXH1" s="3" t="s">
        <v>8897</v>
      </c>
      <c r="LXI1" s="3" t="s">
        <v>8898</v>
      </c>
      <c r="LXJ1" s="3" t="s">
        <v>8899</v>
      </c>
      <c r="LXK1" s="3" t="s">
        <v>8900</v>
      </c>
      <c r="LXL1" s="3" t="s">
        <v>8901</v>
      </c>
      <c r="LXM1" s="3" t="s">
        <v>8902</v>
      </c>
      <c r="LXN1" s="3" t="s">
        <v>8903</v>
      </c>
      <c r="LXO1" s="3" t="s">
        <v>8904</v>
      </c>
      <c r="LXP1" s="3" t="s">
        <v>8905</v>
      </c>
      <c r="LXQ1" s="3" t="s">
        <v>8906</v>
      </c>
      <c r="LXR1" s="3" t="s">
        <v>8907</v>
      </c>
      <c r="LXS1" s="3" t="s">
        <v>8908</v>
      </c>
      <c r="LXT1" s="3" t="s">
        <v>8909</v>
      </c>
      <c r="LXU1" s="3" t="s">
        <v>8910</v>
      </c>
      <c r="LXV1" s="3" t="s">
        <v>8911</v>
      </c>
      <c r="LXW1" s="3" t="s">
        <v>8912</v>
      </c>
      <c r="LXX1" s="3" t="s">
        <v>8913</v>
      </c>
      <c r="LXY1" s="3" t="s">
        <v>8914</v>
      </c>
      <c r="LXZ1" s="3" t="s">
        <v>8915</v>
      </c>
      <c r="LYA1" s="3" t="s">
        <v>8916</v>
      </c>
      <c r="LYB1" s="3" t="s">
        <v>8917</v>
      </c>
      <c r="LYC1" s="3" t="s">
        <v>8918</v>
      </c>
      <c r="LYD1" s="3" t="s">
        <v>8919</v>
      </c>
      <c r="LYE1" s="3" t="s">
        <v>8920</v>
      </c>
      <c r="LYF1" s="3" t="s">
        <v>8921</v>
      </c>
      <c r="LYG1" s="3" t="s">
        <v>8922</v>
      </c>
      <c r="LYH1" s="3" t="s">
        <v>8923</v>
      </c>
      <c r="LYI1" s="3" t="s">
        <v>8924</v>
      </c>
      <c r="LYJ1" s="3" t="s">
        <v>8925</v>
      </c>
      <c r="LYK1" s="3" t="s">
        <v>8926</v>
      </c>
      <c r="LYL1" s="3" t="s">
        <v>8927</v>
      </c>
      <c r="LYM1" s="3" t="s">
        <v>8928</v>
      </c>
      <c r="LYN1" s="3" t="s">
        <v>8929</v>
      </c>
      <c r="LYO1" s="3" t="s">
        <v>8930</v>
      </c>
      <c r="LYP1" s="3" t="s">
        <v>8931</v>
      </c>
      <c r="LYQ1" s="3" t="s">
        <v>8932</v>
      </c>
      <c r="LYR1" s="3" t="s">
        <v>8933</v>
      </c>
      <c r="LYS1" s="3" t="s">
        <v>8934</v>
      </c>
      <c r="LYT1" s="3" t="s">
        <v>8935</v>
      </c>
      <c r="LYU1" s="3" t="s">
        <v>8936</v>
      </c>
      <c r="LYV1" s="3" t="s">
        <v>8937</v>
      </c>
      <c r="LYW1" s="3" t="s">
        <v>8938</v>
      </c>
      <c r="LYX1" s="3" t="s">
        <v>8939</v>
      </c>
      <c r="LYY1" s="3" t="s">
        <v>8940</v>
      </c>
      <c r="LYZ1" s="3" t="s">
        <v>8941</v>
      </c>
      <c r="LZA1" s="3" t="s">
        <v>8942</v>
      </c>
      <c r="LZB1" s="3" t="s">
        <v>8943</v>
      </c>
      <c r="LZC1" s="3" t="s">
        <v>8944</v>
      </c>
      <c r="LZD1" s="3" t="s">
        <v>8945</v>
      </c>
      <c r="LZE1" s="3" t="s">
        <v>8946</v>
      </c>
      <c r="LZF1" s="3" t="s">
        <v>8947</v>
      </c>
      <c r="LZG1" s="3" t="s">
        <v>8948</v>
      </c>
      <c r="LZH1" s="3" t="s">
        <v>8949</v>
      </c>
      <c r="LZI1" s="3" t="s">
        <v>8950</v>
      </c>
      <c r="LZJ1" s="3" t="s">
        <v>8951</v>
      </c>
      <c r="LZK1" s="3" t="s">
        <v>8952</v>
      </c>
      <c r="LZL1" s="3" t="s">
        <v>8953</v>
      </c>
      <c r="LZM1" s="3" t="s">
        <v>8954</v>
      </c>
      <c r="LZN1" s="3" t="s">
        <v>8955</v>
      </c>
      <c r="LZO1" s="3" t="s">
        <v>8956</v>
      </c>
      <c r="LZP1" s="3" t="s">
        <v>8957</v>
      </c>
      <c r="LZQ1" s="3" t="s">
        <v>8958</v>
      </c>
      <c r="LZR1" s="3" t="s">
        <v>8959</v>
      </c>
      <c r="LZS1" s="3" t="s">
        <v>8960</v>
      </c>
      <c r="LZT1" s="3" t="s">
        <v>8961</v>
      </c>
      <c r="LZU1" s="3" t="s">
        <v>8962</v>
      </c>
      <c r="LZV1" s="3" t="s">
        <v>8963</v>
      </c>
      <c r="LZW1" s="3" t="s">
        <v>8964</v>
      </c>
      <c r="LZX1" s="3" t="s">
        <v>8965</v>
      </c>
      <c r="LZY1" s="3" t="s">
        <v>8966</v>
      </c>
      <c r="LZZ1" s="3" t="s">
        <v>8967</v>
      </c>
      <c r="MAA1" s="3" t="s">
        <v>8968</v>
      </c>
      <c r="MAB1" s="3" t="s">
        <v>8969</v>
      </c>
      <c r="MAC1" s="3" t="s">
        <v>8970</v>
      </c>
      <c r="MAD1" s="3" t="s">
        <v>8971</v>
      </c>
      <c r="MAE1" s="3" t="s">
        <v>8972</v>
      </c>
      <c r="MAF1" s="3" t="s">
        <v>8973</v>
      </c>
      <c r="MAG1" s="3" t="s">
        <v>8974</v>
      </c>
      <c r="MAH1" s="3" t="s">
        <v>8975</v>
      </c>
      <c r="MAI1" s="3" t="s">
        <v>8976</v>
      </c>
      <c r="MAJ1" s="3" t="s">
        <v>8977</v>
      </c>
      <c r="MAK1" s="3" t="s">
        <v>8978</v>
      </c>
      <c r="MAL1" s="3" t="s">
        <v>8979</v>
      </c>
      <c r="MAM1" s="3" t="s">
        <v>8980</v>
      </c>
      <c r="MAN1" s="3" t="s">
        <v>8981</v>
      </c>
      <c r="MAO1" s="3" t="s">
        <v>8982</v>
      </c>
      <c r="MAP1" s="3" t="s">
        <v>8983</v>
      </c>
      <c r="MAQ1" s="3" t="s">
        <v>8984</v>
      </c>
      <c r="MAR1" s="3" t="s">
        <v>8985</v>
      </c>
      <c r="MAS1" s="3" t="s">
        <v>8986</v>
      </c>
      <c r="MAT1" s="3" t="s">
        <v>8987</v>
      </c>
      <c r="MAU1" s="3" t="s">
        <v>8988</v>
      </c>
      <c r="MAV1" s="3" t="s">
        <v>8989</v>
      </c>
      <c r="MAW1" s="3" t="s">
        <v>8990</v>
      </c>
      <c r="MAX1" s="3" t="s">
        <v>8991</v>
      </c>
      <c r="MAY1" s="3" t="s">
        <v>8992</v>
      </c>
      <c r="MAZ1" s="3" t="s">
        <v>8993</v>
      </c>
      <c r="MBA1" s="3" t="s">
        <v>8994</v>
      </c>
      <c r="MBB1" s="3" t="s">
        <v>8995</v>
      </c>
      <c r="MBC1" s="3" t="s">
        <v>8996</v>
      </c>
      <c r="MBD1" s="3" t="s">
        <v>8997</v>
      </c>
      <c r="MBE1" s="3" t="s">
        <v>8998</v>
      </c>
      <c r="MBF1" s="3" t="s">
        <v>8999</v>
      </c>
      <c r="MBG1" s="3" t="s">
        <v>9000</v>
      </c>
      <c r="MBH1" s="3" t="s">
        <v>9001</v>
      </c>
      <c r="MBI1" s="3" t="s">
        <v>9002</v>
      </c>
      <c r="MBJ1" s="3" t="s">
        <v>9003</v>
      </c>
      <c r="MBK1" s="3" t="s">
        <v>9004</v>
      </c>
      <c r="MBL1" s="3" t="s">
        <v>9005</v>
      </c>
      <c r="MBM1" s="3" t="s">
        <v>9006</v>
      </c>
      <c r="MBN1" s="3" t="s">
        <v>9007</v>
      </c>
      <c r="MBO1" s="3" t="s">
        <v>9008</v>
      </c>
      <c r="MBP1" s="3" t="s">
        <v>9009</v>
      </c>
      <c r="MBQ1" s="3" t="s">
        <v>9010</v>
      </c>
      <c r="MBR1" s="3" t="s">
        <v>9011</v>
      </c>
      <c r="MBS1" s="3" t="s">
        <v>9012</v>
      </c>
      <c r="MBT1" s="3" t="s">
        <v>9013</v>
      </c>
      <c r="MBU1" s="3" t="s">
        <v>9014</v>
      </c>
      <c r="MBV1" s="3" t="s">
        <v>9015</v>
      </c>
      <c r="MBW1" s="3" t="s">
        <v>9016</v>
      </c>
      <c r="MBX1" s="3" t="s">
        <v>9017</v>
      </c>
      <c r="MBY1" s="3" t="s">
        <v>9018</v>
      </c>
      <c r="MBZ1" s="3" t="s">
        <v>9019</v>
      </c>
      <c r="MCA1" s="3" t="s">
        <v>9020</v>
      </c>
      <c r="MCB1" s="3" t="s">
        <v>9021</v>
      </c>
      <c r="MCC1" s="3" t="s">
        <v>9022</v>
      </c>
      <c r="MCD1" s="3" t="s">
        <v>9023</v>
      </c>
      <c r="MCE1" s="3" t="s">
        <v>9024</v>
      </c>
      <c r="MCF1" s="3" t="s">
        <v>9025</v>
      </c>
      <c r="MCG1" s="3" t="s">
        <v>9026</v>
      </c>
      <c r="MCH1" s="3" t="s">
        <v>9027</v>
      </c>
      <c r="MCI1" s="3" t="s">
        <v>9028</v>
      </c>
      <c r="MCJ1" s="3" t="s">
        <v>9029</v>
      </c>
      <c r="MCK1" s="3" t="s">
        <v>9030</v>
      </c>
      <c r="MCL1" s="3" t="s">
        <v>9031</v>
      </c>
      <c r="MCM1" s="3" t="s">
        <v>9032</v>
      </c>
      <c r="MCN1" s="3" t="s">
        <v>9033</v>
      </c>
      <c r="MCO1" s="3" t="s">
        <v>9034</v>
      </c>
      <c r="MCP1" s="3" t="s">
        <v>9035</v>
      </c>
      <c r="MCQ1" s="3" t="s">
        <v>9036</v>
      </c>
      <c r="MCR1" s="3" t="s">
        <v>9037</v>
      </c>
      <c r="MCS1" s="3" t="s">
        <v>9038</v>
      </c>
      <c r="MCT1" s="3" t="s">
        <v>9039</v>
      </c>
      <c r="MCU1" s="3" t="s">
        <v>9040</v>
      </c>
      <c r="MCV1" s="3" t="s">
        <v>9041</v>
      </c>
      <c r="MCW1" s="3" t="s">
        <v>9042</v>
      </c>
      <c r="MCX1" s="3" t="s">
        <v>9043</v>
      </c>
      <c r="MCY1" s="3" t="s">
        <v>9044</v>
      </c>
      <c r="MCZ1" s="3" t="s">
        <v>9045</v>
      </c>
      <c r="MDA1" s="3" t="s">
        <v>9046</v>
      </c>
      <c r="MDB1" s="3" t="s">
        <v>9047</v>
      </c>
      <c r="MDC1" s="3" t="s">
        <v>9048</v>
      </c>
      <c r="MDD1" s="3" t="s">
        <v>9049</v>
      </c>
      <c r="MDE1" s="3" t="s">
        <v>9050</v>
      </c>
      <c r="MDF1" s="3" t="s">
        <v>9051</v>
      </c>
      <c r="MDG1" s="3" t="s">
        <v>9052</v>
      </c>
      <c r="MDH1" s="3" t="s">
        <v>9053</v>
      </c>
      <c r="MDI1" s="3" t="s">
        <v>9054</v>
      </c>
      <c r="MDJ1" s="3" t="s">
        <v>9055</v>
      </c>
      <c r="MDK1" s="3" t="s">
        <v>9056</v>
      </c>
      <c r="MDL1" s="3" t="s">
        <v>9057</v>
      </c>
      <c r="MDM1" s="3" t="s">
        <v>9058</v>
      </c>
      <c r="MDN1" s="3" t="s">
        <v>9059</v>
      </c>
      <c r="MDO1" s="3" t="s">
        <v>9060</v>
      </c>
      <c r="MDP1" s="3" t="s">
        <v>9061</v>
      </c>
      <c r="MDQ1" s="3" t="s">
        <v>9062</v>
      </c>
      <c r="MDR1" s="3" t="s">
        <v>9063</v>
      </c>
      <c r="MDS1" s="3" t="s">
        <v>9064</v>
      </c>
      <c r="MDT1" s="3" t="s">
        <v>9065</v>
      </c>
      <c r="MDU1" s="3" t="s">
        <v>9066</v>
      </c>
      <c r="MDV1" s="3" t="s">
        <v>9067</v>
      </c>
      <c r="MDW1" s="3" t="s">
        <v>9068</v>
      </c>
      <c r="MDX1" s="3" t="s">
        <v>9069</v>
      </c>
      <c r="MDY1" s="3" t="s">
        <v>9070</v>
      </c>
      <c r="MDZ1" s="3" t="s">
        <v>9071</v>
      </c>
      <c r="MEA1" s="3" t="s">
        <v>9072</v>
      </c>
      <c r="MEB1" s="3" t="s">
        <v>9073</v>
      </c>
      <c r="MEC1" s="3" t="s">
        <v>9074</v>
      </c>
      <c r="MED1" s="3" t="s">
        <v>9075</v>
      </c>
      <c r="MEE1" s="3" t="s">
        <v>9076</v>
      </c>
      <c r="MEF1" s="3" t="s">
        <v>9077</v>
      </c>
      <c r="MEG1" s="3" t="s">
        <v>9078</v>
      </c>
      <c r="MEH1" s="3" t="s">
        <v>9079</v>
      </c>
      <c r="MEI1" s="3" t="s">
        <v>9080</v>
      </c>
      <c r="MEJ1" s="3" t="s">
        <v>9081</v>
      </c>
      <c r="MEK1" s="3" t="s">
        <v>9082</v>
      </c>
      <c r="MEL1" s="3" t="s">
        <v>9083</v>
      </c>
      <c r="MEM1" s="3" t="s">
        <v>9084</v>
      </c>
      <c r="MEN1" s="3" t="s">
        <v>9085</v>
      </c>
      <c r="MEO1" s="3" t="s">
        <v>9086</v>
      </c>
      <c r="MEP1" s="3" t="s">
        <v>9087</v>
      </c>
      <c r="MEQ1" s="3" t="s">
        <v>9088</v>
      </c>
      <c r="MER1" s="3" t="s">
        <v>9089</v>
      </c>
      <c r="MES1" s="3" t="s">
        <v>9090</v>
      </c>
      <c r="MET1" s="3" t="s">
        <v>9091</v>
      </c>
      <c r="MEU1" s="3" t="s">
        <v>9092</v>
      </c>
      <c r="MEV1" s="3" t="s">
        <v>9093</v>
      </c>
      <c r="MEW1" s="3" t="s">
        <v>9094</v>
      </c>
      <c r="MEX1" s="3" t="s">
        <v>9095</v>
      </c>
      <c r="MEY1" s="3" t="s">
        <v>9096</v>
      </c>
      <c r="MEZ1" s="3" t="s">
        <v>9097</v>
      </c>
      <c r="MFA1" s="3" t="s">
        <v>9098</v>
      </c>
      <c r="MFB1" s="3" t="s">
        <v>9099</v>
      </c>
      <c r="MFC1" s="3" t="s">
        <v>9100</v>
      </c>
      <c r="MFD1" s="3" t="s">
        <v>9101</v>
      </c>
      <c r="MFE1" s="3" t="s">
        <v>9102</v>
      </c>
      <c r="MFF1" s="3" t="s">
        <v>9103</v>
      </c>
      <c r="MFG1" s="3" t="s">
        <v>9104</v>
      </c>
      <c r="MFH1" s="3" t="s">
        <v>9105</v>
      </c>
      <c r="MFI1" s="3" t="s">
        <v>9106</v>
      </c>
      <c r="MFJ1" s="3" t="s">
        <v>9107</v>
      </c>
      <c r="MFK1" s="3" t="s">
        <v>9108</v>
      </c>
      <c r="MFL1" s="3" t="s">
        <v>9109</v>
      </c>
      <c r="MFM1" s="3" t="s">
        <v>9110</v>
      </c>
      <c r="MFN1" s="3" t="s">
        <v>9111</v>
      </c>
      <c r="MFO1" s="3" t="s">
        <v>9112</v>
      </c>
      <c r="MFP1" s="3" t="s">
        <v>9113</v>
      </c>
      <c r="MFQ1" s="3" t="s">
        <v>9114</v>
      </c>
      <c r="MFR1" s="3" t="s">
        <v>9115</v>
      </c>
      <c r="MFS1" s="3" t="s">
        <v>9116</v>
      </c>
      <c r="MFT1" s="3" t="s">
        <v>9117</v>
      </c>
      <c r="MFU1" s="3" t="s">
        <v>9118</v>
      </c>
      <c r="MFV1" s="3" t="s">
        <v>9119</v>
      </c>
      <c r="MFW1" s="3" t="s">
        <v>9120</v>
      </c>
      <c r="MFX1" s="3" t="s">
        <v>9121</v>
      </c>
      <c r="MFY1" s="3" t="s">
        <v>9122</v>
      </c>
      <c r="MFZ1" s="3" t="s">
        <v>9123</v>
      </c>
      <c r="MGA1" s="3" t="s">
        <v>9124</v>
      </c>
      <c r="MGB1" s="3" t="s">
        <v>9125</v>
      </c>
      <c r="MGC1" s="3" t="s">
        <v>9126</v>
      </c>
      <c r="MGD1" s="3" t="s">
        <v>9127</v>
      </c>
      <c r="MGE1" s="3" t="s">
        <v>9128</v>
      </c>
      <c r="MGF1" s="3" t="s">
        <v>9129</v>
      </c>
      <c r="MGG1" s="3" t="s">
        <v>9130</v>
      </c>
      <c r="MGH1" s="3" t="s">
        <v>9131</v>
      </c>
      <c r="MGI1" s="3" t="s">
        <v>9132</v>
      </c>
      <c r="MGJ1" s="3" t="s">
        <v>9133</v>
      </c>
      <c r="MGK1" s="3" t="s">
        <v>9134</v>
      </c>
      <c r="MGL1" s="3" t="s">
        <v>9135</v>
      </c>
      <c r="MGM1" s="3" t="s">
        <v>9136</v>
      </c>
      <c r="MGN1" s="3" t="s">
        <v>9137</v>
      </c>
      <c r="MGO1" s="3" t="s">
        <v>9138</v>
      </c>
      <c r="MGP1" s="3" t="s">
        <v>9139</v>
      </c>
      <c r="MGQ1" s="3" t="s">
        <v>9140</v>
      </c>
      <c r="MGR1" s="3" t="s">
        <v>9141</v>
      </c>
      <c r="MGS1" s="3" t="s">
        <v>9142</v>
      </c>
      <c r="MGT1" s="3" t="s">
        <v>9143</v>
      </c>
      <c r="MGU1" s="3" t="s">
        <v>9144</v>
      </c>
      <c r="MGV1" s="3" t="s">
        <v>9145</v>
      </c>
      <c r="MGW1" s="3" t="s">
        <v>9146</v>
      </c>
      <c r="MGX1" s="3" t="s">
        <v>9147</v>
      </c>
      <c r="MGY1" s="3" t="s">
        <v>9148</v>
      </c>
      <c r="MGZ1" s="3" t="s">
        <v>9149</v>
      </c>
      <c r="MHA1" s="3" t="s">
        <v>9150</v>
      </c>
      <c r="MHB1" s="3" t="s">
        <v>9151</v>
      </c>
      <c r="MHC1" s="3" t="s">
        <v>9152</v>
      </c>
      <c r="MHD1" s="3" t="s">
        <v>9153</v>
      </c>
      <c r="MHE1" s="3" t="s">
        <v>9154</v>
      </c>
      <c r="MHF1" s="3" t="s">
        <v>9155</v>
      </c>
      <c r="MHG1" s="3" t="s">
        <v>9156</v>
      </c>
      <c r="MHH1" s="3" t="s">
        <v>9157</v>
      </c>
      <c r="MHI1" s="3" t="s">
        <v>9158</v>
      </c>
      <c r="MHJ1" s="3" t="s">
        <v>9159</v>
      </c>
      <c r="MHK1" s="3" t="s">
        <v>9160</v>
      </c>
      <c r="MHL1" s="3" t="s">
        <v>9161</v>
      </c>
      <c r="MHM1" s="3" t="s">
        <v>9162</v>
      </c>
      <c r="MHN1" s="3" t="s">
        <v>9163</v>
      </c>
      <c r="MHO1" s="3" t="s">
        <v>9164</v>
      </c>
      <c r="MHP1" s="3" t="s">
        <v>9165</v>
      </c>
      <c r="MHQ1" s="3" t="s">
        <v>9166</v>
      </c>
      <c r="MHR1" s="3" t="s">
        <v>9167</v>
      </c>
      <c r="MHS1" s="3" t="s">
        <v>9168</v>
      </c>
      <c r="MHT1" s="3" t="s">
        <v>9169</v>
      </c>
      <c r="MHU1" s="3" t="s">
        <v>9170</v>
      </c>
      <c r="MHV1" s="3" t="s">
        <v>9171</v>
      </c>
      <c r="MHW1" s="3" t="s">
        <v>9172</v>
      </c>
      <c r="MHX1" s="3" t="s">
        <v>9173</v>
      </c>
      <c r="MHY1" s="3" t="s">
        <v>9174</v>
      </c>
      <c r="MHZ1" s="3" t="s">
        <v>9175</v>
      </c>
      <c r="MIA1" s="3" t="s">
        <v>9176</v>
      </c>
      <c r="MIB1" s="3" t="s">
        <v>9177</v>
      </c>
      <c r="MIC1" s="3" t="s">
        <v>9178</v>
      </c>
      <c r="MID1" s="3" t="s">
        <v>9179</v>
      </c>
      <c r="MIE1" s="3" t="s">
        <v>9180</v>
      </c>
      <c r="MIF1" s="3" t="s">
        <v>9181</v>
      </c>
      <c r="MIG1" s="3" t="s">
        <v>9182</v>
      </c>
      <c r="MIH1" s="3" t="s">
        <v>9183</v>
      </c>
      <c r="MII1" s="3" t="s">
        <v>9184</v>
      </c>
      <c r="MIJ1" s="3" t="s">
        <v>9185</v>
      </c>
      <c r="MIK1" s="3" t="s">
        <v>9186</v>
      </c>
      <c r="MIL1" s="3" t="s">
        <v>9187</v>
      </c>
      <c r="MIM1" s="3" t="s">
        <v>9188</v>
      </c>
      <c r="MIN1" s="3" t="s">
        <v>9189</v>
      </c>
      <c r="MIO1" s="3" t="s">
        <v>9190</v>
      </c>
      <c r="MIP1" s="3" t="s">
        <v>9191</v>
      </c>
      <c r="MIQ1" s="3" t="s">
        <v>9192</v>
      </c>
      <c r="MIR1" s="3" t="s">
        <v>9193</v>
      </c>
      <c r="MIS1" s="3" t="s">
        <v>9194</v>
      </c>
      <c r="MIT1" s="3" t="s">
        <v>9195</v>
      </c>
      <c r="MIU1" s="3" t="s">
        <v>9196</v>
      </c>
      <c r="MIV1" s="3" t="s">
        <v>9197</v>
      </c>
      <c r="MIW1" s="3" t="s">
        <v>9198</v>
      </c>
      <c r="MIX1" s="3" t="s">
        <v>9199</v>
      </c>
      <c r="MIY1" s="3" t="s">
        <v>9200</v>
      </c>
      <c r="MIZ1" s="3" t="s">
        <v>9201</v>
      </c>
      <c r="MJA1" s="3" t="s">
        <v>9202</v>
      </c>
      <c r="MJB1" s="3" t="s">
        <v>9203</v>
      </c>
      <c r="MJC1" s="3" t="s">
        <v>9204</v>
      </c>
      <c r="MJD1" s="3" t="s">
        <v>9205</v>
      </c>
      <c r="MJE1" s="3" t="s">
        <v>9206</v>
      </c>
      <c r="MJF1" s="3" t="s">
        <v>9207</v>
      </c>
      <c r="MJG1" s="3" t="s">
        <v>9208</v>
      </c>
      <c r="MJH1" s="3" t="s">
        <v>9209</v>
      </c>
      <c r="MJI1" s="3" t="s">
        <v>9210</v>
      </c>
      <c r="MJJ1" s="3" t="s">
        <v>9211</v>
      </c>
      <c r="MJK1" s="3" t="s">
        <v>9212</v>
      </c>
      <c r="MJL1" s="3" t="s">
        <v>9213</v>
      </c>
      <c r="MJM1" s="3" t="s">
        <v>9214</v>
      </c>
      <c r="MJN1" s="3" t="s">
        <v>9215</v>
      </c>
      <c r="MJO1" s="3" t="s">
        <v>9216</v>
      </c>
      <c r="MJP1" s="3" t="s">
        <v>9217</v>
      </c>
      <c r="MJQ1" s="3" t="s">
        <v>9218</v>
      </c>
      <c r="MJR1" s="3" t="s">
        <v>9219</v>
      </c>
      <c r="MJS1" s="3" t="s">
        <v>9220</v>
      </c>
      <c r="MJT1" s="3" t="s">
        <v>9221</v>
      </c>
      <c r="MJU1" s="3" t="s">
        <v>9222</v>
      </c>
      <c r="MJV1" s="3" t="s">
        <v>9223</v>
      </c>
      <c r="MJW1" s="3" t="s">
        <v>9224</v>
      </c>
      <c r="MJX1" s="3" t="s">
        <v>9225</v>
      </c>
      <c r="MJY1" s="3" t="s">
        <v>9226</v>
      </c>
      <c r="MJZ1" s="3" t="s">
        <v>9227</v>
      </c>
      <c r="MKA1" s="3" t="s">
        <v>9228</v>
      </c>
      <c r="MKB1" s="3" t="s">
        <v>9229</v>
      </c>
      <c r="MKC1" s="3" t="s">
        <v>9230</v>
      </c>
      <c r="MKD1" s="3" t="s">
        <v>9231</v>
      </c>
      <c r="MKE1" s="3" t="s">
        <v>9232</v>
      </c>
      <c r="MKF1" s="3" t="s">
        <v>9233</v>
      </c>
      <c r="MKG1" s="3" t="s">
        <v>9234</v>
      </c>
      <c r="MKH1" s="3" t="s">
        <v>9235</v>
      </c>
      <c r="MKI1" s="3" t="s">
        <v>9236</v>
      </c>
      <c r="MKJ1" s="3" t="s">
        <v>9237</v>
      </c>
      <c r="MKK1" s="3" t="s">
        <v>9238</v>
      </c>
      <c r="MKL1" s="3" t="s">
        <v>9239</v>
      </c>
      <c r="MKM1" s="3" t="s">
        <v>9240</v>
      </c>
      <c r="MKN1" s="3" t="s">
        <v>9241</v>
      </c>
      <c r="MKO1" s="3" t="s">
        <v>9242</v>
      </c>
      <c r="MKP1" s="3" t="s">
        <v>9243</v>
      </c>
      <c r="MKQ1" s="3" t="s">
        <v>9244</v>
      </c>
      <c r="MKR1" s="3" t="s">
        <v>9245</v>
      </c>
      <c r="MKS1" s="3" t="s">
        <v>9246</v>
      </c>
      <c r="MKT1" s="3" t="s">
        <v>9247</v>
      </c>
      <c r="MKU1" s="3" t="s">
        <v>9248</v>
      </c>
      <c r="MKV1" s="3" t="s">
        <v>9249</v>
      </c>
      <c r="MKW1" s="3" t="s">
        <v>9250</v>
      </c>
      <c r="MKX1" s="3" t="s">
        <v>9251</v>
      </c>
      <c r="MKY1" s="3" t="s">
        <v>9252</v>
      </c>
      <c r="MKZ1" s="3" t="s">
        <v>9253</v>
      </c>
      <c r="MLA1" s="3" t="s">
        <v>9254</v>
      </c>
      <c r="MLB1" s="3" t="s">
        <v>9255</v>
      </c>
      <c r="MLC1" s="3" t="s">
        <v>9256</v>
      </c>
      <c r="MLD1" s="3" t="s">
        <v>9257</v>
      </c>
      <c r="MLE1" s="3" t="s">
        <v>9258</v>
      </c>
      <c r="MLF1" s="3" t="s">
        <v>9259</v>
      </c>
      <c r="MLG1" s="3" t="s">
        <v>9260</v>
      </c>
      <c r="MLH1" s="3" t="s">
        <v>9261</v>
      </c>
      <c r="MLI1" s="3" t="s">
        <v>9262</v>
      </c>
      <c r="MLJ1" s="3" t="s">
        <v>9263</v>
      </c>
      <c r="MLK1" s="3" t="s">
        <v>9264</v>
      </c>
      <c r="MLL1" s="3" t="s">
        <v>9265</v>
      </c>
      <c r="MLM1" s="3" t="s">
        <v>9266</v>
      </c>
      <c r="MLN1" s="3" t="s">
        <v>9267</v>
      </c>
      <c r="MLO1" s="3" t="s">
        <v>9268</v>
      </c>
      <c r="MLP1" s="3" t="s">
        <v>9269</v>
      </c>
      <c r="MLQ1" s="3" t="s">
        <v>9270</v>
      </c>
      <c r="MLR1" s="3" t="s">
        <v>9271</v>
      </c>
      <c r="MLS1" s="3" t="s">
        <v>9272</v>
      </c>
      <c r="MLT1" s="3" t="s">
        <v>9273</v>
      </c>
      <c r="MLU1" s="3" t="s">
        <v>9274</v>
      </c>
      <c r="MLV1" s="3" t="s">
        <v>9275</v>
      </c>
      <c r="MLW1" s="3" t="s">
        <v>9276</v>
      </c>
      <c r="MLX1" s="3" t="s">
        <v>9277</v>
      </c>
      <c r="MLY1" s="3" t="s">
        <v>9278</v>
      </c>
      <c r="MLZ1" s="3" t="s">
        <v>9279</v>
      </c>
      <c r="MMA1" s="3" t="s">
        <v>9280</v>
      </c>
      <c r="MMB1" s="3" t="s">
        <v>9281</v>
      </c>
      <c r="MMC1" s="3" t="s">
        <v>9282</v>
      </c>
      <c r="MMD1" s="3" t="s">
        <v>9283</v>
      </c>
      <c r="MME1" s="3" t="s">
        <v>9284</v>
      </c>
      <c r="MMF1" s="3" t="s">
        <v>9285</v>
      </c>
      <c r="MMG1" s="3" t="s">
        <v>9286</v>
      </c>
      <c r="MMH1" s="3" t="s">
        <v>9287</v>
      </c>
      <c r="MMI1" s="3" t="s">
        <v>9288</v>
      </c>
      <c r="MMJ1" s="3" t="s">
        <v>9289</v>
      </c>
      <c r="MMK1" s="3" t="s">
        <v>9290</v>
      </c>
      <c r="MML1" s="3" t="s">
        <v>9291</v>
      </c>
      <c r="MMM1" s="3" t="s">
        <v>9292</v>
      </c>
      <c r="MMN1" s="3" t="s">
        <v>9293</v>
      </c>
      <c r="MMO1" s="3" t="s">
        <v>9294</v>
      </c>
      <c r="MMP1" s="3" t="s">
        <v>9295</v>
      </c>
      <c r="MMQ1" s="3" t="s">
        <v>9296</v>
      </c>
      <c r="MMR1" s="3" t="s">
        <v>9297</v>
      </c>
      <c r="MMS1" s="3" t="s">
        <v>9298</v>
      </c>
      <c r="MMT1" s="3" t="s">
        <v>9299</v>
      </c>
      <c r="MMU1" s="3" t="s">
        <v>9300</v>
      </c>
      <c r="MMV1" s="3" t="s">
        <v>9301</v>
      </c>
      <c r="MMW1" s="3" t="s">
        <v>9302</v>
      </c>
      <c r="MMX1" s="3" t="s">
        <v>9303</v>
      </c>
      <c r="MMY1" s="3" t="s">
        <v>9304</v>
      </c>
      <c r="MMZ1" s="3" t="s">
        <v>9305</v>
      </c>
      <c r="MNA1" s="3" t="s">
        <v>9306</v>
      </c>
      <c r="MNB1" s="3" t="s">
        <v>9307</v>
      </c>
      <c r="MNC1" s="3" t="s">
        <v>9308</v>
      </c>
      <c r="MND1" s="3" t="s">
        <v>9309</v>
      </c>
      <c r="MNE1" s="3" t="s">
        <v>9310</v>
      </c>
      <c r="MNF1" s="3" t="s">
        <v>9311</v>
      </c>
      <c r="MNG1" s="3" t="s">
        <v>9312</v>
      </c>
      <c r="MNH1" s="3" t="s">
        <v>9313</v>
      </c>
      <c r="MNI1" s="3" t="s">
        <v>9314</v>
      </c>
      <c r="MNJ1" s="3" t="s">
        <v>9315</v>
      </c>
      <c r="MNK1" s="3" t="s">
        <v>9316</v>
      </c>
      <c r="MNL1" s="3" t="s">
        <v>9317</v>
      </c>
      <c r="MNM1" s="3" t="s">
        <v>9318</v>
      </c>
      <c r="MNN1" s="3" t="s">
        <v>9319</v>
      </c>
      <c r="MNO1" s="3" t="s">
        <v>9320</v>
      </c>
      <c r="MNP1" s="3" t="s">
        <v>9321</v>
      </c>
      <c r="MNQ1" s="3" t="s">
        <v>9322</v>
      </c>
      <c r="MNR1" s="3" t="s">
        <v>9323</v>
      </c>
      <c r="MNS1" s="3" t="s">
        <v>9324</v>
      </c>
      <c r="MNT1" s="3" t="s">
        <v>9325</v>
      </c>
      <c r="MNU1" s="3" t="s">
        <v>9326</v>
      </c>
      <c r="MNV1" s="3" t="s">
        <v>9327</v>
      </c>
      <c r="MNW1" s="3" t="s">
        <v>9328</v>
      </c>
      <c r="MNX1" s="3" t="s">
        <v>9329</v>
      </c>
      <c r="MNY1" s="3" t="s">
        <v>9330</v>
      </c>
      <c r="MNZ1" s="3" t="s">
        <v>9331</v>
      </c>
      <c r="MOA1" s="3" t="s">
        <v>9332</v>
      </c>
      <c r="MOB1" s="3" t="s">
        <v>9333</v>
      </c>
      <c r="MOC1" s="3" t="s">
        <v>9334</v>
      </c>
      <c r="MOD1" s="3" t="s">
        <v>9335</v>
      </c>
      <c r="MOE1" s="3" t="s">
        <v>9336</v>
      </c>
      <c r="MOF1" s="3" t="s">
        <v>9337</v>
      </c>
      <c r="MOG1" s="3" t="s">
        <v>9338</v>
      </c>
      <c r="MOH1" s="3" t="s">
        <v>9339</v>
      </c>
      <c r="MOI1" s="3" t="s">
        <v>9340</v>
      </c>
      <c r="MOJ1" s="3" t="s">
        <v>9341</v>
      </c>
      <c r="MOK1" s="3" t="s">
        <v>9342</v>
      </c>
      <c r="MOL1" s="3" t="s">
        <v>9343</v>
      </c>
      <c r="MOM1" s="3" t="s">
        <v>9344</v>
      </c>
      <c r="MON1" s="3" t="s">
        <v>9345</v>
      </c>
      <c r="MOO1" s="3" t="s">
        <v>9346</v>
      </c>
      <c r="MOP1" s="3" t="s">
        <v>9347</v>
      </c>
      <c r="MOQ1" s="3" t="s">
        <v>9348</v>
      </c>
      <c r="MOR1" s="3" t="s">
        <v>9349</v>
      </c>
      <c r="MOS1" s="3" t="s">
        <v>9350</v>
      </c>
      <c r="MOT1" s="3" t="s">
        <v>9351</v>
      </c>
      <c r="MOU1" s="3" t="s">
        <v>9352</v>
      </c>
      <c r="MOV1" s="3" t="s">
        <v>9353</v>
      </c>
      <c r="MOW1" s="3" t="s">
        <v>9354</v>
      </c>
      <c r="MOX1" s="3" t="s">
        <v>9355</v>
      </c>
      <c r="MOY1" s="3" t="s">
        <v>9356</v>
      </c>
      <c r="MOZ1" s="3" t="s">
        <v>9357</v>
      </c>
      <c r="MPA1" s="3" t="s">
        <v>9358</v>
      </c>
      <c r="MPB1" s="3" t="s">
        <v>9359</v>
      </c>
      <c r="MPC1" s="3" t="s">
        <v>9360</v>
      </c>
      <c r="MPD1" s="3" t="s">
        <v>9361</v>
      </c>
      <c r="MPE1" s="3" t="s">
        <v>9362</v>
      </c>
      <c r="MPF1" s="3" t="s">
        <v>9363</v>
      </c>
      <c r="MPG1" s="3" t="s">
        <v>9364</v>
      </c>
      <c r="MPH1" s="3" t="s">
        <v>9365</v>
      </c>
      <c r="MPI1" s="3" t="s">
        <v>9366</v>
      </c>
      <c r="MPJ1" s="3" t="s">
        <v>9367</v>
      </c>
      <c r="MPK1" s="3" t="s">
        <v>9368</v>
      </c>
      <c r="MPL1" s="3" t="s">
        <v>9369</v>
      </c>
      <c r="MPM1" s="3" t="s">
        <v>9370</v>
      </c>
      <c r="MPN1" s="3" t="s">
        <v>9371</v>
      </c>
      <c r="MPO1" s="3" t="s">
        <v>9372</v>
      </c>
      <c r="MPP1" s="3" t="s">
        <v>9373</v>
      </c>
      <c r="MPQ1" s="3" t="s">
        <v>9374</v>
      </c>
      <c r="MPR1" s="3" t="s">
        <v>9375</v>
      </c>
      <c r="MPS1" s="3" t="s">
        <v>9376</v>
      </c>
      <c r="MPT1" s="3" t="s">
        <v>9377</v>
      </c>
      <c r="MPU1" s="3" t="s">
        <v>9378</v>
      </c>
      <c r="MPV1" s="3" t="s">
        <v>9379</v>
      </c>
      <c r="MPW1" s="3" t="s">
        <v>9380</v>
      </c>
      <c r="MPX1" s="3" t="s">
        <v>9381</v>
      </c>
      <c r="MPY1" s="3" t="s">
        <v>9382</v>
      </c>
      <c r="MPZ1" s="3" t="s">
        <v>9383</v>
      </c>
      <c r="MQA1" s="3" t="s">
        <v>9384</v>
      </c>
      <c r="MQB1" s="3" t="s">
        <v>9385</v>
      </c>
      <c r="MQC1" s="3" t="s">
        <v>9386</v>
      </c>
      <c r="MQD1" s="3" t="s">
        <v>9387</v>
      </c>
      <c r="MQE1" s="3" t="s">
        <v>9388</v>
      </c>
      <c r="MQF1" s="3" t="s">
        <v>9389</v>
      </c>
      <c r="MQG1" s="3" t="s">
        <v>9390</v>
      </c>
      <c r="MQH1" s="3" t="s">
        <v>9391</v>
      </c>
      <c r="MQI1" s="3" t="s">
        <v>9392</v>
      </c>
      <c r="MQJ1" s="3" t="s">
        <v>9393</v>
      </c>
      <c r="MQK1" s="3" t="s">
        <v>9394</v>
      </c>
      <c r="MQL1" s="3" t="s">
        <v>9395</v>
      </c>
      <c r="MQM1" s="3" t="s">
        <v>9396</v>
      </c>
      <c r="MQN1" s="3" t="s">
        <v>9397</v>
      </c>
      <c r="MQO1" s="3" t="s">
        <v>9398</v>
      </c>
      <c r="MQP1" s="3" t="s">
        <v>9399</v>
      </c>
      <c r="MQQ1" s="3" t="s">
        <v>9400</v>
      </c>
      <c r="MQR1" s="3" t="s">
        <v>9401</v>
      </c>
      <c r="MQS1" s="3" t="s">
        <v>9402</v>
      </c>
      <c r="MQT1" s="3" t="s">
        <v>9403</v>
      </c>
      <c r="MQU1" s="3" t="s">
        <v>9404</v>
      </c>
      <c r="MQV1" s="3" t="s">
        <v>9405</v>
      </c>
      <c r="MQW1" s="3" t="s">
        <v>9406</v>
      </c>
      <c r="MQX1" s="3" t="s">
        <v>9407</v>
      </c>
      <c r="MQY1" s="3" t="s">
        <v>9408</v>
      </c>
      <c r="MQZ1" s="3" t="s">
        <v>9409</v>
      </c>
      <c r="MRA1" s="3" t="s">
        <v>9410</v>
      </c>
      <c r="MRB1" s="3" t="s">
        <v>9411</v>
      </c>
      <c r="MRC1" s="3" t="s">
        <v>9412</v>
      </c>
      <c r="MRD1" s="3" t="s">
        <v>9413</v>
      </c>
      <c r="MRE1" s="3" t="s">
        <v>9414</v>
      </c>
      <c r="MRF1" s="3" t="s">
        <v>9415</v>
      </c>
      <c r="MRG1" s="3" t="s">
        <v>9416</v>
      </c>
      <c r="MRH1" s="3" t="s">
        <v>9417</v>
      </c>
      <c r="MRI1" s="3" t="s">
        <v>9418</v>
      </c>
      <c r="MRJ1" s="3" t="s">
        <v>9419</v>
      </c>
      <c r="MRK1" s="3" t="s">
        <v>9420</v>
      </c>
      <c r="MRL1" s="3" t="s">
        <v>9421</v>
      </c>
      <c r="MRM1" s="3" t="s">
        <v>9422</v>
      </c>
      <c r="MRN1" s="3" t="s">
        <v>9423</v>
      </c>
      <c r="MRO1" s="3" t="s">
        <v>9424</v>
      </c>
      <c r="MRP1" s="3" t="s">
        <v>9425</v>
      </c>
      <c r="MRQ1" s="3" t="s">
        <v>9426</v>
      </c>
      <c r="MRR1" s="3" t="s">
        <v>9427</v>
      </c>
      <c r="MRS1" s="3" t="s">
        <v>9428</v>
      </c>
      <c r="MRT1" s="3" t="s">
        <v>9429</v>
      </c>
      <c r="MRU1" s="3" t="s">
        <v>9430</v>
      </c>
      <c r="MRV1" s="3" t="s">
        <v>9431</v>
      </c>
      <c r="MRW1" s="3" t="s">
        <v>9432</v>
      </c>
      <c r="MRX1" s="3" t="s">
        <v>9433</v>
      </c>
      <c r="MRY1" s="3" t="s">
        <v>9434</v>
      </c>
      <c r="MRZ1" s="3" t="s">
        <v>9435</v>
      </c>
      <c r="MSA1" s="3" t="s">
        <v>9436</v>
      </c>
      <c r="MSB1" s="3" t="s">
        <v>9437</v>
      </c>
      <c r="MSC1" s="3" t="s">
        <v>9438</v>
      </c>
      <c r="MSD1" s="3" t="s">
        <v>9439</v>
      </c>
      <c r="MSE1" s="3" t="s">
        <v>9440</v>
      </c>
      <c r="MSF1" s="3" t="s">
        <v>9441</v>
      </c>
      <c r="MSG1" s="3" t="s">
        <v>9442</v>
      </c>
      <c r="MSH1" s="3" t="s">
        <v>9443</v>
      </c>
      <c r="MSI1" s="3" t="s">
        <v>9444</v>
      </c>
      <c r="MSJ1" s="3" t="s">
        <v>9445</v>
      </c>
      <c r="MSK1" s="3" t="s">
        <v>9446</v>
      </c>
      <c r="MSL1" s="3" t="s">
        <v>9447</v>
      </c>
      <c r="MSM1" s="3" t="s">
        <v>9448</v>
      </c>
      <c r="MSN1" s="3" t="s">
        <v>9449</v>
      </c>
      <c r="MSO1" s="3" t="s">
        <v>9450</v>
      </c>
      <c r="MSP1" s="3" t="s">
        <v>9451</v>
      </c>
      <c r="MSQ1" s="3" t="s">
        <v>9452</v>
      </c>
      <c r="MSR1" s="3" t="s">
        <v>9453</v>
      </c>
      <c r="MSS1" s="3" t="s">
        <v>9454</v>
      </c>
      <c r="MST1" s="3" t="s">
        <v>9455</v>
      </c>
      <c r="MSU1" s="3" t="s">
        <v>9456</v>
      </c>
      <c r="MSV1" s="3" t="s">
        <v>9457</v>
      </c>
      <c r="MSW1" s="3" t="s">
        <v>9458</v>
      </c>
      <c r="MSX1" s="3" t="s">
        <v>9459</v>
      </c>
      <c r="MSY1" s="3" t="s">
        <v>9460</v>
      </c>
      <c r="MSZ1" s="3" t="s">
        <v>9461</v>
      </c>
      <c r="MTA1" s="3" t="s">
        <v>9462</v>
      </c>
      <c r="MTB1" s="3" t="s">
        <v>9463</v>
      </c>
      <c r="MTC1" s="3" t="s">
        <v>9464</v>
      </c>
      <c r="MTD1" s="3" t="s">
        <v>9465</v>
      </c>
      <c r="MTE1" s="3" t="s">
        <v>9466</v>
      </c>
      <c r="MTF1" s="3" t="s">
        <v>9467</v>
      </c>
      <c r="MTG1" s="3" t="s">
        <v>9468</v>
      </c>
      <c r="MTH1" s="3" t="s">
        <v>9469</v>
      </c>
      <c r="MTI1" s="3" t="s">
        <v>9470</v>
      </c>
      <c r="MTJ1" s="3" t="s">
        <v>9471</v>
      </c>
      <c r="MTK1" s="3" t="s">
        <v>9472</v>
      </c>
      <c r="MTL1" s="3" t="s">
        <v>9473</v>
      </c>
      <c r="MTM1" s="3" t="s">
        <v>9474</v>
      </c>
      <c r="MTN1" s="3" t="s">
        <v>9475</v>
      </c>
      <c r="MTO1" s="3" t="s">
        <v>9476</v>
      </c>
      <c r="MTP1" s="3" t="s">
        <v>9477</v>
      </c>
      <c r="MTQ1" s="3" t="s">
        <v>9478</v>
      </c>
      <c r="MTR1" s="3" t="s">
        <v>9479</v>
      </c>
      <c r="MTS1" s="3" t="s">
        <v>9480</v>
      </c>
      <c r="MTT1" s="3" t="s">
        <v>9481</v>
      </c>
      <c r="MTU1" s="3" t="s">
        <v>9482</v>
      </c>
      <c r="MTV1" s="3" t="s">
        <v>9483</v>
      </c>
      <c r="MTW1" s="3" t="s">
        <v>9484</v>
      </c>
      <c r="MTX1" s="3" t="s">
        <v>9485</v>
      </c>
      <c r="MTY1" s="3" t="s">
        <v>9486</v>
      </c>
      <c r="MTZ1" s="3" t="s">
        <v>9487</v>
      </c>
      <c r="MUA1" s="3" t="s">
        <v>9488</v>
      </c>
      <c r="MUB1" s="3" t="s">
        <v>9489</v>
      </c>
      <c r="MUC1" s="3" t="s">
        <v>9490</v>
      </c>
      <c r="MUD1" s="3" t="s">
        <v>9491</v>
      </c>
      <c r="MUE1" s="3" t="s">
        <v>9492</v>
      </c>
      <c r="MUF1" s="3" t="s">
        <v>9493</v>
      </c>
      <c r="MUG1" s="3" t="s">
        <v>9494</v>
      </c>
      <c r="MUH1" s="3" t="s">
        <v>9495</v>
      </c>
      <c r="MUI1" s="3" t="s">
        <v>9496</v>
      </c>
      <c r="MUJ1" s="3" t="s">
        <v>9497</v>
      </c>
      <c r="MUK1" s="3" t="s">
        <v>9498</v>
      </c>
      <c r="MUL1" s="3" t="s">
        <v>9499</v>
      </c>
      <c r="MUM1" s="3" t="s">
        <v>9500</v>
      </c>
      <c r="MUN1" s="3" t="s">
        <v>9501</v>
      </c>
      <c r="MUO1" s="3" t="s">
        <v>9502</v>
      </c>
      <c r="MUP1" s="3" t="s">
        <v>9503</v>
      </c>
      <c r="MUQ1" s="3" t="s">
        <v>9504</v>
      </c>
      <c r="MUR1" s="3" t="s">
        <v>9505</v>
      </c>
      <c r="MUS1" s="3" t="s">
        <v>9506</v>
      </c>
      <c r="MUT1" s="3" t="s">
        <v>9507</v>
      </c>
      <c r="MUU1" s="3" t="s">
        <v>9508</v>
      </c>
      <c r="MUV1" s="3" t="s">
        <v>9509</v>
      </c>
      <c r="MUW1" s="3" t="s">
        <v>9510</v>
      </c>
      <c r="MUX1" s="3" t="s">
        <v>9511</v>
      </c>
      <c r="MUY1" s="3" t="s">
        <v>9512</v>
      </c>
      <c r="MUZ1" s="3" t="s">
        <v>9513</v>
      </c>
      <c r="MVA1" s="3" t="s">
        <v>9514</v>
      </c>
      <c r="MVB1" s="3" t="s">
        <v>9515</v>
      </c>
      <c r="MVC1" s="3" t="s">
        <v>9516</v>
      </c>
      <c r="MVD1" s="3" t="s">
        <v>9517</v>
      </c>
      <c r="MVE1" s="3" t="s">
        <v>9518</v>
      </c>
      <c r="MVF1" s="3" t="s">
        <v>9519</v>
      </c>
      <c r="MVG1" s="3" t="s">
        <v>9520</v>
      </c>
      <c r="MVH1" s="3" t="s">
        <v>9521</v>
      </c>
      <c r="MVI1" s="3" t="s">
        <v>9522</v>
      </c>
      <c r="MVJ1" s="3" t="s">
        <v>9523</v>
      </c>
      <c r="MVK1" s="3" t="s">
        <v>9524</v>
      </c>
      <c r="MVL1" s="3" t="s">
        <v>9525</v>
      </c>
      <c r="MVM1" s="3" t="s">
        <v>9526</v>
      </c>
      <c r="MVN1" s="3" t="s">
        <v>9527</v>
      </c>
      <c r="MVO1" s="3" t="s">
        <v>9528</v>
      </c>
      <c r="MVP1" s="3" t="s">
        <v>9529</v>
      </c>
      <c r="MVQ1" s="3" t="s">
        <v>9530</v>
      </c>
      <c r="MVR1" s="3" t="s">
        <v>9531</v>
      </c>
      <c r="MVS1" s="3" t="s">
        <v>9532</v>
      </c>
      <c r="MVT1" s="3" t="s">
        <v>9533</v>
      </c>
      <c r="MVU1" s="3" t="s">
        <v>9534</v>
      </c>
      <c r="MVV1" s="3" t="s">
        <v>9535</v>
      </c>
      <c r="MVW1" s="3" t="s">
        <v>9536</v>
      </c>
      <c r="MVX1" s="3" t="s">
        <v>9537</v>
      </c>
      <c r="MVY1" s="3" t="s">
        <v>9538</v>
      </c>
      <c r="MVZ1" s="3" t="s">
        <v>9539</v>
      </c>
      <c r="MWA1" s="3" t="s">
        <v>9540</v>
      </c>
      <c r="MWB1" s="3" t="s">
        <v>9541</v>
      </c>
      <c r="MWC1" s="3" t="s">
        <v>9542</v>
      </c>
      <c r="MWD1" s="3" t="s">
        <v>9543</v>
      </c>
      <c r="MWE1" s="3" t="s">
        <v>9544</v>
      </c>
      <c r="MWF1" s="3" t="s">
        <v>9545</v>
      </c>
      <c r="MWG1" s="3" t="s">
        <v>9546</v>
      </c>
      <c r="MWH1" s="3" t="s">
        <v>9547</v>
      </c>
      <c r="MWI1" s="3" t="s">
        <v>9548</v>
      </c>
      <c r="MWJ1" s="3" t="s">
        <v>9549</v>
      </c>
      <c r="MWK1" s="3" t="s">
        <v>9550</v>
      </c>
      <c r="MWL1" s="3" t="s">
        <v>9551</v>
      </c>
      <c r="MWM1" s="3" t="s">
        <v>9552</v>
      </c>
      <c r="MWN1" s="3" t="s">
        <v>9553</v>
      </c>
      <c r="MWO1" s="3" t="s">
        <v>9554</v>
      </c>
      <c r="MWP1" s="3" t="s">
        <v>9555</v>
      </c>
      <c r="MWQ1" s="3" t="s">
        <v>9556</v>
      </c>
      <c r="MWR1" s="3" t="s">
        <v>9557</v>
      </c>
      <c r="MWS1" s="3" t="s">
        <v>9558</v>
      </c>
      <c r="MWT1" s="3" t="s">
        <v>9559</v>
      </c>
      <c r="MWU1" s="3" t="s">
        <v>9560</v>
      </c>
      <c r="MWV1" s="3" t="s">
        <v>9561</v>
      </c>
      <c r="MWW1" s="3" t="s">
        <v>9562</v>
      </c>
      <c r="MWX1" s="3" t="s">
        <v>9563</v>
      </c>
      <c r="MWY1" s="3" t="s">
        <v>9564</v>
      </c>
      <c r="MWZ1" s="3" t="s">
        <v>9565</v>
      </c>
      <c r="MXA1" s="3" t="s">
        <v>9566</v>
      </c>
      <c r="MXB1" s="3" t="s">
        <v>9567</v>
      </c>
      <c r="MXC1" s="3" t="s">
        <v>9568</v>
      </c>
      <c r="MXD1" s="3" t="s">
        <v>9569</v>
      </c>
      <c r="MXE1" s="3" t="s">
        <v>9570</v>
      </c>
      <c r="MXF1" s="3" t="s">
        <v>9571</v>
      </c>
      <c r="MXG1" s="3" t="s">
        <v>9572</v>
      </c>
      <c r="MXH1" s="3" t="s">
        <v>9573</v>
      </c>
      <c r="MXI1" s="3" t="s">
        <v>9574</v>
      </c>
      <c r="MXJ1" s="3" t="s">
        <v>9575</v>
      </c>
      <c r="MXK1" s="3" t="s">
        <v>9576</v>
      </c>
      <c r="MXL1" s="3" t="s">
        <v>9577</v>
      </c>
      <c r="MXM1" s="3" t="s">
        <v>9578</v>
      </c>
      <c r="MXN1" s="3" t="s">
        <v>9579</v>
      </c>
      <c r="MXO1" s="3" t="s">
        <v>9580</v>
      </c>
      <c r="MXP1" s="3" t="s">
        <v>9581</v>
      </c>
      <c r="MXQ1" s="3" t="s">
        <v>9582</v>
      </c>
      <c r="MXR1" s="3" t="s">
        <v>9583</v>
      </c>
      <c r="MXS1" s="3" t="s">
        <v>9584</v>
      </c>
      <c r="MXT1" s="3" t="s">
        <v>9585</v>
      </c>
      <c r="MXU1" s="3" t="s">
        <v>9586</v>
      </c>
      <c r="MXV1" s="3" t="s">
        <v>9587</v>
      </c>
      <c r="MXW1" s="3" t="s">
        <v>9588</v>
      </c>
      <c r="MXX1" s="3" t="s">
        <v>9589</v>
      </c>
      <c r="MXY1" s="3" t="s">
        <v>9590</v>
      </c>
      <c r="MXZ1" s="3" t="s">
        <v>9591</v>
      </c>
      <c r="MYA1" s="3" t="s">
        <v>9592</v>
      </c>
      <c r="MYB1" s="3" t="s">
        <v>9593</v>
      </c>
      <c r="MYC1" s="3" t="s">
        <v>9594</v>
      </c>
      <c r="MYD1" s="3" t="s">
        <v>9595</v>
      </c>
      <c r="MYE1" s="3" t="s">
        <v>9596</v>
      </c>
      <c r="MYF1" s="3" t="s">
        <v>9597</v>
      </c>
      <c r="MYG1" s="3" t="s">
        <v>9598</v>
      </c>
      <c r="MYH1" s="3" t="s">
        <v>9599</v>
      </c>
      <c r="MYI1" s="3" t="s">
        <v>9600</v>
      </c>
      <c r="MYJ1" s="3" t="s">
        <v>9601</v>
      </c>
      <c r="MYK1" s="3" t="s">
        <v>9602</v>
      </c>
      <c r="MYL1" s="3" t="s">
        <v>9603</v>
      </c>
      <c r="MYM1" s="3" t="s">
        <v>9604</v>
      </c>
      <c r="MYN1" s="3" t="s">
        <v>9605</v>
      </c>
      <c r="MYO1" s="3" t="s">
        <v>9606</v>
      </c>
      <c r="MYP1" s="3" t="s">
        <v>9607</v>
      </c>
      <c r="MYQ1" s="3" t="s">
        <v>9608</v>
      </c>
      <c r="MYR1" s="3" t="s">
        <v>9609</v>
      </c>
      <c r="MYS1" s="3" t="s">
        <v>9610</v>
      </c>
      <c r="MYT1" s="3" t="s">
        <v>9611</v>
      </c>
      <c r="MYU1" s="3" t="s">
        <v>9612</v>
      </c>
      <c r="MYV1" s="3" t="s">
        <v>9613</v>
      </c>
      <c r="MYW1" s="3" t="s">
        <v>9614</v>
      </c>
      <c r="MYX1" s="3" t="s">
        <v>9615</v>
      </c>
      <c r="MYY1" s="3" t="s">
        <v>9616</v>
      </c>
      <c r="MYZ1" s="3" t="s">
        <v>9617</v>
      </c>
      <c r="MZA1" s="3" t="s">
        <v>9618</v>
      </c>
      <c r="MZB1" s="3" t="s">
        <v>9619</v>
      </c>
      <c r="MZC1" s="3" t="s">
        <v>9620</v>
      </c>
      <c r="MZD1" s="3" t="s">
        <v>9621</v>
      </c>
      <c r="MZE1" s="3" t="s">
        <v>9622</v>
      </c>
      <c r="MZF1" s="3" t="s">
        <v>9623</v>
      </c>
      <c r="MZG1" s="3" t="s">
        <v>9624</v>
      </c>
      <c r="MZH1" s="3" t="s">
        <v>9625</v>
      </c>
      <c r="MZI1" s="3" t="s">
        <v>9626</v>
      </c>
      <c r="MZJ1" s="3" t="s">
        <v>9627</v>
      </c>
      <c r="MZK1" s="3" t="s">
        <v>9628</v>
      </c>
      <c r="MZL1" s="3" t="s">
        <v>9629</v>
      </c>
      <c r="MZM1" s="3" t="s">
        <v>9630</v>
      </c>
      <c r="MZN1" s="3" t="s">
        <v>9631</v>
      </c>
      <c r="MZO1" s="3" t="s">
        <v>9632</v>
      </c>
      <c r="MZP1" s="3" t="s">
        <v>9633</v>
      </c>
      <c r="MZQ1" s="3" t="s">
        <v>9634</v>
      </c>
      <c r="MZR1" s="3" t="s">
        <v>9635</v>
      </c>
      <c r="MZS1" s="3" t="s">
        <v>9636</v>
      </c>
      <c r="MZT1" s="3" t="s">
        <v>9637</v>
      </c>
      <c r="MZU1" s="3" t="s">
        <v>9638</v>
      </c>
      <c r="MZV1" s="3" t="s">
        <v>9639</v>
      </c>
      <c r="MZW1" s="3" t="s">
        <v>9640</v>
      </c>
      <c r="MZX1" s="3" t="s">
        <v>9641</v>
      </c>
      <c r="MZY1" s="3" t="s">
        <v>9642</v>
      </c>
      <c r="MZZ1" s="3" t="s">
        <v>9643</v>
      </c>
      <c r="NAA1" s="3" t="s">
        <v>9644</v>
      </c>
      <c r="NAB1" s="3" t="s">
        <v>9645</v>
      </c>
      <c r="NAC1" s="3" t="s">
        <v>9646</v>
      </c>
      <c r="NAD1" s="3" t="s">
        <v>9647</v>
      </c>
      <c r="NAE1" s="3" t="s">
        <v>9648</v>
      </c>
      <c r="NAF1" s="3" t="s">
        <v>9649</v>
      </c>
      <c r="NAG1" s="3" t="s">
        <v>9650</v>
      </c>
      <c r="NAH1" s="3" t="s">
        <v>9651</v>
      </c>
      <c r="NAI1" s="3" t="s">
        <v>9652</v>
      </c>
      <c r="NAJ1" s="3" t="s">
        <v>9653</v>
      </c>
      <c r="NAK1" s="3" t="s">
        <v>9654</v>
      </c>
      <c r="NAL1" s="3" t="s">
        <v>9655</v>
      </c>
      <c r="NAM1" s="3" t="s">
        <v>9656</v>
      </c>
      <c r="NAN1" s="3" t="s">
        <v>9657</v>
      </c>
      <c r="NAO1" s="3" t="s">
        <v>9658</v>
      </c>
      <c r="NAP1" s="3" t="s">
        <v>9659</v>
      </c>
      <c r="NAQ1" s="3" t="s">
        <v>9660</v>
      </c>
      <c r="NAR1" s="3" t="s">
        <v>9661</v>
      </c>
      <c r="NAS1" s="3" t="s">
        <v>9662</v>
      </c>
      <c r="NAT1" s="3" t="s">
        <v>9663</v>
      </c>
      <c r="NAU1" s="3" t="s">
        <v>9664</v>
      </c>
      <c r="NAV1" s="3" t="s">
        <v>9665</v>
      </c>
      <c r="NAW1" s="3" t="s">
        <v>9666</v>
      </c>
      <c r="NAX1" s="3" t="s">
        <v>9667</v>
      </c>
      <c r="NAY1" s="3" t="s">
        <v>9668</v>
      </c>
      <c r="NAZ1" s="3" t="s">
        <v>9669</v>
      </c>
      <c r="NBA1" s="3" t="s">
        <v>9670</v>
      </c>
      <c r="NBB1" s="3" t="s">
        <v>9671</v>
      </c>
      <c r="NBC1" s="3" t="s">
        <v>9672</v>
      </c>
      <c r="NBD1" s="3" t="s">
        <v>9673</v>
      </c>
      <c r="NBE1" s="3" t="s">
        <v>9674</v>
      </c>
      <c r="NBF1" s="3" t="s">
        <v>9675</v>
      </c>
      <c r="NBG1" s="3" t="s">
        <v>9676</v>
      </c>
      <c r="NBH1" s="3" t="s">
        <v>9677</v>
      </c>
      <c r="NBI1" s="3" t="s">
        <v>9678</v>
      </c>
      <c r="NBJ1" s="3" t="s">
        <v>9679</v>
      </c>
      <c r="NBK1" s="3" t="s">
        <v>9680</v>
      </c>
      <c r="NBL1" s="3" t="s">
        <v>9681</v>
      </c>
      <c r="NBM1" s="3" t="s">
        <v>9682</v>
      </c>
      <c r="NBN1" s="3" t="s">
        <v>9683</v>
      </c>
      <c r="NBO1" s="3" t="s">
        <v>9684</v>
      </c>
      <c r="NBP1" s="3" t="s">
        <v>9685</v>
      </c>
      <c r="NBQ1" s="3" t="s">
        <v>9686</v>
      </c>
      <c r="NBR1" s="3" t="s">
        <v>9687</v>
      </c>
      <c r="NBS1" s="3" t="s">
        <v>9688</v>
      </c>
      <c r="NBT1" s="3" t="s">
        <v>9689</v>
      </c>
      <c r="NBU1" s="3" t="s">
        <v>9690</v>
      </c>
      <c r="NBV1" s="3" t="s">
        <v>9691</v>
      </c>
      <c r="NBW1" s="3" t="s">
        <v>9692</v>
      </c>
      <c r="NBX1" s="3" t="s">
        <v>9693</v>
      </c>
      <c r="NBY1" s="3" t="s">
        <v>9694</v>
      </c>
      <c r="NBZ1" s="3" t="s">
        <v>9695</v>
      </c>
      <c r="NCA1" s="3" t="s">
        <v>9696</v>
      </c>
      <c r="NCB1" s="3" t="s">
        <v>9697</v>
      </c>
      <c r="NCC1" s="3" t="s">
        <v>9698</v>
      </c>
      <c r="NCD1" s="3" t="s">
        <v>9699</v>
      </c>
      <c r="NCE1" s="3" t="s">
        <v>9700</v>
      </c>
      <c r="NCF1" s="3" t="s">
        <v>9701</v>
      </c>
      <c r="NCG1" s="3" t="s">
        <v>9702</v>
      </c>
      <c r="NCH1" s="3" t="s">
        <v>9703</v>
      </c>
      <c r="NCI1" s="3" t="s">
        <v>9704</v>
      </c>
      <c r="NCJ1" s="3" t="s">
        <v>9705</v>
      </c>
      <c r="NCK1" s="3" t="s">
        <v>9706</v>
      </c>
      <c r="NCL1" s="3" t="s">
        <v>9707</v>
      </c>
      <c r="NCM1" s="3" t="s">
        <v>9708</v>
      </c>
      <c r="NCN1" s="3" t="s">
        <v>9709</v>
      </c>
      <c r="NCO1" s="3" t="s">
        <v>9710</v>
      </c>
      <c r="NCP1" s="3" t="s">
        <v>9711</v>
      </c>
      <c r="NCQ1" s="3" t="s">
        <v>9712</v>
      </c>
      <c r="NCR1" s="3" t="s">
        <v>9713</v>
      </c>
      <c r="NCS1" s="3" t="s">
        <v>9714</v>
      </c>
      <c r="NCT1" s="3" t="s">
        <v>9715</v>
      </c>
      <c r="NCU1" s="3" t="s">
        <v>9716</v>
      </c>
      <c r="NCV1" s="3" t="s">
        <v>9717</v>
      </c>
      <c r="NCW1" s="3" t="s">
        <v>9718</v>
      </c>
      <c r="NCX1" s="3" t="s">
        <v>9719</v>
      </c>
      <c r="NCY1" s="3" t="s">
        <v>9720</v>
      </c>
      <c r="NCZ1" s="3" t="s">
        <v>9721</v>
      </c>
      <c r="NDA1" s="3" t="s">
        <v>9722</v>
      </c>
      <c r="NDB1" s="3" t="s">
        <v>9723</v>
      </c>
      <c r="NDC1" s="3" t="s">
        <v>9724</v>
      </c>
      <c r="NDD1" s="3" t="s">
        <v>9725</v>
      </c>
      <c r="NDE1" s="3" t="s">
        <v>9726</v>
      </c>
      <c r="NDF1" s="3" t="s">
        <v>9727</v>
      </c>
      <c r="NDG1" s="3" t="s">
        <v>9728</v>
      </c>
      <c r="NDH1" s="3" t="s">
        <v>9729</v>
      </c>
      <c r="NDI1" s="3" t="s">
        <v>9730</v>
      </c>
      <c r="NDJ1" s="3" t="s">
        <v>9731</v>
      </c>
      <c r="NDK1" s="3" t="s">
        <v>9732</v>
      </c>
      <c r="NDL1" s="3" t="s">
        <v>9733</v>
      </c>
      <c r="NDM1" s="3" t="s">
        <v>9734</v>
      </c>
      <c r="NDN1" s="3" t="s">
        <v>9735</v>
      </c>
      <c r="NDO1" s="3" t="s">
        <v>9736</v>
      </c>
      <c r="NDP1" s="3" t="s">
        <v>9737</v>
      </c>
      <c r="NDQ1" s="3" t="s">
        <v>9738</v>
      </c>
      <c r="NDR1" s="3" t="s">
        <v>9739</v>
      </c>
      <c r="NDS1" s="3" t="s">
        <v>9740</v>
      </c>
      <c r="NDT1" s="3" t="s">
        <v>9741</v>
      </c>
      <c r="NDU1" s="3" t="s">
        <v>9742</v>
      </c>
      <c r="NDV1" s="3" t="s">
        <v>9743</v>
      </c>
      <c r="NDW1" s="3" t="s">
        <v>9744</v>
      </c>
      <c r="NDX1" s="3" t="s">
        <v>9745</v>
      </c>
      <c r="NDY1" s="3" t="s">
        <v>9746</v>
      </c>
      <c r="NDZ1" s="3" t="s">
        <v>9747</v>
      </c>
      <c r="NEA1" s="3" t="s">
        <v>9748</v>
      </c>
      <c r="NEB1" s="3" t="s">
        <v>9749</v>
      </c>
      <c r="NEC1" s="3" t="s">
        <v>9750</v>
      </c>
      <c r="NED1" s="3" t="s">
        <v>9751</v>
      </c>
      <c r="NEE1" s="3" t="s">
        <v>9752</v>
      </c>
      <c r="NEF1" s="3" t="s">
        <v>9753</v>
      </c>
      <c r="NEG1" s="3" t="s">
        <v>9754</v>
      </c>
      <c r="NEH1" s="3" t="s">
        <v>9755</v>
      </c>
      <c r="NEI1" s="3" t="s">
        <v>9756</v>
      </c>
      <c r="NEJ1" s="3" t="s">
        <v>9757</v>
      </c>
      <c r="NEK1" s="3" t="s">
        <v>9758</v>
      </c>
      <c r="NEL1" s="3" t="s">
        <v>9759</v>
      </c>
      <c r="NEM1" s="3" t="s">
        <v>9760</v>
      </c>
      <c r="NEN1" s="3" t="s">
        <v>9761</v>
      </c>
      <c r="NEO1" s="3" t="s">
        <v>9762</v>
      </c>
      <c r="NEP1" s="3" t="s">
        <v>9763</v>
      </c>
      <c r="NEQ1" s="3" t="s">
        <v>9764</v>
      </c>
      <c r="NER1" s="3" t="s">
        <v>9765</v>
      </c>
      <c r="NES1" s="3" t="s">
        <v>9766</v>
      </c>
      <c r="NET1" s="3" t="s">
        <v>9767</v>
      </c>
      <c r="NEU1" s="3" t="s">
        <v>9768</v>
      </c>
      <c r="NEV1" s="3" t="s">
        <v>9769</v>
      </c>
      <c r="NEW1" s="3" t="s">
        <v>9770</v>
      </c>
      <c r="NEX1" s="3" t="s">
        <v>9771</v>
      </c>
      <c r="NEY1" s="3" t="s">
        <v>9772</v>
      </c>
      <c r="NEZ1" s="3" t="s">
        <v>9773</v>
      </c>
      <c r="NFA1" s="3" t="s">
        <v>9774</v>
      </c>
      <c r="NFB1" s="3" t="s">
        <v>9775</v>
      </c>
      <c r="NFC1" s="3" t="s">
        <v>9776</v>
      </c>
      <c r="NFD1" s="3" t="s">
        <v>9777</v>
      </c>
      <c r="NFE1" s="3" t="s">
        <v>9778</v>
      </c>
      <c r="NFF1" s="3" t="s">
        <v>9779</v>
      </c>
      <c r="NFG1" s="3" t="s">
        <v>9780</v>
      </c>
      <c r="NFH1" s="3" t="s">
        <v>9781</v>
      </c>
      <c r="NFI1" s="3" t="s">
        <v>9782</v>
      </c>
      <c r="NFJ1" s="3" t="s">
        <v>9783</v>
      </c>
      <c r="NFK1" s="3" t="s">
        <v>9784</v>
      </c>
      <c r="NFL1" s="3" t="s">
        <v>9785</v>
      </c>
      <c r="NFM1" s="3" t="s">
        <v>9786</v>
      </c>
      <c r="NFN1" s="3" t="s">
        <v>9787</v>
      </c>
      <c r="NFO1" s="3" t="s">
        <v>9788</v>
      </c>
      <c r="NFP1" s="3" t="s">
        <v>9789</v>
      </c>
      <c r="NFQ1" s="3" t="s">
        <v>9790</v>
      </c>
      <c r="NFR1" s="3" t="s">
        <v>9791</v>
      </c>
      <c r="NFS1" s="3" t="s">
        <v>9792</v>
      </c>
      <c r="NFT1" s="3" t="s">
        <v>9793</v>
      </c>
      <c r="NFU1" s="3" t="s">
        <v>9794</v>
      </c>
      <c r="NFV1" s="3" t="s">
        <v>9795</v>
      </c>
      <c r="NFW1" s="3" t="s">
        <v>9796</v>
      </c>
      <c r="NFX1" s="3" t="s">
        <v>9797</v>
      </c>
      <c r="NFY1" s="3" t="s">
        <v>9798</v>
      </c>
      <c r="NFZ1" s="3" t="s">
        <v>9799</v>
      </c>
      <c r="NGA1" s="3" t="s">
        <v>9800</v>
      </c>
      <c r="NGB1" s="3" t="s">
        <v>9801</v>
      </c>
      <c r="NGC1" s="3" t="s">
        <v>9802</v>
      </c>
      <c r="NGD1" s="3" t="s">
        <v>9803</v>
      </c>
      <c r="NGE1" s="3" t="s">
        <v>9804</v>
      </c>
      <c r="NGF1" s="3" t="s">
        <v>9805</v>
      </c>
      <c r="NGG1" s="3" t="s">
        <v>9806</v>
      </c>
      <c r="NGH1" s="3" t="s">
        <v>9807</v>
      </c>
      <c r="NGI1" s="3" t="s">
        <v>9808</v>
      </c>
      <c r="NGJ1" s="3" t="s">
        <v>9809</v>
      </c>
      <c r="NGK1" s="3" t="s">
        <v>9810</v>
      </c>
      <c r="NGL1" s="3" t="s">
        <v>9811</v>
      </c>
      <c r="NGM1" s="3" t="s">
        <v>9812</v>
      </c>
      <c r="NGN1" s="3" t="s">
        <v>9813</v>
      </c>
      <c r="NGO1" s="3" t="s">
        <v>9814</v>
      </c>
      <c r="NGP1" s="3" t="s">
        <v>9815</v>
      </c>
      <c r="NGQ1" s="3" t="s">
        <v>9816</v>
      </c>
      <c r="NGR1" s="3" t="s">
        <v>9817</v>
      </c>
      <c r="NGS1" s="3" t="s">
        <v>9818</v>
      </c>
      <c r="NGT1" s="3" t="s">
        <v>9819</v>
      </c>
      <c r="NGU1" s="3" t="s">
        <v>9820</v>
      </c>
      <c r="NGV1" s="3" t="s">
        <v>9821</v>
      </c>
      <c r="NGW1" s="3" t="s">
        <v>9822</v>
      </c>
      <c r="NGX1" s="3" t="s">
        <v>9823</v>
      </c>
      <c r="NGY1" s="3" t="s">
        <v>9824</v>
      </c>
      <c r="NGZ1" s="3" t="s">
        <v>9825</v>
      </c>
      <c r="NHA1" s="3" t="s">
        <v>9826</v>
      </c>
      <c r="NHB1" s="3" t="s">
        <v>9827</v>
      </c>
      <c r="NHC1" s="3" t="s">
        <v>9828</v>
      </c>
      <c r="NHD1" s="3" t="s">
        <v>9829</v>
      </c>
      <c r="NHE1" s="3" t="s">
        <v>9830</v>
      </c>
      <c r="NHF1" s="3" t="s">
        <v>9831</v>
      </c>
      <c r="NHG1" s="3" t="s">
        <v>9832</v>
      </c>
      <c r="NHH1" s="3" t="s">
        <v>9833</v>
      </c>
      <c r="NHI1" s="3" t="s">
        <v>9834</v>
      </c>
      <c r="NHJ1" s="3" t="s">
        <v>9835</v>
      </c>
      <c r="NHK1" s="3" t="s">
        <v>9836</v>
      </c>
      <c r="NHL1" s="3" t="s">
        <v>9837</v>
      </c>
      <c r="NHM1" s="3" t="s">
        <v>9838</v>
      </c>
      <c r="NHN1" s="3" t="s">
        <v>9839</v>
      </c>
      <c r="NHO1" s="3" t="s">
        <v>9840</v>
      </c>
      <c r="NHP1" s="3" t="s">
        <v>9841</v>
      </c>
      <c r="NHQ1" s="3" t="s">
        <v>9842</v>
      </c>
      <c r="NHR1" s="3" t="s">
        <v>9843</v>
      </c>
      <c r="NHS1" s="3" t="s">
        <v>9844</v>
      </c>
      <c r="NHT1" s="3" t="s">
        <v>9845</v>
      </c>
      <c r="NHU1" s="3" t="s">
        <v>9846</v>
      </c>
      <c r="NHV1" s="3" t="s">
        <v>9847</v>
      </c>
      <c r="NHW1" s="3" t="s">
        <v>9848</v>
      </c>
      <c r="NHX1" s="3" t="s">
        <v>9849</v>
      </c>
      <c r="NHY1" s="3" t="s">
        <v>9850</v>
      </c>
      <c r="NHZ1" s="3" t="s">
        <v>9851</v>
      </c>
      <c r="NIA1" s="3" t="s">
        <v>9852</v>
      </c>
      <c r="NIB1" s="3" t="s">
        <v>9853</v>
      </c>
      <c r="NIC1" s="3" t="s">
        <v>9854</v>
      </c>
      <c r="NID1" s="3" t="s">
        <v>9855</v>
      </c>
      <c r="NIE1" s="3" t="s">
        <v>9856</v>
      </c>
      <c r="NIF1" s="3" t="s">
        <v>9857</v>
      </c>
      <c r="NIG1" s="3" t="s">
        <v>9858</v>
      </c>
      <c r="NIH1" s="3" t="s">
        <v>9859</v>
      </c>
      <c r="NII1" s="3" t="s">
        <v>9860</v>
      </c>
      <c r="NIJ1" s="3" t="s">
        <v>9861</v>
      </c>
      <c r="NIK1" s="3" t="s">
        <v>9862</v>
      </c>
      <c r="NIL1" s="3" t="s">
        <v>9863</v>
      </c>
      <c r="NIM1" s="3" t="s">
        <v>9864</v>
      </c>
      <c r="NIN1" s="3" t="s">
        <v>9865</v>
      </c>
      <c r="NIO1" s="3" t="s">
        <v>9866</v>
      </c>
      <c r="NIP1" s="3" t="s">
        <v>9867</v>
      </c>
      <c r="NIQ1" s="3" t="s">
        <v>9868</v>
      </c>
      <c r="NIR1" s="3" t="s">
        <v>9869</v>
      </c>
      <c r="NIS1" s="3" t="s">
        <v>9870</v>
      </c>
      <c r="NIT1" s="3" t="s">
        <v>9871</v>
      </c>
      <c r="NIU1" s="3" t="s">
        <v>9872</v>
      </c>
      <c r="NIV1" s="3" t="s">
        <v>9873</v>
      </c>
      <c r="NIW1" s="3" t="s">
        <v>9874</v>
      </c>
      <c r="NIX1" s="3" t="s">
        <v>9875</v>
      </c>
      <c r="NIY1" s="3" t="s">
        <v>9876</v>
      </c>
      <c r="NIZ1" s="3" t="s">
        <v>9877</v>
      </c>
      <c r="NJA1" s="3" t="s">
        <v>9878</v>
      </c>
      <c r="NJB1" s="3" t="s">
        <v>9879</v>
      </c>
      <c r="NJC1" s="3" t="s">
        <v>9880</v>
      </c>
      <c r="NJD1" s="3" t="s">
        <v>9881</v>
      </c>
      <c r="NJE1" s="3" t="s">
        <v>9882</v>
      </c>
      <c r="NJF1" s="3" t="s">
        <v>9883</v>
      </c>
      <c r="NJG1" s="3" t="s">
        <v>9884</v>
      </c>
      <c r="NJH1" s="3" t="s">
        <v>9885</v>
      </c>
      <c r="NJI1" s="3" t="s">
        <v>9886</v>
      </c>
      <c r="NJJ1" s="3" t="s">
        <v>9887</v>
      </c>
      <c r="NJK1" s="3" t="s">
        <v>9888</v>
      </c>
      <c r="NJL1" s="3" t="s">
        <v>9889</v>
      </c>
      <c r="NJM1" s="3" t="s">
        <v>9890</v>
      </c>
      <c r="NJN1" s="3" t="s">
        <v>9891</v>
      </c>
      <c r="NJO1" s="3" t="s">
        <v>9892</v>
      </c>
      <c r="NJP1" s="3" t="s">
        <v>9893</v>
      </c>
      <c r="NJQ1" s="3" t="s">
        <v>9894</v>
      </c>
      <c r="NJR1" s="3" t="s">
        <v>9895</v>
      </c>
      <c r="NJS1" s="3" t="s">
        <v>9896</v>
      </c>
      <c r="NJT1" s="3" t="s">
        <v>9897</v>
      </c>
      <c r="NJU1" s="3" t="s">
        <v>9898</v>
      </c>
      <c r="NJV1" s="3" t="s">
        <v>9899</v>
      </c>
      <c r="NJW1" s="3" t="s">
        <v>9900</v>
      </c>
      <c r="NJX1" s="3" t="s">
        <v>9901</v>
      </c>
      <c r="NJY1" s="3" t="s">
        <v>9902</v>
      </c>
      <c r="NJZ1" s="3" t="s">
        <v>9903</v>
      </c>
      <c r="NKA1" s="3" t="s">
        <v>9904</v>
      </c>
      <c r="NKB1" s="3" t="s">
        <v>9905</v>
      </c>
      <c r="NKC1" s="3" t="s">
        <v>9906</v>
      </c>
      <c r="NKD1" s="3" t="s">
        <v>9907</v>
      </c>
      <c r="NKE1" s="3" t="s">
        <v>9908</v>
      </c>
      <c r="NKF1" s="3" t="s">
        <v>9909</v>
      </c>
      <c r="NKG1" s="3" t="s">
        <v>9910</v>
      </c>
      <c r="NKH1" s="3" t="s">
        <v>9911</v>
      </c>
      <c r="NKI1" s="3" t="s">
        <v>9912</v>
      </c>
      <c r="NKJ1" s="3" t="s">
        <v>9913</v>
      </c>
      <c r="NKK1" s="3" t="s">
        <v>9914</v>
      </c>
      <c r="NKL1" s="3" t="s">
        <v>9915</v>
      </c>
      <c r="NKM1" s="3" t="s">
        <v>9916</v>
      </c>
      <c r="NKN1" s="3" t="s">
        <v>9917</v>
      </c>
      <c r="NKO1" s="3" t="s">
        <v>9918</v>
      </c>
      <c r="NKP1" s="3" t="s">
        <v>9919</v>
      </c>
      <c r="NKQ1" s="3" t="s">
        <v>9920</v>
      </c>
      <c r="NKR1" s="3" t="s">
        <v>9921</v>
      </c>
      <c r="NKS1" s="3" t="s">
        <v>9922</v>
      </c>
      <c r="NKT1" s="3" t="s">
        <v>9923</v>
      </c>
      <c r="NKU1" s="3" t="s">
        <v>9924</v>
      </c>
      <c r="NKV1" s="3" t="s">
        <v>9925</v>
      </c>
      <c r="NKW1" s="3" t="s">
        <v>9926</v>
      </c>
      <c r="NKX1" s="3" t="s">
        <v>9927</v>
      </c>
      <c r="NKY1" s="3" t="s">
        <v>9928</v>
      </c>
      <c r="NKZ1" s="3" t="s">
        <v>9929</v>
      </c>
      <c r="NLA1" s="3" t="s">
        <v>9930</v>
      </c>
      <c r="NLB1" s="3" t="s">
        <v>9931</v>
      </c>
      <c r="NLC1" s="3" t="s">
        <v>9932</v>
      </c>
      <c r="NLD1" s="3" t="s">
        <v>9933</v>
      </c>
      <c r="NLE1" s="3" t="s">
        <v>9934</v>
      </c>
      <c r="NLF1" s="3" t="s">
        <v>9935</v>
      </c>
      <c r="NLG1" s="3" t="s">
        <v>9936</v>
      </c>
      <c r="NLH1" s="3" t="s">
        <v>9937</v>
      </c>
      <c r="NLI1" s="3" t="s">
        <v>9938</v>
      </c>
      <c r="NLJ1" s="3" t="s">
        <v>9939</v>
      </c>
      <c r="NLK1" s="3" t="s">
        <v>9940</v>
      </c>
      <c r="NLL1" s="3" t="s">
        <v>9941</v>
      </c>
      <c r="NLM1" s="3" t="s">
        <v>9942</v>
      </c>
      <c r="NLN1" s="3" t="s">
        <v>9943</v>
      </c>
      <c r="NLO1" s="3" t="s">
        <v>9944</v>
      </c>
      <c r="NLP1" s="3" t="s">
        <v>9945</v>
      </c>
      <c r="NLQ1" s="3" t="s">
        <v>9946</v>
      </c>
      <c r="NLR1" s="3" t="s">
        <v>9947</v>
      </c>
      <c r="NLS1" s="3" t="s">
        <v>9948</v>
      </c>
      <c r="NLT1" s="3" t="s">
        <v>9949</v>
      </c>
      <c r="NLU1" s="3" t="s">
        <v>9950</v>
      </c>
      <c r="NLV1" s="3" t="s">
        <v>9951</v>
      </c>
      <c r="NLW1" s="3" t="s">
        <v>9952</v>
      </c>
      <c r="NLX1" s="3" t="s">
        <v>9953</v>
      </c>
      <c r="NLY1" s="3" t="s">
        <v>9954</v>
      </c>
      <c r="NLZ1" s="3" t="s">
        <v>9955</v>
      </c>
      <c r="NMA1" s="3" t="s">
        <v>9956</v>
      </c>
      <c r="NMB1" s="3" t="s">
        <v>9957</v>
      </c>
      <c r="NMC1" s="3" t="s">
        <v>9958</v>
      </c>
      <c r="NMD1" s="3" t="s">
        <v>9959</v>
      </c>
      <c r="NME1" s="3" t="s">
        <v>9960</v>
      </c>
      <c r="NMF1" s="3" t="s">
        <v>9961</v>
      </c>
      <c r="NMG1" s="3" t="s">
        <v>9962</v>
      </c>
      <c r="NMH1" s="3" t="s">
        <v>9963</v>
      </c>
      <c r="NMI1" s="3" t="s">
        <v>9964</v>
      </c>
      <c r="NMJ1" s="3" t="s">
        <v>9965</v>
      </c>
      <c r="NMK1" s="3" t="s">
        <v>9966</v>
      </c>
      <c r="NML1" s="3" t="s">
        <v>9967</v>
      </c>
      <c r="NMM1" s="3" t="s">
        <v>9968</v>
      </c>
      <c r="NMN1" s="3" t="s">
        <v>9969</v>
      </c>
      <c r="NMO1" s="3" t="s">
        <v>9970</v>
      </c>
      <c r="NMP1" s="3" t="s">
        <v>9971</v>
      </c>
      <c r="NMQ1" s="3" t="s">
        <v>9972</v>
      </c>
      <c r="NMR1" s="3" t="s">
        <v>9973</v>
      </c>
      <c r="NMS1" s="3" t="s">
        <v>9974</v>
      </c>
      <c r="NMT1" s="3" t="s">
        <v>9975</v>
      </c>
      <c r="NMU1" s="3" t="s">
        <v>9976</v>
      </c>
      <c r="NMV1" s="3" t="s">
        <v>9977</v>
      </c>
      <c r="NMW1" s="3" t="s">
        <v>9978</v>
      </c>
      <c r="NMX1" s="3" t="s">
        <v>9979</v>
      </c>
      <c r="NMY1" s="3" t="s">
        <v>9980</v>
      </c>
      <c r="NMZ1" s="3" t="s">
        <v>9981</v>
      </c>
      <c r="NNA1" s="3" t="s">
        <v>9982</v>
      </c>
      <c r="NNB1" s="3" t="s">
        <v>9983</v>
      </c>
      <c r="NNC1" s="3" t="s">
        <v>9984</v>
      </c>
      <c r="NND1" s="3" t="s">
        <v>9985</v>
      </c>
      <c r="NNE1" s="3" t="s">
        <v>9986</v>
      </c>
      <c r="NNF1" s="3" t="s">
        <v>9987</v>
      </c>
      <c r="NNG1" s="3" t="s">
        <v>9988</v>
      </c>
      <c r="NNH1" s="3" t="s">
        <v>9989</v>
      </c>
      <c r="NNI1" s="3" t="s">
        <v>9990</v>
      </c>
      <c r="NNJ1" s="3" t="s">
        <v>9991</v>
      </c>
      <c r="NNK1" s="3" t="s">
        <v>9992</v>
      </c>
      <c r="NNL1" s="3" t="s">
        <v>9993</v>
      </c>
      <c r="NNM1" s="3" t="s">
        <v>9994</v>
      </c>
      <c r="NNN1" s="3" t="s">
        <v>9995</v>
      </c>
      <c r="NNO1" s="3" t="s">
        <v>9996</v>
      </c>
      <c r="NNP1" s="3" t="s">
        <v>9997</v>
      </c>
      <c r="NNQ1" s="3" t="s">
        <v>9998</v>
      </c>
      <c r="NNR1" s="3" t="s">
        <v>9999</v>
      </c>
      <c r="NNS1" s="3" t="s">
        <v>10000</v>
      </c>
      <c r="NNT1" s="3" t="s">
        <v>10001</v>
      </c>
      <c r="NNU1" s="3" t="s">
        <v>10002</v>
      </c>
      <c r="NNV1" s="3" t="s">
        <v>10003</v>
      </c>
      <c r="NNW1" s="3" t="s">
        <v>10004</v>
      </c>
      <c r="NNX1" s="3" t="s">
        <v>10005</v>
      </c>
      <c r="NNY1" s="3" t="s">
        <v>10006</v>
      </c>
      <c r="NNZ1" s="3" t="s">
        <v>10007</v>
      </c>
      <c r="NOA1" s="3" t="s">
        <v>10008</v>
      </c>
      <c r="NOB1" s="3" t="s">
        <v>10009</v>
      </c>
      <c r="NOC1" s="3" t="s">
        <v>10010</v>
      </c>
      <c r="NOD1" s="3" t="s">
        <v>10011</v>
      </c>
      <c r="NOE1" s="3" t="s">
        <v>10012</v>
      </c>
      <c r="NOF1" s="3" t="s">
        <v>10013</v>
      </c>
      <c r="NOG1" s="3" t="s">
        <v>10014</v>
      </c>
      <c r="NOH1" s="3" t="s">
        <v>10015</v>
      </c>
      <c r="NOI1" s="3" t="s">
        <v>10016</v>
      </c>
      <c r="NOJ1" s="3" t="s">
        <v>10017</v>
      </c>
      <c r="NOK1" s="3" t="s">
        <v>10018</v>
      </c>
      <c r="NOL1" s="3" t="s">
        <v>10019</v>
      </c>
      <c r="NOM1" s="3" t="s">
        <v>10020</v>
      </c>
      <c r="NON1" s="3" t="s">
        <v>10021</v>
      </c>
      <c r="NOO1" s="3" t="s">
        <v>10022</v>
      </c>
      <c r="NOP1" s="3" t="s">
        <v>10023</v>
      </c>
      <c r="NOQ1" s="3" t="s">
        <v>10024</v>
      </c>
      <c r="NOR1" s="3" t="s">
        <v>10025</v>
      </c>
      <c r="NOS1" s="3" t="s">
        <v>10026</v>
      </c>
      <c r="NOT1" s="3" t="s">
        <v>10027</v>
      </c>
      <c r="NOU1" s="3" t="s">
        <v>10028</v>
      </c>
      <c r="NOV1" s="3" t="s">
        <v>10029</v>
      </c>
      <c r="NOW1" s="3" t="s">
        <v>10030</v>
      </c>
      <c r="NOX1" s="3" t="s">
        <v>10031</v>
      </c>
      <c r="NOY1" s="3" t="s">
        <v>10032</v>
      </c>
      <c r="NOZ1" s="3" t="s">
        <v>10033</v>
      </c>
      <c r="NPA1" s="3" t="s">
        <v>10034</v>
      </c>
      <c r="NPB1" s="3" t="s">
        <v>10035</v>
      </c>
      <c r="NPC1" s="3" t="s">
        <v>10036</v>
      </c>
      <c r="NPD1" s="3" t="s">
        <v>10037</v>
      </c>
      <c r="NPE1" s="3" t="s">
        <v>10038</v>
      </c>
      <c r="NPF1" s="3" t="s">
        <v>10039</v>
      </c>
      <c r="NPG1" s="3" t="s">
        <v>10040</v>
      </c>
      <c r="NPH1" s="3" t="s">
        <v>10041</v>
      </c>
      <c r="NPI1" s="3" t="s">
        <v>10042</v>
      </c>
      <c r="NPJ1" s="3" t="s">
        <v>10043</v>
      </c>
      <c r="NPK1" s="3" t="s">
        <v>10044</v>
      </c>
      <c r="NPL1" s="3" t="s">
        <v>10045</v>
      </c>
      <c r="NPM1" s="3" t="s">
        <v>10046</v>
      </c>
      <c r="NPN1" s="3" t="s">
        <v>10047</v>
      </c>
      <c r="NPO1" s="3" t="s">
        <v>10048</v>
      </c>
      <c r="NPP1" s="3" t="s">
        <v>10049</v>
      </c>
      <c r="NPQ1" s="3" t="s">
        <v>10050</v>
      </c>
      <c r="NPR1" s="3" t="s">
        <v>10051</v>
      </c>
      <c r="NPS1" s="3" t="s">
        <v>10052</v>
      </c>
      <c r="NPT1" s="3" t="s">
        <v>10053</v>
      </c>
      <c r="NPU1" s="3" t="s">
        <v>10054</v>
      </c>
      <c r="NPV1" s="3" t="s">
        <v>10055</v>
      </c>
      <c r="NPW1" s="3" t="s">
        <v>10056</v>
      </c>
      <c r="NPX1" s="3" t="s">
        <v>10057</v>
      </c>
      <c r="NPY1" s="3" t="s">
        <v>10058</v>
      </c>
      <c r="NPZ1" s="3" t="s">
        <v>10059</v>
      </c>
      <c r="NQA1" s="3" t="s">
        <v>10060</v>
      </c>
      <c r="NQB1" s="3" t="s">
        <v>10061</v>
      </c>
      <c r="NQC1" s="3" t="s">
        <v>10062</v>
      </c>
      <c r="NQD1" s="3" t="s">
        <v>10063</v>
      </c>
      <c r="NQE1" s="3" t="s">
        <v>10064</v>
      </c>
      <c r="NQF1" s="3" t="s">
        <v>10065</v>
      </c>
      <c r="NQG1" s="3" t="s">
        <v>10066</v>
      </c>
      <c r="NQH1" s="3" t="s">
        <v>10067</v>
      </c>
      <c r="NQI1" s="3" t="s">
        <v>10068</v>
      </c>
      <c r="NQJ1" s="3" t="s">
        <v>10069</v>
      </c>
      <c r="NQK1" s="3" t="s">
        <v>10070</v>
      </c>
      <c r="NQL1" s="3" t="s">
        <v>10071</v>
      </c>
      <c r="NQM1" s="3" t="s">
        <v>10072</v>
      </c>
      <c r="NQN1" s="3" t="s">
        <v>10073</v>
      </c>
      <c r="NQO1" s="3" t="s">
        <v>10074</v>
      </c>
      <c r="NQP1" s="3" t="s">
        <v>10075</v>
      </c>
      <c r="NQQ1" s="3" t="s">
        <v>10076</v>
      </c>
      <c r="NQR1" s="3" t="s">
        <v>10077</v>
      </c>
      <c r="NQS1" s="3" t="s">
        <v>10078</v>
      </c>
      <c r="NQT1" s="3" t="s">
        <v>10079</v>
      </c>
      <c r="NQU1" s="3" t="s">
        <v>10080</v>
      </c>
      <c r="NQV1" s="3" t="s">
        <v>10081</v>
      </c>
      <c r="NQW1" s="3" t="s">
        <v>10082</v>
      </c>
      <c r="NQX1" s="3" t="s">
        <v>10083</v>
      </c>
      <c r="NQY1" s="3" t="s">
        <v>10084</v>
      </c>
      <c r="NQZ1" s="3" t="s">
        <v>10085</v>
      </c>
      <c r="NRA1" s="3" t="s">
        <v>10086</v>
      </c>
      <c r="NRB1" s="3" t="s">
        <v>10087</v>
      </c>
      <c r="NRC1" s="3" t="s">
        <v>10088</v>
      </c>
      <c r="NRD1" s="3" t="s">
        <v>10089</v>
      </c>
      <c r="NRE1" s="3" t="s">
        <v>10090</v>
      </c>
      <c r="NRF1" s="3" t="s">
        <v>10091</v>
      </c>
      <c r="NRG1" s="3" t="s">
        <v>10092</v>
      </c>
      <c r="NRH1" s="3" t="s">
        <v>10093</v>
      </c>
      <c r="NRI1" s="3" t="s">
        <v>10094</v>
      </c>
      <c r="NRJ1" s="3" t="s">
        <v>10095</v>
      </c>
      <c r="NRK1" s="3" t="s">
        <v>10096</v>
      </c>
      <c r="NRL1" s="3" t="s">
        <v>10097</v>
      </c>
      <c r="NRM1" s="3" t="s">
        <v>10098</v>
      </c>
      <c r="NRN1" s="3" t="s">
        <v>10099</v>
      </c>
      <c r="NRO1" s="3" t="s">
        <v>10100</v>
      </c>
      <c r="NRP1" s="3" t="s">
        <v>10101</v>
      </c>
      <c r="NRQ1" s="3" t="s">
        <v>10102</v>
      </c>
      <c r="NRR1" s="3" t="s">
        <v>10103</v>
      </c>
      <c r="NRS1" s="3" t="s">
        <v>10104</v>
      </c>
      <c r="NRT1" s="3" t="s">
        <v>10105</v>
      </c>
      <c r="NRU1" s="3" t="s">
        <v>10106</v>
      </c>
      <c r="NRV1" s="3" t="s">
        <v>10107</v>
      </c>
      <c r="NRW1" s="3" t="s">
        <v>10108</v>
      </c>
      <c r="NRX1" s="3" t="s">
        <v>10109</v>
      </c>
      <c r="NRY1" s="3" t="s">
        <v>10110</v>
      </c>
      <c r="NRZ1" s="3" t="s">
        <v>10111</v>
      </c>
      <c r="NSA1" s="3" t="s">
        <v>10112</v>
      </c>
      <c r="NSB1" s="3" t="s">
        <v>10113</v>
      </c>
      <c r="NSC1" s="3" t="s">
        <v>10114</v>
      </c>
      <c r="NSD1" s="3" t="s">
        <v>10115</v>
      </c>
      <c r="NSE1" s="3" t="s">
        <v>10116</v>
      </c>
      <c r="NSF1" s="3" t="s">
        <v>10117</v>
      </c>
      <c r="NSG1" s="3" t="s">
        <v>10118</v>
      </c>
      <c r="NSH1" s="3" t="s">
        <v>10119</v>
      </c>
      <c r="NSI1" s="3" t="s">
        <v>10120</v>
      </c>
      <c r="NSJ1" s="3" t="s">
        <v>10121</v>
      </c>
      <c r="NSK1" s="3" t="s">
        <v>10122</v>
      </c>
      <c r="NSL1" s="3" t="s">
        <v>10123</v>
      </c>
      <c r="NSM1" s="3" t="s">
        <v>10124</v>
      </c>
      <c r="NSN1" s="3" t="s">
        <v>10125</v>
      </c>
      <c r="NSO1" s="3" t="s">
        <v>10126</v>
      </c>
      <c r="NSP1" s="3" t="s">
        <v>10127</v>
      </c>
      <c r="NSQ1" s="3" t="s">
        <v>10128</v>
      </c>
      <c r="NSR1" s="3" t="s">
        <v>10129</v>
      </c>
      <c r="NSS1" s="3" t="s">
        <v>10130</v>
      </c>
      <c r="NST1" s="3" t="s">
        <v>10131</v>
      </c>
      <c r="NSU1" s="3" t="s">
        <v>10132</v>
      </c>
      <c r="NSV1" s="3" t="s">
        <v>10133</v>
      </c>
      <c r="NSW1" s="3" t="s">
        <v>10134</v>
      </c>
      <c r="NSX1" s="3" t="s">
        <v>10135</v>
      </c>
      <c r="NSY1" s="3" t="s">
        <v>10136</v>
      </c>
      <c r="NSZ1" s="3" t="s">
        <v>10137</v>
      </c>
      <c r="NTA1" s="3" t="s">
        <v>10138</v>
      </c>
      <c r="NTB1" s="3" t="s">
        <v>10139</v>
      </c>
      <c r="NTC1" s="3" t="s">
        <v>10140</v>
      </c>
      <c r="NTD1" s="3" t="s">
        <v>10141</v>
      </c>
      <c r="NTE1" s="3" t="s">
        <v>10142</v>
      </c>
      <c r="NTF1" s="3" t="s">
        <v>10143</v>
      </c>
      <c r="NTG1" s="3" t="s">
        <v>10144</v>
      </c>
      <c r="NTH1" s="3" t="s">
        <v>10145</v>
      </c>
      <c r="NTI1" s="3" t="s">
        <v>10146</v>
      </c>
      <c r="NTJ1" s="3" t="s">
        <v>10147</v>
      </c>
      <c r="NTK1" s="3" t="s">
        <v>10148</v>
      </c>
      <c r="NTL1" s="3" t="s">
        <v>10149</v>
      </c>
      <c r="NTM1" s="3" t="s">
        <v>10150</v>
      </c>
      <c r="NTN1" s="3" t="s">
        <v>10151</v>
      </c>
      <c r="NTO1" s="3" t="s">
        <v>10152</v>
      </c>
      <c r="NTP1" s="3" t="s">
        <v>10153</v>
      </c>
      <c r="NTQ1" s="3" t="s">
        <v>10154</v>
      </c>
      <c r="NTR1" s="3" t="s">
        <v>10155</v>
      </c>
      <c r="NTS1" s="3" t="s">
        <v>10156</v>
      </c>
      <c r="NTT1" s="3" t="s">
        <v>10157</v>
      </c>
      <c r="NTU1" s="3" t="s">
        <v>10158</v>
      </c>
      <c r="NTV1" s="3" t="s">
        <v>10159</v>
      </c>
      <c r="NTW1" s="3" t="s">
        <v>10160</v>
      </c>
      <c r="NTX1" s="3" t="s">
        <v>10161</v>
      </c>
      <c r="NTY1" s="3" t="s">
        <v>10162</v>
      </c>
      <c r="NTZ1" s="3" t="s">
        <v>10163</v>
      </c>
      <c r="NUA1" s="3" t="s">
        <v>10164</v>
      </c>
      <c r="NUB1" s="3" t="s">
        <v>10165</v>
      </c>
      <c r="NUC1" s="3" t="s">
        <v>10166</v>
      </c>
      <c r="NUD1" s="3" t="s">
        <v>10167</v>
      </c>
      <c r="NUE1" s="3" t="s">
        <v>10168</v>
      </c>
      <c r="NUF1" s="3" t="s">
        <v>10169</v>
      </c>
      <c r="NUG1" s="3" t="s">
        <v>10170</v>
      </c>
      <c r="NUH1" s="3" t="s">
        <v>10171</v>
      </c>
      <c r="NUI1" s="3" t="s">
        <v>10172</v>
      </c>
      <c r="NUJ1" s="3" t="s">
        <v>10173</v>
      </c>
      <c r="NUK1" s="3" t="s">
        <v>10174</v>
      </c>
      <c r="NUL1" s="3" t="s">
        <v>10175</v>
      </c>
      <c r="NUM1" s="3" t="s">
        <v>10176</v>
      </c>
      <c r="NUN1" s="3" t="s">
        <v>10177</v>
      </c>
      <c r="NUO1" s="3" t="s">
        <v>10178</v>
      </c>
      <c r="NUP1" s="3" t="s">
        <v>10179</v>
      </c>
      <c r="NUQ1" s="3" t="s">
        <v>10180</v>
      </c>
      <c r="NUR1" s="3" t="s">
        <v>10181</v>
      </c>
      <c r="NUS1" s="3" t="s">
        <v>10182</v>
      </c>
      <c r="NUT1" s="3" t="s">
        <v>10183</v>
      </c>
      <c r="NUU1" s="3" t="s">
        <v>10184</v>
      </c>
      <c r="NUV1" s="3" t="s">
        <v>10185</v>
      </c>
      <c r="NUW1" s="3" t="s">
        <v>10186</v>
      </c>
      <c r="NUX1" s="3" t="s">
        <v>10187</v>
      </c>
      <c r="NUY1" s="3" t="s">
        <v>10188</v>
      </c>
      <c r="NUZ1" s="3" t="s">
        <v>10189</v>
      </c>
      <c r="NVA1" s="3" t="s">
        <v>10190</v>
      </c>
      <c r="NVB1" s="3" t="s">
        <v>10191</v>
      </c>
      <c r="NVC1" s="3" t="s">
        <v>10192</v>
      </c>
      <c r="NVD1" s="3" t="s">
        <v>10193</v>
      </c>
      <c r="NVE1" s="3" t="s">
        <v>10194</v>
      </c>
      <c r="NVF1" s="3" t="s">
        <v>10195</v>
      </c>
      <c r="NVG1" s="3" t="s">
        <v>10196</v>
      </c>
      <c r="NVH1" s="3" t="s">
        <v>10197</v>
      </c>
      <c r="NVI1" s="3" t="s">
        <v>10198</v>
      </c>
      <c r="NVJ1" s="3" t="s">
        <v>10199</v>
      </c>
      <c r="NVK1" s="3" t="s">
        <v>10200</v>
      </c>
      <c r="NVL1" s="3" t="s">
        <v>10201</v>
      </c>
      <c r="NVM1" s="3" t="s">
        <v>10202</v>
      </c>
      <c r="NVN1" s="3" t="s">
        <v>10203</v>
      </c>
      <c r="NVO1" s="3" t="s">
        <v>10204</v>
      </c>
      <c r="NVP1" s="3" t="s">
        <v>10205</v>
      </c>
      <c r="NVQ1" s="3" t="s">
        <v>10206</v>
      </c>
      <c r="NVR1" s="3" t="s">
        <v>10207</v>
      </c>
      <c r="NVS1" s="3" t="s">
        <v>10208</v>
      </c>
      <c r="NVT1" s="3" t="s">
        <v>10209</v>
      </c>
      <c r="NVU1" s="3" t="s">
        <v>10210</v>
      </c>
      <c r="NVV1" s="3" t="s">
        <v>10211</v>
      </c>
      <c r="NVW1" s="3" t="s">
        <v>10212</v>
      </c>
      <c r="NVX1" s="3" t="s">
        <v>10213</v>
      </c>
      <c r="NVY1" s="3" t="s">
        <v>10214</v>
      </c>
      <c r="NVZ1" s="3" t="s">
        <v>10215</v>
      </c>
      <c r="NWA1" s="3" t="s">
        <v>10216</v>
      </c>
      <c r="NWB1" s="3" t="s">
        <v>10217</v>
      </c>
      <c r="NWC1" s="3" t="s">
        <v>10218</v>
      </c>
      <c r="NWD1" s="3" t="s">
        <v>10219</v>
      </c>
      <c r="NWE1" s="3" t="s">
        <v>10220</v>
      </c>
      <c r="NWF1" s="3" t="s">
        <v>10221</v>
      </c>
      <c r="NWG1" s="3" t="s">
        <v>10222</v>
      </c>
      <c r="NWH1" s="3" t="s">
        <v>10223</v>
      </c>
      <c r="NWI1" s="3" t="s">
        <v>10224</v>
      </c>
      <c r="NWJ1" s="3" t="s">
        <v>10225</v>
      </c>
      <c r="NWK1" s="3" t="s">
        <v>10226</v>
      </c>
      <c r="NWL1" s="3" t="s">
        <v>10227</v>
      </c>
      <c r="NWM1" s="3" t="s">
        <v>10228</v>
      </c>
      <c r="NWN1" s="3" t="s">
        <v>10229</v>
      </c>
      <c r="NWO1" s="3" t="s">
        <v>10230</v>
      </c>
      <c r="NWP1" s="3" t="s">
        <v>10231</v>
      </c>
      <c r="NWQ1" s="3" t="s">
        <v>10232</v>
      </c>
      <c r="NWR1" s="3" t="s">
        <v>10233</v>
      </c>
      <c r="NWS1" s="3" t="s">
        <v>10234</v>
      </c>
      <c r="NWT1" s="3" t="s">
        <v>10235</v>
      </c>
      <c r="NWU1" s="3" t="s">
        <v>10236</v>
      </c>
      <c r="NWV1" s="3" t="s">
        <v>10237</v>
      </c>
      <c r="NWW1" s="3" t="s">
        <v>10238</v>
      </c>
      <c r="NWX1" s="3" t="s">
        <v>10239</v>
      </c>
      <c r="NWY1" s="3" t="s">
        <v>10240</v>
      </c>
      <c r="NWZ1" s="3" t="s">
        <v>10241</v>
      </c>
      <c r="NXA1" s="3" t="s">
        <v>10242</v>
      </c>
      <c r="NXB1" s="3" t="s">
        <v>10243</v>
      </c>
      <c r="NXC1" s="3" t="s">
        <v>10244</v>
      </c>
      <c r="NXD1" s="3" t="s">
        <v>10245</v>
      </c>
      <c r="NXE1" s="3" t="s">
        <v>10246</v>
      </c>
      <c r="NXF1" s="3" t="s">
        <v>10247</v>
      </c>
      <c r="NXG1" s="3" t="s">
        <v>10248</v>
      </c>
      <c r="NXH1" s="3" t="s">
        <v>10249</v>
      </c>
      <c r="NXI1" s="3" t="s">
        <v>10250</v>
      </c>
      <c r="NXJ1" s="3" t="s">
        <v>10251</v>
      </c>
      <c r="NXK1" s="3" t="s">
        <v>10252</v>
      </c>
      <c r="NXL1" s="3" t="s">
        <v>10253</v>
      </c>
      <c r="NXM1" s="3" t="s">
        <v>10254</v>
      </c>
      <c r="NXN1" s="3" t="s">
        <v>10255</v>
      </c>
      <c r="NXO1" s="3" t="s">
        <v>10256</v>
      </c>
      <c r="NXP1" s="3" t="s">
        <v>10257</v>
      </c>
      <c r="NXQ1" s="3" t="s">
        <v>10258</v>
      </c>
      <c r="NXR1" s="3" t="s">
        <v>10259</v>
      </c>
      <c r="NXS1" s="3" t="s">
        <v>10260</v>
      </c>
      <c r="NXT1" s="3" t="s">
        <v>10261</v>
      </c>
      <c r="NXU1" s="3" t="s">
        <v>10262</v>
      </c>
      <c r="NXV1" s="3" t="s">
        <v>10263</v>
      </c>
      <c r="NXW1" s="3" t="s">
        <v>10264</v>
      </c>
      <c r="NXX1" s="3" t="s">
        <v>10265</v>
      </c>
      <c r="NXY1" s="3" t="s">
        <v>10266</v>
      </c>
      <c r="NXZ1" s="3" t="s">
        <v>10267</v>
      </c>
      <c r="NYA1" s="3" t="s">
        <v>10268</v>
      </c>
      <c r="NYB1" s="3" t="s">
        <v>10269</v>
      </c>
      <c r="NYC1" s="3" t="s">
        <v>10270</v>
      </c>
      <c r="NYD1" s="3" t="s">
        <v>10271</v>
      </c>
      <c r="NYE1" s="3" t="s">
        <v>10272</v>
      </c>
      <c r="NYF1" s="3" t="s">
        <v>10273</v>
      </c>
      <c r="NYG1" s="3" t="s">
        <v>10274</v>
      </c>
      <c r="NYH1" s="3" t="s">
        <v>10275</v>
      </c>
      <c r="NYI1" s="3" t="s">
        <v>10276</v>
      </c>
      <c r="NYJ1" s="3" t="s">
        <v>10277</v>
      </c>
      <c r="NYK1" s="3" t="s">
        <v>10278</v>
      </c>
      <c r="NYL1" s="3" t="s">
        <v>10279</v>
      </c>
      <c r="NYM1" s="3" t="s">
        <v>10280</v>
      </c>
      <c r="NYN1" s="3" t="s">
        <v>10281</v>
      </c>
      <c r="NYO1" s="3" t="s">
        <v>10282</v>
      </c>
      <c r="NYP1" s="3" t="s">
        <v>10283</v>
      </c>
      <c r="NYQ1" s="3" t="s">
        <v>10284</v>
      </c>
      <c r="NYR1" s="3" t="s">
        <v>10285</v>
      </c>
      <c r="NYS1" s="3" t="s">
        <v>10286</v>
      </c>
      <c r="NYT1" s="3" t="s">
        <v>10287</v>
      </c>
      <c r="NYU1" s="3" t="s">
        <v>10288</v>
      </c>
      <c r="NYV1" s="3" t="s">
        <v>10289</v>
      </c>
      <c r="NYW1" s="3" t="s">
        <v>10290</v>
      </c>
      <c r="NYX1" s="3" t="s">
        <v>10291</v>
      </c>
      <c r="NYY1" s="3" t="s">
        <v>10292</v>
      </c>
      <c r="NYZ1" s="3" t="s">
        <v>10293</v>
      </c>
      <c r="NZA1" s="3" t="s">
        <v>10294</v>
      </c>
      <c r="NZB1" s="3" t="s">
        <v>10295</v>
      </c>
      <c r="NZC1" s="3" t="s">
        <v>10296</v>
      </c>
      <c r="NZD1" s="3" t="s">
        <v>10297</v>
      </c>
      <c r="NZE1" s="3" t="s">
        <v>10298</v>
      </c>
      <c r="NZF1" s="3" t="s">
        <v>10299</v>
      </c>
      <c r="NZG1" s="3" t="s">
        <v>10300</v>
      </c>
      <c r="NZH1" s="3" t="s">
        <v>10301</v>
      </c>
      <c r="NZI1" s="3" t="s">
        <v>10302</v>
      </c>
      <c r="NZJ1" s="3" t="s">
        <v>10303</v>
      </c>
      <c r="NZK1" s="3" t="s">
        <v>10304</v>
      </c>
      <c r="NZL1" s="3" t="s">
        <v>10305</v>
      </c>
      <c r="NZM1" s="3" t="s">
        <v>10306</v>
      </c>
      <c r="NZN1" s="3" t="s">
        <v>10307</v>
      </c>
      <c r="NZO1" s="3" t="s">
        <v>10308</v>
      </c>
      <c r="NZP1" s="3" t="s">
        <v>10309</v>
      </c>
      <c r="NZQ1" s="3" t="s">
        <v>10310</v>
      </c>
      <c r="NZR1" s="3" t="s">
        <v>10311</v>
      </c>
      <c r="NZS1" s="3" t="s">
        <v>10312</v>
      </c>
      <c r="NZT1" s="3" t="s">
        <v>10313</v>
      </c>
      <c r="NZU1" s="3" t="s">
        <v>10314</v>
      </c>
      <c r="NZV1" s="3" t="s">
        <v>10315</v>
      </c>
      <c r="NZW1" s="3" t="s">
        <v>10316</v>
      </c>
      <c r="NZX1" s="3" t="s">
        <v>10317</v>
      </c>
      <c r="NZY1" s="3" t="s">
        <v>10318</v>
      </c>
      <c r="NZZ1" s="3" t="s">
        <v>10319</v>
      </c>
      <c r="OAA1" s="3" t="s">
        <v>10320</v>
      </c>
      <c r="OAB1" s="3" t="s">
        <v>10321</v>
      </c>
      <c r="OAC1" s="3" t="s">
        <v>10322</v>
      </c>
      <c r="OAD1" s="3" t="s">
        <v>10323</v>
      </c>
      <c r="OAE1" s="3" t="s">
        <v>10324</v>
      </c>
      <c r="OAF1" s="3" t="s">
        <v>10325</v>
      </c>
      <c r="OAG1" s="3" t="s">
        <v>10326</v>
      </c>
      <c r="OAH1" s="3" t="s">
        <v>10327</v>
      </c>
      <c r="OAI1" s="3" t="s">
        <v>10328</v>
      </c>
      <c r="OAJ1" s="3" t="s">
        <v>10329</v>
      </c>
      <c r="OAK1" s="3" t="s">
        <v>10330</v>
      </c>
      <c r="OAL1" s="3" t="s">
        <v>10331</v>
      </c>
      <c r="OAM1" s="3" t="s">
        <v>10332</v>
      </c>
      <c r="OAN1" s="3" t="s">
        <v>10333</v>
      </c>
      <c r="OAO1" s="3" t="s">
        <v>10334</v>
      </c>
      <c r="OAP1" s="3" t="s">
        <v>10335</v>
      </c>
      <c r="OAQ1" s="3" t="s">
        <v>10336</v>
      </c>
      <c r="OAR1" s="3" t="s">
        <v>10337</v>
      </c>
      <c r="OAS1" s="3" t="s">
        <v>10338</v>
      </c>
      <c r="OAT1" s="3" t="s">
        <v>10339</v>
      </c>
      <c r="OAU1" s="3" t="s">
        <v>10340</v>
      </c>
      <c r="OAV1" s="3" t="s">
        <v>10341</v>
      </c>
      <c r="OAW1" s="3" t="s">
        <v>10342</v>
      </c>
      <c r="OAX1" s="3" t="s">
        <v>10343</v>
      </c>
      <c r="OAY1" s="3" t="s">
        <v>10344</v>
      </c>
      <c r="OAZ1" s="3" t="s">
        <v>10345</v>
      </c>
      <c r="OBA1" s="3" t="s">
        <v>10346</v>
      </c>
      <c r="OBB1" s="3" t="s">
        <v>10347</v>
      </c>
      <c r="OBC1" s="3" t="s">
        <v>10348</v>
      </c>
      <c r="OBD1" s="3" t="s">
        <v>10349</v>
      </c>
      <c r="OBE1" s="3" t="s">
        <v>10350</v>
      </c>
      <c r="OBF1" s="3" t="s">
        <v>10351</v>
      </c>
      <c r="OBG1" s="3" t="s">
        <v>10352</v>
      </c>
      <c r="OBH1" s="3" t="s">
        <v>10353</v>
      </c>
      <c r="OBI1" s="3" t="s">
        <v>10354</v>
      </c>
      <c r="OBJ1" s="3" t="s">
        <v>10355</v>
      </c>
      <c r="OBK1" s="3" t="s">
        <v>10356</v>
      </c>
      <c r="OBL1" s="3" t="s">
        <v>10357</v>
      </c>
      <c r="OBM1" s="3" t="s">
        <v>10358</v>
      </c>
      <c r="OBN1" s="3" t="s">
        <v>10359</v>
      </c>
      <c r="OBO1" s="3" t="s">
        <v>10360</v>
      </c>
      <c r="OBP1" s="3" t="s">
        <v>10361</v>
      </c>
      <c r="OBQ1" s="3" t="s">
        <v>10362</v>
      </c>
      <c r="OBR1" s="3" t="s">
        <v>10363</v>
      </c>
      <c r="OBS1" s="3" t="s">
        <v>10364</v>
      </c>
      <c r="OBT1" s="3" t="s">
        <v>10365</v>
      </c>
      <c r="OBU1" s="3" t="s">
        <v>10366</v>
      </c>
      <c r="OBV1" s="3" t="s">
        <v>10367</v>
      </c>
      <c r="OBW1" s="3" t="s">
        <v>10368</v>
      </c>
      <c r="OBX1" s="3" t="s">
        <v>10369</v>
      </c>
      <c r="OBY1" s="3" t="s">
        <v>10370</v>
      </c>
      <c r="OBZ1" s="3" t="s">
        <v>10371</v>
      </c>
      <c r="OCA1" s="3" t="s">
        <v>10372</v>
      </c>
      <c r="OCB1" s="3" t="s">
        <v>10373</v>
      </c>
      <c r="OCC1" s="3" t="s">
        <v>10374</v>
      </c>
      <c r="OCD1" s="3" t="s">
        <v>10375</v>
      </c>
      <c r="OCE1" s="3" t="s">
        <v>10376</v>
      </c>
      <c r="OCF1" s="3" t="s">
        <v>10377</v>
      </c>
      <c r="OCG1" s="3" t="s">
        <v>10378</v>
      </c>
      <c r="OCH1" s="3" t="s">
        <v>10379</v>
      </c>
      <c r="OCI1" s="3" t="s">
        <v>10380</v>
      </c>
      <c r="OCJ1" s="3" t="s">
        <v>10381</v>
      </c>
      <c r="OCK1" s="3" t="s">
        <v>10382</v>
      </c>
      <c r="OCL1" s="3" t="s">
        <v>10383</v>
      </c>
      <c r="OCM1" s="3" t="s">
        <v>10384</v>
      </c>
      <c r="OCN1" s="3" t="s">
        <v>10385</v>
      </c>
      <c r="OCO1" s="3" t="s">
        <v>10386</v>
      </c>
      <c r="OCP1" s="3" t="s">
        <v>10387</v>
      </c>
      <c r="OCQ1" s="3" t="s">
        <v>10388</v>
      </c>
      <c r="OCR1" s="3" t="s">
        <v>10389</v>
      </c>
      <c r="OCS1" s="3" t="s">
        <v>10390</v>
      </c>
      <c r="OCT1" s="3" t="s">
        <v>10391</v>
      </c>
      <c r="OCU1" s="3" t="s">
        <v>10392</v>
      </c>
      <c r="OCV1" s="3" t="s">
        <v>10393</v>
      </c>
      <c r="OCW1" s="3" t="s">
        <v>10394</v>
      </c>
      <c r="OCX1" s="3" t="s">
        <v>10395</v>
      </c>
      <c r="OCY1" s="3" t="s">
        <v>10396</v>
      </c>
      <c r="OCZ1" s="3" t="s">
        <v>10397</v>
      </c>
      <c r="ODA1" s="3" t="s">
        <v>10398</v>
      </c>
      <c r="ODB1" s="3" t="s">
        <v>10399</v>
      </c>
      <c r="ODC1" s="3" t="s">
        <v>10400</v>
      </c>
      <c r="ODD1" s="3" t="s">
        <v>10401</v>
      </c>
      <c r="ODE1" s="3" t="s">
        <v>10402</v>
      </c>
      <c r="ODF1" s="3" t="s">
        <v>10403</v>
      </c>
      <c r="ODG1" s="3" t="s">
        <v>10404</v>
      </c>
      <c r="ODH1" s="3" t="s">
        <v>10405</v>
      </c>
      <c r="ODI1" s="3" t="s">
        <v>10406</v>
      </c>
      <c r="ODJ1" s="3" t="s">
        <v>10407</v>
      </c>
      <c r="ODK1" s="3" t="s">
        <v>10408</v>
      </c>
      <c r="ODL1" s="3" t="s">
        <v>10409</v>
      </c>
      <c r="ODM1" s="3" t="s">
        <v>10410</v>
      </c>
      <c r="ODN1" s="3" t="s">
        <v>10411</v>
      </c>
      <c r="ODO1" s="3" t="s">
        <v>10412</v>
      </c>
      <c r="ODP1" s="3" t="s">
        <v>10413</v>
      </c>
      <c r="ODQ1" s="3" t="s">
        <v>10414</v>
      </c>
      <c r="ODR1" s="3" t="s">
        <v>10415</v>
      </c>
      <c r="ODS1" s="3" t="s">
        <v>10416</v>
      </c>
      <c r="ODT1" s="3" t="s">
        <v>10417</v>
      </c>
      <c r="ODU1" s="3" t="s">
        <v>10418</v>
      </c>
      <c r="ODV1" s="3" t="s">
        <v>10419</v>
      </c>
      <c r="ODW1" s="3" t="s">
        <v>10420</v>
      </c>
      <c r="ODX1" s="3" t="s">
        <v>10421</v>
      </c>
      <c r="ODY1" s="3" t="s">
        <v>10422</v>
      </c>
      <c r="ODZ1" s="3" t="s">
        <v>10423</v>
      </c>
      <c r="OEA1" s="3" t="s">
        <v>10424</v>
      </c>
      <c r="OEB1" s="3" t="s">
        <v>10425</v>
      </c>
      <c r="OEC1" s="3" t="s">
        <v>10426</v>
      </c>
      <c r="OED1" s="3" t="s">
        <v>10427</v>
      </c>
      <c r="OEE1" s="3" t="s">
        <v>10428</v>
      </c>
      <c r="OEF1" s="3" t="s">
        <v>10429</v>
      </c>
      <c r="OEG1" s="3" t="s">
        <v>10430</v>
      </c>
      <c r="OEH1" s="3" t="s">
        <v>10431</v>
      </c>
      <c r="OEI1" s="3" t="s">
        <v>10432</v>
      </c>
      <c r="OEJ1" s="3" t="s">
        <v>10433</v>
      </c>
      <c r="OEK1" s="3" t="s">
        <v>10434</v>
      </c>
      <c r="OEL1" s="3" t="s">
        <v>10435</v>
      </c>
      <c r="OEM1" s="3" t="s">
        <v>10436</v>
      </c>
      <c r="OEN1" s="3" t="s">
        <v>10437</v>
      </c>
      <c r="OEO1" s="3" t="s">
        <v>10438</v>
      </c>
      <c r="OEP1" s="3" t="s">
        <v>10439</v>
      </c>
      <c r="OEQ1" s="3" t="s">
        <v>10440</v>
      </c>
      <c r="OER1" s="3" t="s">
        <v>10441</v>
      </c>
      <c r="OES1" s="3" t="s">
        <v>10442</v>
      </c>
      <c r="OET1" s="3" t="s">
        <v>10443</v>
      </c>
      <c r="OEU1" s="3" t="s">
        <v>10444</v>
      </c>
      <c r="OEV1" s="3" t="s">
        <v>10445</v>
      </c>
      <c r="OEW1" s="3" t="s">
        <v>10446</v>
      </c>
      <c r="OEX1" s="3" t="s">
        <v>10447</v>
      </c>
      <c r="OEY1" s="3" t="s">
        <v>10448</v>
      </c>
      <c r="OEZ1" s="3" t="s">
        <v>10449</v>
      </c>
      <c r="OFA1" s="3" t="s">
        <v>10450</v>
      </c>
      <c r="OFB1" s="3" t="s">
        <v>10451</v>
      </c>
      <c r="OFC1" s="3" t="s">
        <v>10452</v>
      </c>
      <c r="OFD1" s="3" t="s">
        <v>10453</v>
      </c>
      <c r="OFE1" s="3" t="s">
        <v>10454</v>
      </c>
      <c r="OFF1" s="3" t="s">
        <v>10455</v>
      </c>
      <c r="OFG1" s="3" t="s">
        <v>10456</v>
      </c>
      <c r="OFH1" s="3" t="s">
        <v>10457</v>
      </c>
      <c r="OFI1" s="3" t="s">
        <v>10458</v>
      </c>
      <c r="OFJ1" s="3" t="s">
        <v>10459</v>
      </c>
      <c r="OFK1" s="3" t="s">
        <v>10460</v>
      </c>
      <c r="OFL1" s="3" t="s">
        <v>10461</v>
      </c>
      <c r="OFM1" s="3" t="s">
        <v>10462</v>
      </c>
      <c r="OFN1" s="3" t="s">
        <v>10463</v>
      </c>
      <c r="OFO1" s="3" t="s">
        <v>10464</v>
      </c>
      <c r="OFP1" s="3" t="s">
        <v>10465</v>
      </c>
      <c r="OFQ1" s="3" t="s">
        <v>10466</v>
      </c>
      <c r="OFR1" s="3" t="s">
        <v>10467</v>
      </c>
      <c r="OFS1" s="3" t="s">
        <v>10468</v>
      </c>
      <c r="OFT1" s="3" t="s">
        <v>10469</v>
      </c>
      <c r="OFU1" s="3" t="s">
        <v>10470</v>
      </c>
      <c r="OFV1" s="3" t="s">
        <v>10471</v>
      </c>
      <c r="OFW1" s="3" t="s">
        <v>10472</v>
      </c>
      <c r="OFX1" s="3" t="s">
        <v>10473</v>
      </c>
      <c r="OFY1" s="3" t="s">
        <v>10474</v>
      </c>
      <c r="OFZ1" s="3" t="s">
        <v>10475</v>
      </c>
      <c r="OGA1" s="3" t="s">
        <v>10476</v>
      </c>
      <c r="OGB1" s="3" t="s">
        <v>10477</v>
      </c>
      <c r="OGC1" s="3" t="s">
        <v>10478</v>
      </c>
      <c r="OGD1" s="3" t="s">
        <v>10479</v>
      </c>
      <c r="OGE1" s="3" t="s">
        <v>10480</v>
      </c>
      <c r="OGF1" s="3" t="s">
        <v>10481</v>
      </c>
      <c r="OGG1" s="3" t="s">
        <v>10482</v>
      </c>
      <c r="OGH1" s="3" t="s">
        <v>10483</v>
      </c>
      <c r="OGI1" s="3" t="s">
        <v>10484</v>
      </c>
      <c r="OGJ1" s="3" t="s">
        <v>10485</v>
      </c>
      <c r="OGK1" s="3" t="s">
        <v>10486</v>
      </c>
      <c r="OGL1" s="3" t="s">
        <v>10487</v>
      </c>
      <c r="OGM1" s="3" t="s">
        <v>10488</v>
      </c>
      <c r="OGN1" s="3" t="s">
        <v>10489</v>
      </c>
      <c r="OGO1" s="3" t="s">
        <v>10490</v>
      </c>
      <c r="OGP1" s="3" t="s">
        <v>10491</v>
      </c>
      <c r="OGQ1" s="3" t="s">
        <v>10492</v>
      </c>
      <c r="OGR1" s="3" t="s">
        <v>10493</v>
      </c>
      <c r="OGS1" s="3" t="s">
        <v>10494</v>
      </c>
      <c r="OGT1" s="3" t="s">
        <v>10495</v>
      </c>
      <c r="OGU1" s="3" t="s">
        <v>10496</v>
      </c>
      <c r="OGV1" s="3" t="s">
        <v>10497</v>
      </c>
      <c r="OGW1" s="3" t="s">
        <v>10498</v>
      </c>
      <c r="OGX1" s="3" t="s">
        <v>10499</v>
      </c>
      <c r="OGY1" s="3" t="s">
        <v>10500</v>
      </c>
      <c r="OGZ1" s="3" t="s">
        <v>10501</v>
      </c>
      <c r="OHA1" s="3" t="s">
        <v>10502</v>
      </c>
      <c r="OHB1" s="3" t="s">
        <v>10503</v>
      </c>
      <c r="OHC1" s="3" t="s">
        <v>10504</v>
      </c>
      <c r="OHD1" s="3" t="s">
        <v>10505</v>
      </c>
      <c r="OHE1" s="3" t="s">
        <v>10506</v>
      </c>
      <c r="OHF1" s="3" t="s">
        <v>10507</v>
      </c>
      <c r="OHG1" s="3" t="s">
        <v>10508</v>
      </c>
      <c r="OHH1" s="3" t="s">
        <v>10509</v>
      </c>
      <c r="OHI1" s="3" t="s">
        <v>10510</v>
      </c>
      <c r="OHJ1" s="3" t="s">
        <v>10511</v>
      </c>
      <c r="OHK1" s="3" t="s">
        <v>10512</v>
      </c>
      <c r="OHL1" s="3" t="s">
        <v>10513</v>
      </c>
      <c r="OHM1" s="3" t="s">
        <v>10514</v>
      </c>
      <c r="OHN1" s="3" t="s">
        <v>10515</v>
      </c>
      <c r="OHO1" s="3" t="s">
        <v>10516</v>
      </c>
      <c r="OHP1" s="3" t="s">
        <v>10517</v>
      </c>
      <c r="OHQ1" s="3" t="s">
        <v>10518</v>
      </c>
      <c r="OHR1" s="3" t="s">
        <v>10519</v>
      </c>
      <c r="OHS1" s="3" t="s">
        <v>10520</v>
      </c>
      <c r="OHT1" s="3" t="s">
        <v>10521</v>
      </c>
      <c r="OHU1" s="3" t="s">
        <v>10522</v>
      </c>
      <c r="OHV1" s="3" t="s">
        <v>10523</v>
      </c>
      <c r="OHW1" s="3" t="s">
        <v>10524</v>
      </c>
      <c r="OHX1" s="3" t="s">
        <v>10525</v>
      </c>
      <c r="OHY1" s="3" t="s">
        <v>10526</v>
      </c>
      <c r="OHZ1" s="3" t="s">
        <v>10527</v>
      </c>
      <c r="OIA1" s="3" t="s">
        <v>10528</v>
      </c>
      <c r="OIB1" s="3" t="s">
        <v>10529</v>
      </c>
      <c r="OIC1" s="3" t="s">
        <v>10530</v>
      </c>
      <c r="OID1" s="3" t="s">
        <v>10531</v>
      </c>
      <c r="OIE1" s="3" t="s">
        <v>10532</v>
      </c>
      <c r="OIF1" s="3" t="s">
        <v>10533</v>
      </c>
      <c r="OIG1" s="3" t="s">
        <v>10534</v>
      </c>
      <c r="OIH1" s="3" t="s">
        <v>10535</v>
      </c>
      <c r="OII1" s="3" t="s">
        <v>10536</v>
      </c>
      <c r="OIJ1" s="3" t="s">
        <v>10537</v>
      </c>
      <c r="OIK1" s="3" t="s">
        <v>10538</v>
      </c>
      <c r="OIL1" s="3" t="s">
        <v>10539</v>
      </c>
      <c r="OIM1" s="3" t="s">
        <v>10540</v>
      </c>
      <c r="OIN1" s="3" t="s">
        <v>10541</v>
      </c>
      <c r="OIO1" s="3" t="s">
        <v>10542</v>
      </c>
      <c r="OIP1" s="3" t="s">
        <v>10543</v>
      </c>
      <c r="OIQ1" s="3" t="s">
        <v>10544</v>
      </c>
      <c r="OIR1" s="3" t="s">
        <v>10545</v>
      </c>
      <c r="OIS1" s="3" t="s">
        <v>10546</v>
      </c>
      <c r="OIT1" s="3" t="s">
        <v>10547</v>
      </c>
      <c r="OIU1" s="3" t="s">
        <v>10548</v>
      </c>
      <c r="OIV1" s="3" t="s">
        <v>10549</v>
      </c>
      <c r="OIW1" s="3" t="s">
        <v>10550</v>
      </c>
      <c r="OIX1" s="3" t="s">
        <v>10551</v>
      </c>
      <c r="OIY1" s="3" t="s">
        <v>10552</v>
      </c>
      <c r="OIZ1" s="3" t="s">
        <v>10553</v>
      </c>
      <c r="OJA1" s="3" t="s">
        <v>10554</v>
      </c>
      <c r="OJB1" s="3" t="s">
        <v>10555</v>
      </c>
      <c r="OJC1" s="3" t="s">
        <v>10556</v>
      </c>
      <c r="OJD1" s="3" t="s">
        <v>10557</v>
      </c>
      <c r="OJE1" s="3" t="s">
        <v>10558</v>
      </c>
      <c r="OJF1" s="3" t="s">
        <v>10559</v>
      </c>
      <c r="OJG1" s="3" t="s">
        <v>10560</v>
      </c>
      <c r="OJH1" s="3" t="s">
        <v>10561</v>
      </c>
      <c r="OJI1" s="3" t="s">
        <v>10562</v>
      </c>
      <c r="OJJ1" s="3" t="s">
        <v>10563</v>
      </c>
      <c r="OJK1" s="3" t="s">
        <v>10564</v>
      </c>
      <c r="OJL1" s="3" t="s">
        <v>10565</v>
      </c>
      <c r="OJM1" s="3" t="s">
        <v>10566</v>
      </c>
      <c r="OJN1" s="3" t="s">
        <v>10567</v>
      </c>
      <c r="OJO1" s="3" t="s">
        <v>10568</v>
      </c>
      <c r="OJP1" s="3" t="s">
        <v>10569</v>
      </c>
      <c r="OJQ1" s="3" t="s">
        <v>10570</v>
      </c>
      <c r="OJR1" s="3" t="s">
        <v>10571</v>
      </c>
      <c r="OJS1" s="3" t="s">
        <v>10572</v>
      </c>
      <c r="OJT1" s="3" t="s">
        <v>10573</v>
      </c>
      <c r="OJU1" s="3" t="s">
        <v>10574</v>
      </c>
      <c r="OJV1" s="3" t="s">
        <v>10575</v>
      </c>
      <c r="OJW1" s="3" t="s">
        <v>10576</v>
      </c>
      <c r="OJX1" s="3" t="s">
        <v>10577</v>
      </c>
      <c r="OJY1" s="3" t="s">
        <v>10578</v>
      </c>
      <c r="OJZ1" s="3" t="s">
        <v>10579</v>
      </c>
      <c r="OKA1" s="3" t="s">
        <v>10580</v>
      </c>
      <c r="OKB1" s="3" t="s">
        <v>10581</v>
      </c>
      <c r="OKC1" s="3" t="s">
        <v>10582</v>
      </c>
      <c r="OKD1" s="3" t="s">
        <v>10583</v>
      </c>
      <c r="OKE1" s="3" t="s">
        <v>10584</v>
      </c>
      <c r="OKF1" s="3" t="s">
        <v>10585</v>
      </c>
      <c r="OKG1" s="3" t="s">
        <v>10586</v>
      </c>
      <c r="OKH1" s="3" t="s">
        <v>10587</v>
      </c>
      <c r="OKI1" s="3" t="s">
        <v>10588</v>
      </c>
      <c r="OKJ1" s="3" t="s">
        <v>10589</v>
      </c>
      <c r="OKK1" s="3" t="s">
        <v>10590</v>
      </c>
      <c r="OKL1" s="3" t="s">
        <v>10591</v>
      </c>
      <c r="OKM1" s="3" t="s">
        <v>10592</v>
      </c>
      <c r="OKN1" s="3" t="s">
        <v>10593</v>
      </c>
      <c r="OKO1" s="3" t="s">
        <v>10594</v>
      </c>
      <c r="OKP1" s="3" t="s">
        <v>10595</v>
      </c>
      <c r="OKQ1" s="3" t="s">
        <v>10596</v>
      </c>
      <c r="OKR1" s="3" t="s">
        <v>10597</v>
      </c>
      <c r="OKS1" s="3" t="s">
        <v>10598</v>
      </c>
      <c r="OKT1" s="3" t="s">
        <v>10599</v>
      </c>
      <c r="OKU1" s="3" t="s">
        <v>10600</v>
      </c>
      <c r="OKV1" s="3" t="s">
        <v>10601</v>
      </c>
      <c r="OKW1" s="3" t="s">
        <v>10602</v>
      </c>
      <c r="OKX1" s="3" t="s">
        <v>10603</v>
      </c>
      <c r="OKY1" s="3" t="s">
        <v>10604</v>
      </c>
      <c r="OKZ1" s="3" t="s">
        <v>10605</v>
      </c>
      <c r="OLA1" s="3" t="s">
        <v>10606</v>
      </c>
      <c r="OLB1" s="3" t="s">
        <v>10607</v>
      </c>
      <c r="OLC1" s="3" t="s">
        <v>10608</v>
      </c>
      <c r="OLD1" s="3" t="s">
        <v>10609</v>
      </c>
      <c r="OLE1" s="3" t="s">
        <v>10610</v>
      </c>
      <c r="OLF1" s="3" t="s">
        <v>10611</v>
      </c>
      <c r="OLG1" s="3" t="s">
        <v>10612</v>
      </c>
      <c r="OLH1" s="3" t="s">
        <v>10613</v>
      </c>
      <c r="OLI1" s="3" t="s">
        <v>10614</v>
      </c>
      <c r="OLJ1" s="3" t="s">
        <v>10615</v>
      </c>
      <c r="OLK1" s="3" t="s">
        <v>10616</v>
      </c>
      <c r="OLL1" s="3" t="s">
        <v>10617</v>
      </c>
      <c r="OLM1" s="3" t="s">
        <v>10618</v>
      </c>
      <c r="OLN1" s="3" t="s">
        <v>10619</v>
      </c>
      <c r="OLO1" s="3" t="s">
        <v>10620</v>
      </c>
      <c r="OLP1" s="3" t="s">
        <v>10621</v>
      </c>
      <c r="OLQ1" s="3" t="s">
        <v>10622</v>
      </c>
      <c r="OLR1" s="3" t="s">
        <v>10623</v>
      </c>
      <c r="OLS1" s="3" t="s">
        <v>10624</v>
      </c>
      <c r="OLT1" s="3" t="s">
        <v>10625</v>
      </c>
      <c r="OLU1" s="3" t="s">
        <v>10626</v>
      </c>
      <c r="OLV1" s="3" t="s">
        <v>10627</v>
      </c>
      <c r="OLW1" s="3" t="s">
        <v>10628</v>
      </c>
      <c r="OLX1" s="3" t="s">
        <v>10629</v>
      </c>
      <c r="OLY1" s="3" t="s">
        <v>10630</v>
      </c>
      <c r="OLZ1" s="3" t="s">
        <v>10631</v>
      </c>
      <c r="OMA1" s="3" t="s">
        <v>10632</v>
      </c>
      <c r="OMB1" s="3" t="s">
        <v>10633</v>
      </c>
      <c r="OMC1" s="3" t="s">
        <v>10634</v>
      </c>
      <c r="OMD1" s="3" t="s">
        <v>10635</v>
      </c>
      <c r="OME1" s="3" t="s">
        <v>10636</v>
      </c>
      <c r="OMF1" s="3" t="s">
        <v>10637</v>
      </c>
      <c r="OMG1" s="3" t="s">
        <v>10638</v>
      </c>
      <c r="OMH1" s="3" t="s">
        <v>10639</v>
      </c>
      <c r="OMI1" s="3" t="s">
        <v>10640</v>
      </c>
      <c r="OMJ1" s="3" t="s">
        <v>10641</v>
      </c>
      <c r="OMK1" s="3" t="s">
        <v>10642</v>
      </c>
      <c r="OML1" s="3" t="s">
        <v>10643</v>
      </c>
      <c r="OMM1" s="3" t="s">
        <v>10644</v>
      </c>
      <c r="OMN1" s="3" t="s">
        <v>10645</v>
      </c>
      <c r="OMO1" s="3" t="s">
        <v>10646</v>
      </c>
      <c r="OMP1" s="3" t="s">
        <v>10647</v>
      </c>
      <c r="OMQ1" s="3" t="s">
        <v>10648</v>
      </c>
      <c r="OMR1" s="3" t="s">
        <v>10649</v>
      </c>
      <c r="OMS1" s="3" t="s">
        <v>10650</v>
      </c>
      <c r="OMT1" s="3" t="s">
        <v>10651</v>
      </c>
      <c r="OMU1" s="3" t="s">
        <v>10652</v>
      </c>
      <c r="OMV1" s="3" t="s">
        <v>10653</v>
      </c>
      <c r="OMW1" s="3" t="s">
        <v>10654</v>
      </c>
      <c r="OMX1" s="3" t="s">
        <v>10655</v>
      </c>
      <c r="OMY1" s="3" t="s">
        <v>10656</v>
      </c>
      <c r="OMZ1" s="3" t="s">
        <v>10657</v>
      </c>
      <c r="ONA1" s="3" t="s">
        <v>10658</v>
      </c>
      <c r="ONB1" s="3" t="s">
        <v>10659</v>
      </c>
      <c r="ONC1" s="3" t="s">
        <v>10660</v>
      </c>
      <c r="OND1" s="3" t="s">
        <v>10661</v>
      </c>
      <c r="ONE1" s="3" t="s">
        <v>10662</v>
      </c>
      <c r="ONF1" s="3" t="s">
        <v>10663</v>
      </c>
      <c r="ONG1" s="3" t="s">
        <v>10664</v>
      </c>
      <c r="ONH1" s="3" t="s">
        <v>10665</v>
      </c>
      <c r="ONI1" s="3" t="s">
        <v>10666</v>
      </c>
      <c r="ONJ1" s="3" t="s">
        <v>10667</v>
      </c>
      <c r="ONK1" s="3" t="s">
        <v>10668</v>
      </c>
      <c r="ONL1" s="3" t="s">
        <v>10669</v>
      </c>
      <c r="ONM1" s="3" t="s">
        <v>10670</v>
      </c>
      <c r="ONN1" s="3" t="s">
        <v>10671</v>
      </c>
      <c r="ONO1" s="3" t="s">
        <v>10672</v>
      </c>
      <c r="ONP1" s="3" t="s">
        <v>10673</v>
      </c>
      <c r="ONQ1" s="3" t="s">
        <v>10674</v>
      </c>
      <c r="ONR1" s="3" t="s">
        <v>10675</v>
      </c>
      <c r="ONS1" s="3" t="s">
        <v>10676</v>
      </c>
      <c r="ONT1" s="3" t="s">
        <v>10677</v>
      </c>
      <c r="ONU1" s="3" t="s">
        <v>10678</v>
      </c>
      <c r="ONV1" s="3" t="s">
        <v>10679</v>
      </c>
      <c r="ONW1" s="3" t="s">
        <v>10680</v>
      </c>
      <c r="ONX1" s="3" t="s">
        <v>10681</v>
      </c>
      <c r="ONY1" s="3" t="s">
        <v>10682</v>
      </c>
      <c r="ONZ1" s="3" t="s">
        <v>10683</v>
      </c>
      <c r="OOA1" s="3" t="s">
        <v>10684</v>
      </c>
      <c r="OOB1" s="3" t="s">
        <v>10685</v>
      </c>
      <c r="OOC1" s="3" t="s">
        <v>10686</v>
      </c>
      <c r="OOD1" s="3" t="s">
        <v>10687</v>
      </c>
      <c r="OOE1" s="3" t="s">
        <v>10688</v>
      </c>
      <c r="OOF1" s="3" t="s">
        <v>10689</v>
      </c>
      <c r="OOG1" s="3" t="s">
        <v>10690</v>
      </c>
      <c r="OOH1" s="3" t="s">
        <v>10691</v>
      </c>
      <c r="OOI1" s="3" t="s">
        <v>10692</v>
      </c>
      <c r="OOJ1" s="3" t="s">
        <v>10693</v>
      </c>
      <c r="OOK1" s="3" t="s">
        <v>10694</v>
      </c>
      <c r="OOL1" s="3" t="s">
        <v>10695</v>
      </c>
      <c r="OOM1" s="3" t="s">
        <v>10696</v>
      </c>
      <c r="OON1" s="3" t="s">
        <v>10697</v>
      </c>
      <c r="OOO1" s="3" t="s">
        <v>10698</v>
      </c>
      <c r="OOP1" s="3" t="s">
        <v>10699</v>
      </c>
      <c r="OOQ1" s="3" t="s">
        <v>10700</v>
      </c>
      <c r="OOR1" s="3" t="s">
        <v>10701</v>
      </c>
      <c r="OOS1" s="3" t="s">
        <v>10702</v>
      </c>
      <c r="OOT1" s="3" t="s">
        <v>10703</v>
      </c>
      <c r="OOU1" s="3" t="s">
        <v>10704</v>
      </c>
      <c r="OOV1" s="3" t="s">
        <v>10705</v>
      </c>
      <c r="OOW1" s="3" t="s">
        <v>10706</v>
      </c>
      <c r="OOX1" s="3" t="s">
        <v>10707</v>
      </c>
      <c r="OOY1" s="3" t="s">
        <v>10708</v>
      </c>
      <c r="OOZ1" s="3" t="s">
        <v>10709</v>
      </c>
      <c r="OPA1" s="3" t="s">
        <v>10710</v>
      </c>
      <c r="OPB1" s="3" t="s">
        <v>10711</v>
      </c>
      <c r="OPC1" s="3" t="s">
        <v>10712</v>
      </c>
      <c r="OPD1" s="3" t="s">
        <v>10713</v>
      </c>
      <c r="OPE1" s="3" t="s">
        <v>10714</v>
      </c>
      <c r="OPF1" s="3" t="s">
        <v>10715</v>
      </c>
      <c r="OPG1" s="3" t="s">
        <v>10716</v>
      </c>
      <c r="OPH1" s="3" t="s">
        <v>10717</v>
      </c>
      <c r="OPI1" s="3" t="s">
        <v>10718</v>
      </c>
      <c r="OPJ1" s="3" t="s">
        <v>10719</v>
      </c>
      <c r="OPK1" s="3" t="s">
        <v>10720</v>
      </c>
      <c r="OPL1" s="3" t="s">
        <v>10721</v>
      </c>
      <c r="OPM1" s="3" t="s">
        <v>10722</v>
      </c>
      <c r="OPN1" s="3" t="s">
        <v>10723</v>
      </c>
      <c r="OPO1" s="3" t="s">
        <v>10724</v>
      </c>
      <c r="OPP1" s="3" t="s">
        <v>10725</v>
      </c>
      <c r="OPQ1" s="3" t="s">
        <v>10726</v>
      </c>
      <c r="OPR1" s="3" t="s">
        <v>10727</v>
      </c>
      <c r="OPS1" s="3" t="s">
        <v>10728</v>
      </c>
      <c r="OPT1" s="3" t="s">
        <v>10729</v>
      </c>
      <c r="OPU1" s="3" t="s">
        <v>10730</v>
      </c>
      <c r="OPV1" s="3" t="s">
        <v>10731</v>
      </c>
      <c r="OPW1" s="3" t="s">
        <v>10732</v>
      </c>
      <c r="OPX1" s="3" t="s">
        <v>10733</v>
      </c>
      <c r="OPY1" s="3" t="s">
        <v>10734</v>
      </c>
      <c r="OPZ1" s="3" t="s">
        <v>10735</v>
      </c>
      <c r="OQA1" s="3" t="s">
        <v>10736</v>
      </c>
      <c r="OQB1" s="3" t="s">
        <v>10737</v>
      </c>
      <c r="OQC1" s="3" t="s">
        <v>10738</v>
      </c>
      <c r="OQD1" s="3" t="s">
        <v>10739</v>
      </c>
      <c r="OQE1" s="3" t="s">
        <v>10740</v>
      </c>
      <c r="OQF1" s="3" t="s">
        <v>10741</v>
      </c>
      <c r="OQG1" s="3" t="s">
        <v>10742</v>
      </c>
      <c r="OQH1" s="3" t="s">
        <v>10743</v>
      </c>
      <c r="OQI1" s="3" t="s">
        <v>10744</v>
      </c>
      <c r="OQJ1" s="3" t="s">
        <v>10745</v>
      </c>
      <c r="OQK1" s="3" t="s">
        <v>10746</v>
      </c>
      <c r="OQL1" s="3" t="s">
        <v>10747</v>
      </c>
      <c r="OQM1" s="3" t="s">
        <v>10748</v>
      </c>
      <c r="OQN1" s="3" t="s">
        <v>10749</v>
      </c>
      <c r="OQO1" s="3" t="s">
        <v>10750</v>
      </c>
      <c r="OQP1" s="3" t="s">
        <v>10751</v>
      </c>
      <c r="OQQ1" s="3" t="s">
        <v>10752</v>
      </c>
      <c r="OQR1" s="3" t="s">
        <v>10753</v>
      </c>
      <c r="OQS1" s="3" t="s">
        <v>10754</v>
      </c>
      <c r="OQT1" s="3" t="s">
        <v>10755</v>
      </c>
      <c r="OQU1" s="3" t="s">
        <v>10756</v>
      </c>
      <c r="OQV1" s="3" t="s">
        <v>10757</v>
      </c>
      <c r="OQW1" s="3" t="s">
        <v>10758</v>
      </c>
      <c r="OQX1" s="3" t="s">
        <v>10759</v>
      </c>
      <c r="OQY1" s="3" t="s">
        <v>10760</v>
      </c>
      <c r="OQZ1" s="3" t="s">
        <v>10761</v>
      </c>
      <c r="ORA1" s="3" t="s">
        <v>10762</v>
      </c>
      <c r="ORB1" s="3" t="s">
        <v>10763</v>
      </c>
      <c r="ORC1" s="3" t="s">
        <v>10764</v>
      </c>
      <c r="ORD1" s="3" t="s">
        <v>10765</v>
      </c>
      <c r="ORE1" s="3" t="s">
        <v>10766</v>
      </c>
      <c r="ORF1" s="3" t="s">
        <v>10767</v>
      </c>
      <c r="ORG1" s="3" t="s">
        <v>10768</v>
      </c>
      <c r="ORH1" s="3" t="s">
        <v>10769</v>
      </c>
      <c r="ORI1" s="3" t="s">
        <v>10770</v>
      </c>
      <c r="ORJ1" s="3" t="s">
        <v>10771</v>
      </c>
      <c r="ORK1" s="3" t="s">
        <v>10772</v>
      </c>
      <c r="ORL1" s="3" t="s">
        <v>10773</v>
      </c>
      <c r="ORM1" s="3" t="s">
        <v>10774</v>
      </c>
      <c r="ORN1" s="3" t="s">
        <v>10775</v>
      </c>
      <c r="ORO1" s="3" t="s">
        <v>10776</v>
      </c>
      <c r="ORP1" s="3" t="s">
        <v>10777</v>
      </c>
      <c r="ORQ1" s="3" t="s">
        <v>10778</v>
      </c>
      <c r="ORR1" s="3" t="s">
        <v>10779</v>
      </c>
      <c r="ORS1" s="3" t="s">
        <v>10780</v>
      </c>
      <c r="ORT1" s="3" t="s">
        <v>10781</v>
      </c>
      <c r="ORU1" s="3" t="s">
        <v>10782</v>
      </c>
      <c r="ORV1" s="3" t="s">
        <v>10783</v>
      </c>
      <c r="ORW1" s="3" t="s">
        <v>10784</v>
      </c>
      <c r="ORX1" s="3" t="s">
        <v>10785</v>
      </c>
      <c r="ORY1" s="3" t="s">
        <v>10786</v>
      </c>
      <c r="ORZ1" s="3" t="s">
        <v>10787</v>
      </c>
      <c r="OSA1" s="3" t="s">
        <v>10788</v>
      </c>
      <c r="OSB1" s="3" t="s">
        <v>10789</v>
      </c>
      <c r="OSC1" s="3" t="s">
        <v>10790</v>
      </c>
      <c r="OSD1" s="3" t="s">
        <v>10791</v>
      </c>
      <c r="OSE1" s="3" t="s">
        <v>10792</v>
      </c>
      <c r="OSF1" s="3" t="s">
        <v>10793</v>
      </c>
      <c r="OSG1" s="3" t="s">
        <v>10794</v>
      </c>
      <c r="OSH1" s="3" t="s">
        <v>10795</v>
      </c>
      <c r="OSI1" s="3" t="s">
        <v>10796</v>
      </c>
      <c r="OSJ1" s="3" t="s">
        <v>10797</v>
      </c>
      <c r="OSK1" s="3" t="s">
        <v>10798</v>
      </c>
      <c r="OSL1" s="3" t="s">
        <v>10799</v>
      </c>
      <c r="OSM1" s="3" t="s">
        <v>10800</v>
      </c>
      <c r="OSN1" s="3" t="s">
        <v>10801</v>
      </c>
      <c r="OSO1" s="3" t="s">
        <v>10802</v>
      </c>
      <c r="OSP1" s="3" t="s">
        <v>10803</v>
      </c>
      <c r="OSQ1" s="3" t="s">
        <v>10804</v>
      </c>
      <c r="OSR1" s="3" t="s">
        <v>10805</v>
      </c>
      <c r="OSS1" s="3" t="s">
        <v>10806</v>
      </c>
      <c r="OST1" s="3" t="s">
        <v>10807</v>
      </c>
      <c r="OSU1" s="3" t="s">
        <v>10808</v>
      </c>
      <c r="OSV1" s="3" t="s">
        <v>10809</v>
      </c>
      <c r="OSW1" s="3" t="s">
        <v>10810</v>
      </c>
      <c r="OSX1" s="3" t="s">
        <v>10811</v>
      </c>
      <c r="OSY1" s="3" t="s">
        <v>10812</v>
      </c>
      <c r="OSZ1" s="3" t="s">
        <v>10813</v>
      </c>
      <c r="OTA1" s="3" t="s">
        <v>10814</v>
      </c>
      <c r="OTB1" s="3" t="s">
        <v>10815</v>
      </c>
      <c r="OTC1" s="3" t="s">
        <v>10816</v>
      </c>
      <c r="OTD1" s="3" t="s">
        <v>10817</v>
      </c>
      <c r="OTE1" s="3" t="s">
        <v>10818</v>
      </c>
      <c r="OTF1" s="3" t="s">
        <v>10819</v>
      </c>
      <c r="OTG1" s="3" t="s">
        <v>10820</v>
      </c>
      <c r="OTH1" s="3" t="s">
        <v>10821</v>
      </c>
      <c r="OTI1" s="3" t="s">
        <v>10822</v>
      </c>
      <c r="OTJ1" s="3" t="s">
        <v>10823</v>
      </c>
      <c r="OTK1" s="3" t="s">
        <v>10824</v>
      </c>
      <c r="OTL1" s="3" t="s">
        <v>10825</v>
      </c>
      <c r="OTM1" s="3" t="s">
        <v>10826</v>
      </c>
      <c r="OTN1" s="3" t="s">
        <v>10827</v>
      </c>
      <c r="OTO1" s="3" t="s">
        <v>10828</v>
      </c>
      <c r="OTP1" s="3" t="s">
        <v>10829</v>
      </c>
      <c r="OTQ1" s="3" t="s">
        <v>10830</v>
      </c>
      <c r="OTR1" s="3" t="s">
        <v>10831</v>
      </c>
      <c r="OTS1" s="3" t="s">
        <v>10832</v>
      </c>
      <c r="OTT1" s="3" t="s">
        <v>10833</v>
      </c>
      <c r="OTU1" s="3" t="s">
        <v>10834</v>
      </c>
      <c r="OTV1" s="3" t="s">
        <v>10835</v>
      </c>
      <c r="OTW1" s="3" t="s">
        <v>10836</v>
      </c>
      <c r="OTX1" s="3" t="s">
        <v>10837</v>
      </c>
      <c r="OTY1" s="3" t="s">
        <v>10838</v>
      </c>
      <c r="OTZ1" s="3" t="s">
        <v>10839</v>
      </c>
      <c r="OUA1" s="3" t="s">
        <v>10840</v>
      </c>
      <c r="OUB1" s="3" t="s">
        <v>10841</v>
      </c>
      <c r="OUC1" s="3" t="s">
        <v>10842</v>
      </c>
      <c r="OUD1" s="3" t="s">
        <v>10843</v>
      </c>
      <c r="OUE1" s="3" t="s">
        <v>10844</v>
      </c>
      <c r="OUF1" s="3" t="s">
        <v>10845</v>
      </c>
      <c r="OUG1" s="3" t="s">
        <v>10846</v>
      </c>
      <c r="OUH1" s="3" t="s">
        <v>10847</v>
      </c>
      <c r="OUI1" s="3" t="s">
        <v>10848</v>
      </c>
      <c r="OUJ1" s="3" t="s">
        <v>10849</v>
      </c>
      <c r="OUK1" s="3" t="s">
        <v>10850</v>
      </c>
      <c r="OUL1" s="3" t="s">
        <v>10851</v>
      </c>
      <c r="OUM1" s="3" t="s">
        <v>10852</v>
      </c>
      <c r="OUN1" s="3" t="s">
        <v>10853</v>
      </c>
      <c r="OUO1" s="3" t="s">
        <v>10854</v>
      </c>
      <c r="OUP1" s="3" t="s">
        <v>10855</v>
      </c>
      <c r="OUQ1" s="3" t="s">
        <v>10856</v>
      </c>
      <c r="OUR1" s="3" t="s">
        <v>10857</v>
      </c>
      <c r="OUS1" s="3" t="s">
        <v>10858</v>
      </c>
      <c r="OUT1" s="3" t="s">
        <v>10859</v>
      </c>
      <c r="OUU1" s="3" t="s">
        <v>10860</v>
      </c>
      <c r="OUV1" s="3" t="s">
        <v>10861</v>
      </c>
      <c r="OUW1" s="3" t="s">
        <v>10862</v>
      </c>
      <c r="OUX1" s="3" t="s">
        <v>10863</v>
      </c>
      <c r="OUY1" s="3" t="s">
        <v>10864</v>
      </c>
      <c r="OUZ1" s="3" t="s">
        <v>10865</v>
      </c>
      <c r="OVA1" s="3" t="s">
        <v>10866</v>
      </c>
      <c r="OVB1" s="3" t="s">
        <v>10867</v>
      </c>
      <c r="OVC1" s="3" t="s">
        <v>10868</v>
      </c>
      <c r="OVD1" s="3" t="s">
        <v>10869</v>
      </c>
      <c r="OVE1" s="3" t="s">
        <v>10870</v>
      </c>
      <c r="OVF1" s="3" t="s">
        <v>10871</v>
      </c>
      <c r="OVG1" s="3" t="s">
        <v>10872</v>
      </c>
      <c r="OVH1" s="3" t="s">
        <v>10873</v>
      </c>
      <c r="OVI1" s="3" t="s">
        <v>10874</v>
      </c>
      <c r="OVJ1" s="3" t="s">
        <v>10875</v>
      </c>
      <c r="OVK1" s="3" t="s">
        <v>10876</v>
      </c>
      <c r="OVL1" s="3" t="s">
        <v>10877</v>
      </c>
      <c r="OVM1" s="3" t="s">
        <v>10878</v>
      </c>
      <c r="OVN1" s="3" t="s">
        <v>10879</v>
      </c>
      <c r="OVO1" s="3" t="s">
        <v>10880</v>
      </c>
      <c r="OVP1" s="3" t="s">
        <v>10881</v>
      </c>
      <c r="OVQ1" s="3" t="s">
        <v>10882</v>
      </c>
      <c r="OVR1" s="3" t="s">
        <v>10883</v>
      </c>
      <c r="OVS1" s="3" t="s">
        <v>10884</v>
      </c>
      <c r="OVT1" s="3" t="s">
        <v>10885</v>
      </c>
      <c r="OVU1" s="3" t="s">
        <v>10886</v>
      </c>
      <c r="OVV1" s="3" t="s">
        <v>10887</v>
      </c>
      <c r="OVW1" s="3" t="s">
        <v>10888</v>
      </c>
      <c r="OVX1" s="3" t="s">
        <v>10889</v>
      </c>
      <c r="OVY1" s="3" t="s">
        <v>10890</v>
      </c>
      <c r="OVZ1" s="3" t="s">
        <v>10891</v>
      </c>
      <c r="OWA1" s="3" t="s">
        <v>10892</v>
      </c>
      <c r="OWB1" s="3" t="s">
        <v>10893</v>
      </c>
      <c r="OWC1" s="3" t="s">
        <v>10894</v>
      </c>
      <c r="OWD1" s="3" t="s">
        <v>10895</v>
      </c>
      <c r="OWE1" s="3" t="s">
        <v>10896</v>
      </c>
      <c r="OWF1" s="3" t="s">
        <v>10897</v>
      </c>
      <c r="OWG1" s="3" t="s">
        <v>10898</v>
      </c>
      <c r="OWH1" s="3" t="s">
        <v>10899</v>
      </c>
      <c r="OWI1" s="3" t="s">
        <v>10900</v>
      </c>
      <c r="OWJ1" s="3" t="s">
        <v>10901</v>
      </c>
      <c r="OWK1" s="3" t="s">
        <v>10902</v>
      </c>
      <c r="OWL1" s="3" t="s">
        <v>10903</v>
      </c>
      <c r="OWM1" s="3" t="s">
        <v>10904</v>
      </c>
      <c r="OWN1" s="3" t="s">
        <v>10905</v>
      </c>
      <c r="OWO1" s="3" t="s">
        <v>10906</v>
      </c>
      <c r="OWP1" s="3" t="s">
        <v>10907</v>
      </c>
      <c r="OWQ1" s="3" t="s">
        <v>10908</v>
      </c>
      <c r="OWR1" s="3" t="s">
        <v>10909</v>
      </c>
      <c r="OWS1" s="3" t="s">
        <v>10910</v>
      </c>
      <c r="OWT1" s="3" t="s">
        <v>10911</v>
      </c>
      <c r="OWU1" s="3" t="s">
        <v>10912</v>
      </c>
      <c r="OWV1" s="3" t="s">
        <v>10913</v>
      </c>
      <c r="OWW1" s="3" t="s">
        <v>10914</v>
      </c>
      <c r="OWX1" s="3" t="s">
        <v>10915</v>
      </c>
      <c r="OWY1" s="3" t="s">
        <v>10916</v>
      </c>
      <c r="OWZ1" s="3" t="s">
        <v>10917</v>
      </c>
      <c r="OXA1" s="3" t="s">
        <v>10918</v>
      </c>
      <c r="OXB1" s="3" t="s">
        <v>10919</v>
      </c>
      <c r="OXC1" s="3" t="s">
        <v>10920</v>
      </c>
      <c r="OXD1" s="3" t="s">
        <v>10921</v>
      </c>
      <c r="OXE1" s="3" t="s">
        <v>10922</v>
      </c>
      <c r="OXF1" s="3" t="s">
        <v>10923</v>
      </c>
      <c r="OXG1" s="3" t="s">
        <v>10924</v>
      </c>
      <c r="OXH1" s="3" t="s">
        <v>10925</v>
      </c>
      <c r="OXI1" s="3" t="s">
        <v>10926</v>
      </c>
      <c r="OXJ1" s="3" t="s">
        <v>10927</v>
      </c>
      <c r="OXK1" s="3" t="s">
        <v>10928</v>
      </c>
      <c r="OXL1" s="3" t="s">
        <v>10929</v>
      </c>
      <c r="OXM1" s="3" t="s">
        <v>10930</v>
      </c>
      <c r="OXN1" s="3" t="s">
        <v>10931</v>
      </c>
      <c r="OXO1" s="3" t="s">
        <v>10932</v>
      </c>
      <c r="OXP1" s="3" t="s">
        <v>10933</v>
      </c>
      <c r="OXQ1" s="3" t="s">
        <v>10934</v>
      </c>
      <c r="OXR1" s="3" t="s">
        <v>10935</v>
      </c>
      <c r="OXS1" s="3" t="s">
        <v>10936</v>
      </c>
      <c r="OXT1" s="3" t="s">
        <v>10937</v>
      </c>
      <c r="OXU1" s="3" t="s">
        <v>10938</v>
      </c>
      <c r="OXV1" s="3" t="s">
        <v>10939</v>
      </c>
      <c r="OXW1" s="3" t="s">
        <v>10940</v>
      </c>
      <c r="OXX1" s="3" t="s">
        <v>10941</v>
      </c>
      <c r="OXY1" s="3" t="s">
        <v>10942</v>
      </c>
      <c r="OXZ1" s="3" t="s">
        <v>10943</v>
      </c>
      <c r="OYA1" s="3" t="s">
        <v>10944</v>
      </c>
      <c r="OYB1" s="3" t="s">
        <v>10945</v>
      </c>
      <c r="OYC1" s="3" t="s">
        <v>10946</v>
      </c>
      <c r="OYD1" s="3" t="s">
        <v>10947</v>
      </c>
      <c r="OYE1" s="3" t="s">
        <v>10948</v>
      </c>
      <c r="OYF1" s="3" t="s">
        <v>10949</v>
      </c>
      <c r="OYG1" s="3" t="s">
        <v>10950</v>
      </c>
      <c r="OYH1" s="3" t="s">
        <v>10951</v>
      </c>
      <c r="OYI1" s="3" t="s">
        <v>10952</v>
      </c>
      <c r="OYJ1" s="3" t="s">
        <v>10953</v>
      </c>
      <c r="OYK1" s="3" t="s">
        <v>10954</v>
      </c>
      <c r="OYL1" s="3" t="s">
        <v>10955</v>
      </c>
      <c r="OYM1" s="3" t="s">
        <v>10956</v>
      </c>
      <c r="OYN1" s="3" t="s">
        <v>10957</v>
      </c>
      <c r="OYO1" s="3" t="s">
        <v>10958</v>
      </c>
      <c r="OYP1" s="3" t="s">
        <v>10959</v>
      </c>
      <c r="OYQ1" s="3" t="s">
        <v>10960</v>
      </c>
      <c r="OYR1" s="3" t="s">
        <v>10961</v>
      </c>
      <c r="OYS1" s="3" t="s">
        <v>10962</v>
      </c>
      <c r="OYT1" s="3" t="s">
        <v>10963</v>
      </c>
      <c r="OYU1" s="3" t="s">
        <v>10964</v>
      </c>
      <c r="OYV1" s="3" t="s">
        <v>10965</v>
      </c>
      <c r="OYW1" s="3" t="s">
        <v>10966</v>
      </c>
      <c r="OYX1" s="3" t="s">
        <v>10967</v>
      </c>
      <c r="OYY1" s="3" t="s">
        <v>10968</v>
      </c>
      <c r="OYZ1" s="3" t="s">
        <v>10969</v>
      </c>
      <c r="OZA1" s="3" t="s">
        <v>10970</v>
      </c>
      <c r="OZB1" s="3" t="s">
        <v>10971</v>
      </c>
      <c r="OZC1" s="3" t="s">
        <v>10972</v>
      </c>
      <c r="OZD1" s="3" t="s">
        <v>10973</v>
      </c>
      <c r="OZE1" s="3" t="s">
        <v>10974</v>
      </c>
      <c r="OZF1" s="3" t="s">
        <v>10975</v>
      </c>
      <c r="OZG1" s="3" t="s">
        <v>10976</v>
      </c>
      <c r="OZH1" s="3" t="s">
        <v>10977</v>
      </c>
      <c r="OZI1" s="3" t="s">
        <v>10978</v>
      </c>
      <c r="OZJ1" s="3" t="s">
        <v>10979</v>
      </c>
      <c r="OZK1" s="3" t="s">
        <v>10980</v>
      </c>
      <c r="OZL1" s="3" t="s">
        <v>10981</v>
      </c>
      <c r="OZM1" s="3" t="s">
        <v>10982</v>
      </c>
      <c r="OZN1" s="3" t="s">
        <v>10983</v>
      </c>
      <c r="OZO1" s="3" t="s">
        <v>10984</v>
      </c>
      <c r="OZP1" s="3" t="s">
        <v>10985</v>
      </c>
      <c r="OZQ1" s="3" t="s">
        <v>10986</v>
      </c>
      <c r="OZR1" s="3" t="s">
        <v>10987</v>
      </c>
      <c r="OZS1" s="3" t="s">
        <v>10988</v>
      </c>
      <c r="OZT1" s="3" t="s">
        <v>10989</v>
      </c>
      <c r="OZU1" s="3" t="s">
        <v>10990</v>
      </c>
      <c r="OZV1" s="3" t="s">
        <v>10991</v>
      </c>
      <c r="OZW1" s="3" t="s">
        <v>10992</v>
      </c>
      <c r="OZX1" s="3" t="s">
        <v>10993</v>
      </c>
      <c r="OZY1" s="3" t="s">
        <v>10994</v>
      </c>
      <c r="OZZ1" s="3" t="s">
        <v>10995</v>
      </c>
      <c r="PAA1" s="3" t="s">
        <v>10996</v>
      </c>
      <c r="PAB1" s="3" t="s">
        <v>10997</v>
      </c>
      <c r="PAC1" s="3" t="s">
        <v>10998</v>
      </c>
      <c r="PAD1" s="3" t="s">
        <v>10999</v>
      </c>
      <c r="PAE1" s="3" t="s">
        <v>11000</v>
      </c>
      <c r="PAF1" s="3" t="s">
        <v>11001</v>
      </c>
      <c r="PAG1" s="3" t="s">
        <v>11002</v>
      </c>
      <c r="PAH1" s="3" t="s">
        <v>11003</v>
      </c>
      <c r="PAI1" s="3" t="s">
        <v>11004</v>
      </c>
      <c r="PAJ1" s="3" t="s">
        <v>11005</v>
      </c>
      <c r="PAK1" s="3" t="s">
        <v>11006</v>
      </c>
      <c r="PAL1" s="3" t="s">
        <v>11007</v>
      </c>
      <c r="PAM1" s="3" t="s">
        <v>11008</v>
      </c>
      <c r="PAN1" s="3" t="s">
        <v>11009</v>
      </c>
      <c r="PAO1" s="3" t="s">
        <v>11010</v>
      </c>
      <c r="PAP1" s="3" t="s">
        <v>11011</v>
      </c>
      <c r="PAQ1" s="3" t="s">
        <v>11012</v>
      </c>
      <c r="PAR1" s="3" t="s">
        <v>11013</v>
      </c>
      <c r="PAS1" s="3" t="s">
        <v>11014</v>
      </c>
      <c r="PAT1" s="3" t="s">
        <v>11015</v>
      </c>
      <c r="PAU1" s="3" t="s">
        <v>11016</v>
      </c>
      <c r="PAV1" s="3" t="s">
        <v>11017</v>
      </c>
      <c r="PAW1" s="3" t="s">
        <v>11018</v>
      </c>
      <c r="PAX1" s="3" t="s">
        <v>11019</v>
      </c>
      <c r="PAY1" s="3" t="s">
        <v>11020</v>
      </c>
      <c r="PAZ1" s="3" t="s">
        <v>11021</v>
      </c>
      <c r="PBA1" s="3" t="s">
        <v>11022</v>
      </c>
      <c r="PBB1" s="3" t="s">
        <v>11023</v>
      </c>
      <c r="PBC1" s="3" t="s">
        <v>11024</v>
      </c>
      <c r="PBD1" s="3" t="s">
        <v>11025</v>
      </c>
      <c r="PBE1" s="3" t="s">
        <v>11026</v>
      </c>
      <c r="PBF1" s="3" t="s">
        <v>11027</v>
      </c>
      <c r="PBG1" s="3" t="s">
        <v>11028</v>
      </c>
      <c r="PBH1" s="3" t="s">
        <v>11029</v>
      </c>
      <c r="PBI1" s="3" t="s">
        <v>11030</v>
      </c>
      <c r="PBJ1" s="3" t="s">
        <v>11031</v>
      </c>
      <c r="PBK1" s="3" t="s">
        <v>11032</v>
      </c>
      <c r="PBL1" s="3" t="s">
        <v>11033</v>
      </c>
      <c r="PBM1" s="3" t="s">
        <v>11034</v>
      </c>
      <c r="PBN1" s="3" t="s">
        <v>11035</v>
      </c>
      <c r="PBO1" s="3" t="s">
        <v>11036</v>
      </c>
      <c r="PBP1" s="3" t="s">
        <v>11037</v>
      </c>
      <c r="PBQ1" s="3" t="s">
        <v>11038</v>
      </c>
      <c r="PBR1" s="3" t="s">
        <v>11039</v>
      </c>
      <c r="PBS1" s="3" t="s">
        <v>11040</v>
      </c>
      <c r="PBT1" s="3" t="s">
        <v>11041</v>
      </c>
      <c r="PBU1" s="3" t="s">
        <v>11042</v>
      </c>
      <c r="PBV1" s="3" t="s">
        <v>11043</v>
      </c>
      <c r="PBW1" s="3" t="s">
        <v>11044</v>
      </c>
      <c r="PBX1" s="3" t="s">
        <v>11045</v>
      </c>
      <c r="PBY1" s="3" t="s">
        <v>11046</v>
      </c>
      <c r="PBZ1" s="3" t="s">
        <v>11047</v>
      </c>
      <c r="PCA1" s="3" t="s">
        <v>11048</v>
      </c>
      <c r="PCB1" s="3" t="s">
        <v>11049</v>
      </c>
      <c r="PCC1" s="3" t="s">
        <v>11050</v>
      </c>
      <c r="PCD1" s="3" t="s">
        <v>11051</v>
      </c>
      <c r="PCE1" s="3" t="s">
        <v>11052</v>
      </c>
      <c r="PCF1" s="3" t="s">
        <v>11053</v>
      </c>
      <c r="PCG1" s="3" t="s">
        <v>11054</v>
      </c>
      <c r="PCH1" s="3" t="s">
        <v>11055</v>
      </c>
      <c r="PCI1" s="3" t="s">
        <v>11056</v>
      </c>
      <c r="PCJ1" s="3" t="s">
        <v>11057</v>
      </c>
      <c r="PCK1" s="3" t="s">
        <v>11058</v>
      </c>
      <c r="PCL1" s="3" t="s">
        <v>11059</v>
      </c>
      <c r="PCM1" s="3" t="s">
        <v>11060</v>
      </c>
      <c r="PCN1" s="3" t="s">
        <v>11061</v>
      </c>
      <c r="PCO1" s="3" t="s">
        <v>11062</v>
      </c>
      <c r="PCP1" s="3" t="s">
        <v>11063</v>
      </c>
      <c r="PCQ1" s="3" t="s">
        <v>11064</v>
      </c>
      <c r="PCR1" s="3" t="s">
        <v>11065</v>
      </c>
      <c r="PCS1" s="3" t="s">
        <v>11066</v>
      </c>
      <c r="PCT1" s="3" t="s">
        <v>11067</v>
      </c>
      <c r="PCU1" s="3" t="s">
        <v>11068</v>
      </c>
      <c r="PCV1" s="3" t="s">
        <v>11069</v>
      </c>
      <c r="PCW1" s="3" t="s">
        <v>11070</v>
      </c>
      <c r="PCX1" s="3" t="s">
        <v>11071</v>
      </c>
      <c r="PCY1" s="3" t="s">
        <v>11072</v>
      </c>
      <c r="PCZ1" s="3" t="s">
        <v>11073</v>
      </c>
      <c r="PDA1" s="3" t="s">
        <v>11074</v>
      </c>
      <c r="PDB1" s="3" t="s">
        <v>11075</v>
      </c>
      <c r="PDC1" s="3" t="s">
        <v>11076</v>
      </c>
      <c r="PDD1" s="3" t="s">
        <v>11077</v>
      </c>
      <c r="PDE1" s="3" t="s">
        <v>11078</v>
      </c>
      <c r="PDF1" s="3" t="s">
        <v>11079</v>
      </c>
      <c r="PDG1" s="3" t="s">
        <v>11080</v>
      </c>
      <c r="PDH1" s="3" t="s">
        <v>11081</v>
      </c>
      <c r="PDI1" s="3" t="s">
        <v>11082</v>
      </c>
      <c r="PDJ1" s="3" t="s">
        <v>11083</v>
      </c>
      <c r="PDK1" s="3" t="s">
        <v>11084</v>
      </c>
      <c r="PDL1" s="3" t="s">
        <v>11085</v>
      </c>
      <c r="PDM1" s="3" t="s">
        <v>11086</v>
      </c>
      <c r="PDN1" s="3" t="s">
        <v>11087</v>
      </c>
      <c r="PDO1" s="3" t="s">
        <v>11088</v>
      </c>
      <c r="PDP1" s="3" t="s">
        <v>11089</v>
      </c>
      <c r="PDQ1" s="3" t="s">
        <v>11090</v>
      </c>
      <c r="PDR1" s="3" t="s">
        <v>11091</v>
      </c>
      <c r="PDS1" s="3" t="s">
        <v>11092</v>
      </c>
      <c r="PDT1" s="3" t="s">
        <v>11093</v>
      </c>
      <c r="PDU1" s="3" t="s">
        <v>11094</v>
      </c>
      <c r="PDV1" s="3" t="s">
        <v>11095</v>
      </c>
      <c r="PDW1" s="3" t="s">
        <v>11096</v>
      </c>
      <c r="PDX1" s="3" t="s">
        <v>11097</v>
      </c>
      <c r="PDY1" s="3" t="s">
        <v>11098</v>
      </c>
      <c r="PDZ1" s="3" t="s">
        <v>11099</v>
      </c>
      <c r="PEA1" s="3" t="s">
        <v>11100</v>
      </c>
      <c r="PEB1" s="3" t="s">
        <v>11101</v>
      </c>
      <c r="PEC1" s="3" t="s">
        <v>11102</v>
      </c>
      <c r="PED1" s="3" t="s">
        <v>11103</v>
      </c>
      <c r="PEE1" s="3" t="s">
        <v>11104</v>
      </c>
      <c r="PEF1" s="3" t="s">
        <v>11105</v>
      </c>
      <c r="PEG1" s="3" t="s">
        <v>11106</v>
      </c>
      <c r="PEH1" s="3" t="s">
        <v>11107</v>
      </c>
      <c r="PEI1" s="3" t="s">
        <v>11108</v>
      </c>
      <c r="PEJ1" s="3" t="s">
        <v>11109</v>
      </c>
      <c r="PEK1" s="3" t="s">
        <v>11110</v>
      </c>
      <c r="PEL1" s="3" t="s">
        <v>11111</v>
      </c>
      <c r="PEM1" s="3" t="s">
        <v>11112</v>
      </c>
      <c r="PEN1" s="3" t="s">
        <v>11113</v>
      </c>
      <c r="PEO1" s="3" t="s">
        <v>11114</v>
      </c>
      <c r="PEP1" s="3" t="s">
        <v>11115</v>
      </c>
      <c r="PEQ1" s="3" t="s">
        <v>11116</v>
      </c>
      <c r="PER1" s="3" t="s">
        <v>11117</v>
      </c>
      <c r="PES1" s="3" t="s">
        <v>11118</v>
      </c>
      <c r="PET1" s="3" t="s">
        <v>11119</v>
      </c>
      <c r="PEU1" s="3" t="s">
        <v>11120</v>
      </c>
      <c r="PEV1" s="3" t="s">
        <v>11121</v>
      </c>
      <c r="PEW1" s="3" t="s">
        <v>11122</v>
      </c>
      <c r="PEX1" s="3" t="s">
        <v>11123</v>
      </c>
      <c r="PEY1" s="3" t="s">
        <v>11124</v>
      </c>
      <c r="PEZ1" s="3" t="s">
        <v>11125</v>
      </c>
      <c r="PFA1" s="3" t="s">
        <v>11126</v>
      </c>
      <c r="PFB1" s="3" t="s">
        <v>11127</v>
      </c>
      <c r="PFC1" s="3" t="s">
        <v>11128</v>
      </c>
      <c r="PFD1" s="3" t="s">
        <v>11129</v>
      </c>
      <c r="PFE1" s="3" t="s">
        <v>11130</v>
      </c>
      <c r="PFF1" s="3" t="s">
        <v>11131</v>
      </c>
      <c r="PFG1" s="3" t="s">
        <v>11132</v>
      </c>
      <c r="PFH1" s="3" t="s">
        <v>11133</v>
      </c>
      <c r="PFI1" s="3" t="s">
        <v>11134</v>
      </c>
      <c r="PFJ1" s="3" t="s">
        <v>11135</v>
      </c>
      <c r="PFK1" s="3" t="s">
        <v>11136</v>
      </c>
      <c r="PFL1" s="3" t="s">
        <v>11137</v>
      </c>
      <c r="PFM1" s="3" t="s">
        <v>11138</v>
      </c>
      <c r="PFN1" s="3" t="s">
        <v>11139</v>
      </c>
      <c r="PFO1" s="3" t="s">
        <v>11140</v>
      </c>
      <c r="PFP1" s="3" t="s">
        <v>11141</v>
      </c>
      <c r="PFQ1" s="3" t="s">
        <v>11142</v>
      </c>
      <c r="PFR1" s="3" t="s">
        <v>11143</v>
      </c>
      <c r="PFS1" s="3" t="s">
        <v>11144</v>
      </c>
      <c r="PFT1" s="3" t="s">
        <v>11145</v>
      </c>
      <c r="PFU1" s="3" t="s">
        <v>11146</v>
      </c>
      <c r="PFV1" s="3" t="s">
        <v>11147</v>
      </c>
      <c r="PFW1" s="3" t="s">
        <v>11148</v>
      </c>
      <c r="PFX1" s="3" t="s">
        <v>11149</v>
      </c>
      <c r="PFY1" s="3" t="s">
        <v>11150</v>
      </c>
      <c r="PFZ1" s="3" t="s">
        <v>11151</v>
      </c>
      <c r="PGA1" s="3" t="s">
        <v>11152</v>
      </c>
      <c r="PGB1" s="3" t="s">
        <v>11153</v>
      </c>
      <c r="PGC1" s="3" t="s">
        <v>11154</v>
      </c>
      <c r="PGD1" s="3" t="s">
        <v>11155</v>
      </c>
      <c r="PGE1" s="3" t="s">
        <v>11156</v>
      </c>
      <c r="PGF1" s="3" t="s">
        <v>11157</v>
      </c>
      <c r="PGG1" s="3" t="s">
        <v>11158</v>
      </c>
      <c r="PGH1" s="3" t="s">
        <v>11159</v>
      </c>
      <c r="PGI1" s="3" t="s">
        <v>11160</v>
      </c>
      <c r="PGJ1" s="3" t="s">
        <v>11161</v>
      </c>
      <c r="PGK1" s="3" t="s">
        <v>11162</v>
      </c>
      <c r="PGL1" s="3" t="s">
        <v>11163</v>
      </c>
      <c r="PGM1" s="3" t="s">
        <v>11164</v>
      </c>
      <c r="PGN1" s="3" t="s">
        <v>11165</v>
      </c>
      <c r="PGO1" s="3" t="s">
        <v>11166</v>
      </c>
      <c r="PGP1" s="3" t="s">
        <v>11167</v>
      </c>
      <c r="PGQ1" s="3" t="s">
        <v>11168</v>
      </c>
      <c r="PGR1" s="3" t="s">
        <v>11169</v>
      </c>
      <c r="PGS1" s="3" t="s">
        <v>11170</v>
      </c>
      <c r="PGT1" s="3" t="s">
        <v>11171</v>
      </c>
      <c r="PGU1" s="3" t="s">
        <v>11172</v>
      </c>
      <c r="PGV1" s="3" t="s">
        <v>11173</v>
      </c>
      <c r="PGW1" s="3" t="s">
        <v>11174</v>
      </c>
      <c r="PGX1" s="3" t="s">
        <v>11175</v>
      </c>
      <c r="PGY1" s="3" t="s">
        <v>11176</v>
      </c>
      <c r="PGZ1" s="3" t="s">
        <v>11177</v>
      </c>
      <c r="PHA1" s="3" t="s">
        <v>11178</v>
      </c>
      <c r="PHB1" s="3" t="s">
        <v>11179</v>
      </c>
      <c r="PHC1" s="3" t="s">
        <v>11180</v>
      </c>
      <c r="PHD1" s="3" t="s">
        <v>11181</v>
      </c>
      <c r="PHE1" s="3" t="s">
        <v>11182</v>
      </c>
      <c r="PHF1" s="3" t="s">
        <v>11183</v>
      </c>
      <c r="PHG1" s="3" t="s">
        <v>11184</v>
      </c>
      <c r="PHH1" s="3" t="s">
        <v>11185</v>
      </c>
      <c r="PHI1" s="3" t="s">
        <v>11186</v>
      </c>
      <c r="PHJ1" s="3" t="s">
        <v>11187</v>
      </c>
      <c r="PHK1" s="3" t="s">
        <v>11188</v>
      </c>
      <c r="PHL1" s="3" t="s">
        <v>11189</v>
      </c>
      <c r="PHM1" s="3" t="s">
        <v>11190</v>
      </c>
      <c r="PHN1" s="3" t="s">
        <v>11191</v>
      </c>
      <c r="PHO1" s="3" t="s">
        <v>11192</v>
      </c>
      <c r="PHP1" s="3" t="s">
        <v>11193</v>
      </c>
      <c r="PHQ1" s="3" t="s">
        <v>11194</v>
      </c>
      <c r="PHR1" s="3" t="s">
        <v>11195</v>
      </c>
      <c r="PHS1" s="3" t="s">
        <v>11196</v>
      </c>
      <c r="PHT1" s="3" t="s">
        <v>11197</v>
      </c>
      <c r="PHU1" s="3" t="s">
        <v>11198</v>
      </c>
      <c r="PHV1" s="3" t="s">
        <v>11199</v>
      </c>
      <c r="PHW1" s="3" t="s">
        <v>11200</v>
      </c>
      <c r="PHX1" s="3" t="s">
        <v>11201</v>
      </c>
      <c r="PHY1" s="3" t="s">
        <v>11202</v>
      </c>
      <c r="PHZ1" s="3" t="s">
        <v>11203</v>
      </c>
      <c r="PIA1" s="3" t="s">
        <v>11204</v>
      </c>
      <c r="PIB1" s="3" t="s">
        <v>11205</v>
      </c>
      <c r="PIC1" s="3" t="s">
        <v>11206</v>
      </c>
      <c r="PID1" s="3" t="s">
        <v>11207</v>
      </c>
      <c r="PIE1" s="3" t="s">
        <v>11208</v>
      </c>
      <c r="PIF1" s="3" t="s">
        <v>11209</v>
      </c>
      <c r="PIG1" s="3" t="s">
        <v>11210</v>
      </c>
      <c r="PIH1" s="3" t="s">
        <v>11211</v>
      </c>
      <c r="PII1" s="3" t="s">
        <v>11212</v>
      </c>
      <c r="PIJ1" s="3" t="s">
        <v>11213</v>
      </c>
      <c r="PIK1" s="3" t="s">
        <v>11214</v>
      </c>
      <c r="PIL1" s="3" t="s">
        <v>11215</v>
      </c>
      <c r="PIM1" s="3" t="s">
        <v>11216</v>
      </c>
      <c r="PIN1" s="3" t="s">
        <v>11217</v>
      </c>
      <c r="PIO1" s="3" t="s">
        <v>11218</v>
      </c>
      <c r="PIP1" s="3" t="s">
        <v>11219</v>
      </c>
      <c r="PIQ1" s="3" t="s">
        <v>11220</v>
      </c>
      <c r="PIR1" s="3" t="s">
        <v>11221</v>
      </c>
      <c r="PIS1" s="3" t="s">
        <v>11222</v>
      </c>
      <c r="PIT1" s="3" t="s">
        <v>11223</v>
      </c>
      <c r="PIU1" s="3" t="s">
        <v>11224</v>
      </c>
      <c r="PIV1" s="3" t="s">
        <v>11225</v>
      </c>
      <c r="PIW1" s="3" t="s">
        <v>11226</v>
      </c>
      <c r="PIX1" s="3" t="s">
        <v>11227</v>
      </c>
      <c r="PIY1" s="3" t="s">
        <v>11228</v>
      </c>
      <c r="PIZ1" s="3" t="s">
        <v>11229</v>
      </c>
      <c r="PJA1" s="3" t="s">
        <v>11230</v>
      </c>
      <c r="PJB1" s="3" t="s">
        <v>11231</v>
      </c>
      <c r="PJC1" s="3" t="s">
        <v>11232</v>
      </c>
      <c r="PJD1" s="3" t="s">
        <v>11233</v>
      </c>
      <c r="PJE1" s="3" t="s">
        <v>11234</v>
      </c>
      <c r="PJF1" s="3" t="s">
        <v>11235</v>
      </c>
      <c r="PJG1" s="3" t="s">
        <v>11236</v>
      </c>
      <c r="PJH1" s="3" t="s">
        <v>11237</v>
      </c>
      <c r="PJI1" s="3" t="s">
        <v>11238</v>
      </c>
      <c r="PJJ1" s="3" t="s">
        <v>11239</v>
      </c>
      <c r="PJK1" s="3" t="s">
        <v>11240</v>
      </c>
      <c r="PJL1" s="3" t="s">
        <v>11241</v>
      </c>
      <c r="PJM1" s="3" t="s">
        <v>11242</v>
      </c>
      <c r="PJN1" s="3" t="s">
        <v>11243</v>
      </c>
      <c r="PJO1" s="3" t="s">
        <v>11244</v>
      </c>
      <c r="PJP1" s="3" t="s">
        <v>11245</v>
      </c>
      <c r="PJQ1" s="3" t="s">
        <v>11246</v>
      </c>
      <c r="PJR1" s="3" t="s">
        <v>11247</v>
      </c>
      <c r="PJS1" s="3" t="s">
        <v>11248</v>
      </c>
      <c r="PJT1" s="3" t="s">
        <v>11249</v>
      </c>
      <c r="PJU1" s="3" t="s">
        <v>11250</v>
      </c>
      <c r="PJV1" s="3" t="s">
        <v>11251</v>
      </c>
      <c r="PJW1" s="3" t="s">
        <v>11252</v>
      </c>
      <c r="PJX1" s="3" t="s">
        <v>11253</v>
      </c>
      <c r="PJY1" s="3" t="s">
        <v>11254</v>
      </c>
      <c r="PJZ1" s="3" t="s">
        <v>11255</v>
      </c>
      <c r="PKA1" s="3" t="s">
        <v>11256</v>
      </c>
      <c r="PKB1" s="3" t="s">
        <v>11257</v>
      </c>
      <c r="PKC1" s="3" t="s">
        <v>11258</v>
      </c>
      <c r="PKD1" s="3" t="s">
        <v>11259</v>
      </c>
      <c r="PKE1" s="3" t="s">
        <v>11260</v>
      </c>
      <c r="PKF1" s="3" t="s">
        <v>11261</v>
      </c>
      <c r="PKG1" s="3" t="s">
        <v>11262</v>
      </c>
      <c r="PKH1" s="3" t="s">
        <v>11263</v>
      </c>
      <c r="PKI1" s="3" t="s">
        <v>11264</v>
      </c>
      <c r="PKJ1" s="3" t="s">
        <v>11265</v>
      </c>
      <c r="PKK1" s="3" t="s">
        <v>11266</v>
      </c>
      <c r="PKL1" s="3" t="s">
        <v>11267</v>
      </c>
      <c r="PKM1" s="3" t="s">
        <v>11268</v>
      </c>
      <c r="PKN1" s="3" t="s">
        <v>11269</v>
      </c>
      <c r="PKO1" s="3" t="s">
        <v>11270</v>
      </c>
      <c r="PKP1" s="3" t="s">
        <v>11271</v>
      </c>
      <c r="PKQ1" s="3" t="s">
        <v>11272</v>
      </c>
      <c r="PKR1" s="3" t="s">
        <v>11273</v>
      </c>
      <c r="PKS1" s="3" t="s">
        <v>11274</v>
      </c>
      <c r="PKT1" s="3" t="s">
        <v>11275</v>
      </c>
      <c r="PKU1" s="3" t="s">
        <v>11276</v>
      </c>
      <c r="PKV1" s="3" t="s">
        <v>11277</v>
      </c>
      <c r="PKW1" s="3" t="s">
        <v>11278</v>
      </c>
      <c r="PKX1" s="3" t="s">
        <v>11279</v>
      </c>
      <c r="PKY1" s="3" t="s">
        <v>11280</v>
      </c>
      <c r="PKZ1" s="3" t="s">
        <v>11281</v>
      </c>
      <c r="PLA1" s="3" t="s">
        <v>11282</v>
      </c>
      <c r="PLB1" s="3" t="s">
        <v>11283</v>
      </c>
      <c r="PLC1" s="3" t="s">
        <v>11284</v>
      </c>
      <c r="PLD1" s="3" t="s">
        <v>11285</v>
      </c>
      <c r="PLE1" s="3" t="s">
        <v>11286</v>
      </c>
      <c r="PLF1" s="3" t="s">
        <v>11287</v>
      </c>
      <c r="PLG1" s="3" t="s">
        <v>11288</v>
      </c>
      <c r="PLH1" s="3" t="s">
        <v>11289</v>
      </c>
      <c r="PLI1" s="3" t="s">
        <v>11290</v>
      </c>
      <c r="PLJ1" s="3" t="s">
        <v>11291</v>
      </c>
      <c r="PLK1" s="3" t="s">
        <v>11292</v>
      </c>
      <c r="PLL1" s="3" t="s">
        <v>11293</v>
      </c>
      <c r="PLM1" s="3" t="s">
        <v>11294</v>
      </c>
      <c r="PLN1" s="3" t="s">
        <v>11295</v>
      </c>
      <c r="PLO1" s="3" t="s">
        <v>11296</v>
      </c>
      <c r="PLP1" s="3" t="s">
        <v>11297</v>
      </c>
      <c r="PLQ1" s="3" t="s">
        <v>11298</v>
      </c>
      <c r="PLR1" s="3" t="s">
        <v>11299</v>
      </c>
      <c r="PLS1" s="3" t="s">
        <v>11300</v>
      </c>
      <c r="PLT1" s="3" t="s">
        <v>11301</v>
      </c>
      <c r="PLU1" s="3" t="s">
        <v>11302</v>
      </c>
      <c r="PLV1" s="3" t="s">
        <v>11303</v>
      </c>
      <c r="PLW1" s="3" t="s">
        <v>11304</v>
      </c>
      <c r="PLX1" s="3" t="s">
        <v>11305</v>
      </c>
      <c r="PLY1" s="3" t="s">
        <v>11306</v>
      </c>
      <c r="PLZ1" s="3" t="s">
        <v>11307</v>
      </c>
      <c r="PMA1" s="3" t="s">
        <v>11308</v>
      </c>
      <c r="PMB1" s="3" t="s">
        <v>11309</v>
      </c>
      <c r="PMC1" s="3" t="s">
        <v>11310</v>
      </c>
      <c r="PMD1" s="3" t="s">
        <v>11311</v>
      </c>
      <c r="PME1" s="3" t="s">
        <v>11312</v>
      </c>
      <c r="PMF1" s="3" t="s">
        <v>11313</v>
      </c>
      <c r="PMG1" s="3" t="s">
        <v>11314</v>
      </c>
      <c r="PMH1" s="3" t="s">
        <v>11315</v>
      </c>
      <c r="PMI1" s="3" t="s">
        <v>11316</v>
      </c>
      <c r="PMJ1" s="3" t="s">
        <v>11317</v>
      </c>
      <c r="PMK1" s="3" t="s">
        <v>11318</v>
      </c>
      <c r="PML1" s="3" t="s">
        <v>11319</v>
      </c>
      <c r="PMM1" s="3" t="s">
        <v>11320</v>
      </c>
      <c r="PMN1" s="3" t="s">
        <v>11321</v>
      </c>
      <c r="PMO1" s="3" t="s">
        <v>11322</v>
      </c>
      <c r="PMP1" s="3" t="s">
        <v>11323</v>
      </c>
      <c r="PMQ1" s="3" t="s">
        <v>11324</v>
      </c>
      <c r="PMR1" s="3" t="s">
        <v>11325</v>
      </c>
      <c r="PMS1" s="3" t="s">
        <v>11326</v>
      </c>
      <c r="PMT1" s="3" t="s">
        <v>11327</v>
      </c>
      <c r="PMU1" s="3" t="s">
        <v>11328</v>
      </c>
      <c r="PMV1" s="3" t="s">
        <v>11329</v>
      </c>
      <c r="PMW1" s="3" t="s">
        <v>11330</v>
      </c>
      <c r="PMX1" s="3" t="s">
        <v>11331</v>
      </c>
      <c r="PMY1" s="3" t="s">
        <v>11332</v>
      </c>
      <c r="PMZ1" s="3" t="s">
        <v>11333</v>
      </c>
      <c r="PNA1" s="3" t="s">
        <v>11334</v>
      </c>
      <c r="PNB1" s="3" t="s">
        <v>11335</v>
      </c>
      <c r="PNC1" s="3" t="s">
        <v>11336</v>
      </c>
      <c r="PND1" s="3" t="s">
        <v>11337</v>
      </c>
      <c r="PNE1" s="3" t="s">
        <v>11338</v>
      </c>
      <c r="PNF1" s="3" t="s">
        <v>11339</v>
      </c>
      <c r="PNG1" s="3" t="s">
        <v>11340</v>
      </c>
      <c r="PNH1" s="3" t="s">
        <v>11341</v>
      </c>
      <c r="PNI1" s="3" t="s">
        <v>11342</v>
      </c>
      <c r="PNJ1" s="3" t="s">
        <v>11343</v>
      </c>
      <c r="PNK1" s="3" t="s">
        <v>11344</v>
      </c>
      <c r="PNL1" s="3" t="s">
        <v>11345</v>
      </c>
      <c r="PNM1" s="3" t="s">
        <v>11346</v>
      </c>
      <c r="PNN1" s="3" t="s">
        <v>11347</v>
      </c>
      <c r="PNO1" s="3" t="s">
        <v>11348</v>
      </c>
      <c r="PNP1" s="3" t="s">
        <v>11349</v>
      </c>
      <c r="PNQ1" s="3" t="s">
        <v>11350</v>
      </c>
      <c r="PNR1" s="3" t="s">
        <v>11351</v>
      </c>
      <c r="PNS1" s="3" t="s">
        <v>11352</v>
      </c>
      <c r="PNT1" s="3" t="s">
        <v>11353</v>
      </c>
      <c r="PNU1" s="3" t="s">
        <v>11354</v>
      </c>
      <c r="PNV1" s="3" t="s">
        <v>11355</v>
      </c>
      <c r="PNW1" s="3" t="s">
        <v>11356</v>
      </c>
      <c r="PNX1" s="3" t="s">
        <v>11357</v>
      </c>
      <c r="PNY1" s="3" t="s">
        <v>11358</v>
      </c>
      <c r="PNZ1" s="3" t="s">
        <v>11359</v>
      </c>
      <c r="POA1" s="3" t="s">
        <v>11360</v>
      </c>
      <c r="POB1" s="3" t="s">
        <v>11361</v>
      </c>
      <c r="POC1" s="3" t="s">
        <v>11362</v>
      </c>
      <c r="POD1" s="3" t="s">
        <v>11363</v>
      </c>
      <c r="POE1" s="3" t="s">
        <v>11364</v>
      </c>
      <c r="POF1" s="3" t="s">
        <v>11365</v>
      </c>
      <c r="POG1" s="3" t="s">
        <v>11366</v>
      </c>
      <c r="POH1" s="3" t="s">
        <v>11367</v>
      </c>
      <c r="POI1" s="3" t="s">
        <v>11368</v>
      </c>
      <c r="POJ1" s="3" t="s">
        <v>11369</v>
      </c>
      <c r="POK1" s="3" t="s">
        <v>11370</v>
      </c>
      <c r="POL1" s="3" t="s">
        <v>11371</v>
      </c>
      <c r="POM1" s="3" t="s">
        <v>11372</v>
      </c>
      <c r="PON1" s="3" t="s">
        <v>11373</v>
      </c>
      <c r="POO1" s="3" t="s">
        <v>11374</v>
      </c>
      <c r="POP1" s="3" t="s">
        <v>11375</v>
      </c>
      <c r="POQ1" s="3" t="s">
        <v>11376</v>
      </c>
      <c r="POR1" s="3" t="s">
        <v>11377</v>
      </c>
      <c r="POS1" s="3" t="s">
        <v>11378</v>
      </c>
      <c r="POT1" s="3" t="s">
        <v>11379</v>
      </c>
      <c r="POU1" s="3" t="s">
        <v>11380</v>
      </c>
      <c r="POV1" s="3" t="s">
        <v>11381</v>
      </c>
      <c r="POW1" s="3" t="s">
        <v>11382</v>
      </c>
      <c r="POX1" s="3" t="s">
        <v>11383</v>
      </c>
      <c r="POY1" s="3" t="s">
        <v>11384</v>
      </c>
      <c r="POZ1" s="3" t="s">
        <v>11385</v>
      </c>
      <c r="PPA1" s="3" t="s">
        <v>11386</v>
      </c>
      <c r="PPB1" s="3" t="s">
        <v>11387</v>
      </c>
      <c r="PPC1" s="3" t="s">
        <v>11388</v>
      </c>
      <c r="PPD1" s="3" t="s">
        <v>11389</v>
      </c>
      <c r="PPE1" s="3" t="s">
        <v>11390</v>
      </c>
      <c r="PPF1" s="3" t="s">
        <v>11391</v>
      </c>
      <c r="PPG1" s="3" t="s">
        <v>11392</v>
      </c>
      <c r="PPH1" s="3" t="s">
        <v>11393</v>
      </c>
      <c r="PPI1" s="3" t="s">
        <v>11394</v>
      </c>
      <c r="PPJ1" s="3" t="s">
        <v>11395</v>
      </c>
      <c r="PPK1" s="3" t="s">
        <v>11396</v>
      </c>
      <c r="PPL1" s="3" t="s">
        <v>11397</v>
      </c>
      <c r="PPM1" s="3" t="s">
        <v>11398</v>
      </c>
      <c r="PPN1" s="3" t="s">
        <v>11399</v>
      </c>
      <c r="PPO1" s="3" t="s">
        <v>11400</v>
      </c>
      <c r="PPP1" s="3" t="s">
        <v>11401</v>
      </c>
      <c r="PPQ1" s="3" t="s">
        <v>11402</v>
      </c>
      <c r="PPR1" s="3" t="s">
        <v>11403</v>
      </c>
      <c r="PPS1" s="3" t="s">
        <v>11404</v>
      </c>
      <c r="PPT1" s="3" t="s">
        <v>11405</v>
      </c>
      <c r="PPU1" s="3" t="s">
        <v>11406</v>
      </c>
      <c r="PPV1" s="3" t="s">
        <v>11407</v>
      </c>
      <c r="PPW1" s="3" t="s">
        <v>11408</v>
      </c>
      <c r="PPX1" s="3" t="s">
        <v>11409</v>
      </c>
      <c r="PPY1" s="3" t="s">
        <v>11410</v>
      </c>
      <c r="PPZ1" s="3" t="s">
        <v>11411</v>
      </c>
      <c r="PQA1" s="3" t="s">
        <v>11412</v>
      </c>
      <c r="PQB1" s="3" t="s">
        <v>11413</v>
      </c>
      <c r="PQC1" s="3" t="s">
        <v>11414</v>
      </c>
      <c r="PQD1" s="3" t="s">
        <v>11415</v>
      </c>
      <c r="PQE1" s="3" t="s">
        <v>11416</v>
      </c>
      <c r="PQF1" s="3" t="s">
        <v>11417</v>
      </c>
      <c r="PQG1" s="3" t="s">
        <v>11418</v>
      </c>
      <c r="PQH1" s="3" t="s">
        <v>11419</v>
      </c>
      <c r="PQI1" s="3" t="s">
        <v>11420</v>
      </c>
      <c r="PQJ1" s="3" t="s">
        <v>11421</v>
      </c>
      <c r="PQK1" s="3" t="s">
        <v>11422</v>
      </c>
      <c r="PQL1" s="3" t="s">
        <v>11423</v>
      </c>
      <c r="PQM1" s="3" t="s">
        <v>11424</v>
      </c>
      <c r="PQN1" s="3" t="s">
        <v>11425</v>
      </c>
      <c r="PQO1" s="3" t="s">
        <v>11426</v>
      </c>
      <c r="PQP1" s="3" t="s">
        <v>11427</v>
      </c>
      <c r="PQQ1" s="3" t="s">
        <v>11428</v>
      </c>
      <c r="PQR1" s="3" t="s">
        <v>11429</v>
      </c>
      <c r="PQS1" s="3" t="s">
        <v>11430</v>
      </c>
      <c r="PQT1" s="3" t="s">
        <v>11431</v>
      </c>
      <c r="PQU1" s="3" t="s">
        <v>11432</v>
      </c>
      <c r="PQV1" s="3" t="s">
        <v>11433</v>
      </c>
      <c r="PQW1" s="3" t="s">
        <v>11434</v>
      </c>
      <c r="PQX1" s="3" t="s">
        <v>11435</v>
      </c>
      <c r="PQY1" s="3" t="s">
        <v>11436</v>
      </c>
      <c r="PQZ1" s="3" t="s">
        <v>11437</v>
      </c>
      <c r="PRA1" s="3" t="s">
        <v>11438</v>
      </c>
      <c r="PRB1" s="3" t="s">
        <v>11439</v>
      </c>
      <c r="PRC1" s="3" t="s">
        <v>11440</v>
      </c>
      <c r="PRD1" s="3" t="s">
        <v>11441</v>
      </c>
      <c r="PRE1" s="3" t="s">
        <v>11442</v>
      </c>
      <c r="PRF1" s="3" t="s">
        <v>11443</v>
      </c>
      <c r="PRG1" s="3" t="s">
        <v>11444</v>
      </c>
      <c r="PRH1" s="3" t="s">
        <v>11445</v>
      </c>
      <c r="PRI1" s="3" t="s">
        <v>11446</v>
      </c>
      <c r="PRJ1" s="3" t="s">
        <v>11447</v>
      </c>
      <c r="PRK1" s="3" t="s">
        <v>11448</v>
      </c>
      <c r="PRL1" s="3" t="s">
        <v>11449</v>
      </c>
      <c r="PRM1" s="3" t="s">
        <v>11450</v>
      </c>
      <c r="PRN1" s="3" t="s">
        <v>11451</v>
      </c>
      <c r="PRO1" s="3" t="s">
        <v>11452</v>
      </c>
      <c r="PRP1" s="3" t="s">
        <v>11453</v>
      </c>
      <c r="PRQ1" s="3" t="s">
        <v>11454</v>
      </c>
      <c r="PRR1" s="3" t="s">
        <v>11455</v>
      </c>
      <c r="PRS1" s="3" t="s">
        <v>11456</v>
      </c>
      <c r="PRT1" s="3" t="s">
        <v>11457</v>
      </c>
      <c r="PRU1" s="3" t="s">
        <v>11458</v>
      </c>
      <c r="PRV1" s="3" t="s">
        <v>11459</v>
      </c>
      <c r="PRW1" s="3" t="s">
        <v>11460</v>
      </c>
      <c r="PRX1" s="3" t="s">
        <v>11461</v>
      </c>
      <c r="PRY1" s="3" t="s">
        <v>11462</v>
      </c>
      <c r="PRZ1" s="3" t="s">
        <v>11463</v>
      </c>
      <c r="PSA1" s="3" t="s">
        <v>11464</v>
      </c>
      <c r="PSB1" s="3" t="s">
        <v>11465</v>
      </c>
      <c r="PSC1" s="3" t="s">
        <v>11466</v>
      </c>
      <c r="PSD1" s="3" t="s">
        <v>11467</v>
      </c>
      <c r="PSE1" s="3" t="s">
        <v>11468</v>
      </c>
      <c r="PSF1" s="3" t="s">
        <v>11469</v>
      </c>
      <c r="PSG1" s="3" t="s">
        <v>11470</v>
      </c>
      <c r="PSH1" s="3" t="s">
        <v>11471</v>
      </c>
      <c r="PSI1" s="3" t="s">
        <v>11472</v>
      </c>
      <c r="PSJ1" s="3" t="s">
        <v>11473</v>
      </c>
      <c r="PSK1" s="3" t="s">
        <v>11474</v>
      </c>
      <c r="PSL1" s="3" t="s">
        <v>11475</v>
      </c>
      <c r="PSM1" s="3" t="s">
        <v>11476</v>
      </c>
      <c r="PSN1" s="3" t="s">
        <v>11477</v>
      </c>
      <c r="PSO1" s="3" t="s">
        <v>11478</v>
      </c>
      <c r="PSP1" s="3" t="s">
        <v>11479</v>
      </c>
      <c r="PSQ1" s="3" t="s">
        <v>11480</v>
      </c>
      <c r="PSR1" s="3" t="s">
        <v>11481</v>
      </c>
      <c r="PSS1" s="3" t="s">
        <v>11482</v>
      </c>
      <c r="PST1" s="3" t="s">
        <v>11483</v>
      </c>
      <c r="PSU1" s="3" t="s">
        <v>11484</v>
      </c>
      <c r="PSV1" s="3" t="s">
        <v>11485</v>
      </c>
      <c r="PSW1" s="3" t="s">
        <v>11486</v>
      </c>
      <c r="PSX1" s="3" t="s">
        <v>11487</v>
      </c>
      <c r="PSY1" s="3" t="s">
        <v>11488</v>
      </c>
      <c r="PSZ1" s="3" t="s">
        <v>11489</v>
      </c>
      <c r="PTA1" s="3" t="s">
        <v>11490</v>
      </c>
      <c r="PTB1" s="3" t="s">
        <v>11491</v>
      </c>
      <c r="PTC1" s="3" t="s">
        <v>11492</v>
      </c>
      <c r="PTD1" s="3" t="s">
        <v>11493</v>
      </c>
      <c r="PTE1" s="3" t="s">
        <v>11494</v>
      </c>
      <c r="PTF1" s="3" t="s">
        <v>11495</v>
      </c>
      <c r="PTG1" s="3" t="s">
        <v>11496</v>
      </c>
      <c r="PTH1" s="3" t="s">
        <v>11497</v>
      </c>
      <c r="PTI1" s="3" t="s">
        <v>11498</v>
      </c>
      <c r="PTJ1" s="3" t="s">
        <v>11499</v>
      </c>
      <c r="PTK1" s="3" t="s">
        <v>11500</v>
      </c>
      <c r="PTL1" s="3" t="s">
        <v>11501</v>
      </c>
      <c r="PTM1" s="3" t="s">
        <v>11502</v>
      </c>
      <c r="PTN1" s="3" t="s">
        <v>11503</v>
      </c>
      <c r="PTO1" s="3" t="s">
        <v>11504</v>
      </c>
      <c r="PTP1" s="3" t="s">
        <v>11505</v>
      </c>
      <c r="PTQ1" s="3" t="s">
        <v>11506</v>
      </c>
      <c r="PTR1" s="3" t="s">
        <v>11507</v>
      </c>
      <c r="PTS1" s="3" t="s">
        <v>11508</v>
      </c>
      <c r="PTT1" s="3" t="s">
        <v>11509</v>
      </c>
      <c r="PTU1" s="3" t="s">
        <v>11510</v>
      </c>
      <c r="PTV1" s="3" t="s">
        <v>11511</v>
      </c>
      <c r="PTW1" s="3" t="s">
        <v>11512</v>
      </c>
      <c r="PTX1" s="3" t="s">
        <v>11513</v>
      </c>
      <c r="PTY1" s="3" t="s">
        <v>11514</v>
      </c>
      <c r="PTZ1" s="3" t="s">
        <v>11515</v>
      </c>
      <c r="PUA1" s="3" t="s">
        <v>11516</v>
      </c>
      <c r="PUB1" s="3" t="s">
        <v>11517</v>
      </c>
      <c r="PUC1" s="3" t="s">
        <v>11518</v>
      </c>
      <c r="PUD1" s="3" t="s">
        <v>11519</v>
      </c>
      <c r="PUE1" s="3" t="s">
        <v>11520</v>
      </c>
      <c r="PUF1" s="3" t="s">
        <v>11521</v>
      </c>
      <c r="PUG1" s="3" t="s">
        <v>11522</v>
      </c>
      <c r="PUH1" s="3" t="s">
        <v>11523</v>
      </c>
      <c r="PUI1" s="3" t="s">
        <v>11524</v>
      </c>
      <c r="PUJ1" s="3" t="s">
        <v>11525</v>
      </c>
      <c r="PUK1" s="3" t="s">
        <v>11526</v>
      </c>
      <c r="PUL1" s="3" t="s">
        <v>11527</v>
      </c>
      <c r="PUM1" s="3" t="s">
        <v>11528</v>
      </c>
      <c r="PUN1" s="3" t="s">
        <v>11529</v>
      </c>
      <c r="PUO1" s="3" t="s">
        <v>11530</v>
      </c>
      <c r="PUP1" s="3" t="s">
        <v>11531</v>
      </c>
      <c r="PUQ1" s="3" t="s">
        <v>11532</v>
      </c>
      <c r="PUR1" s="3" t="s">
        <v>11533</v>
      </c>
      <c r="PUS1" s="3" t="s">
        <v>11534</v>
      </c>
      <c r="PUT1" s="3" t="s">
        <v>11535</v>
      </c>
      <c r="PUU1" s="3" t="s">
        <v>11536</v>
      </c>
      <c r="PUV1" s="3" t="s">
        <v>11537</v>
      </c>
      <c r="PUW1" s="3" t="s">
        <v>11538</v>
      </c>
      <c r="PUX1" s="3" t="s">
        <v>11539</v>
      </c>
      <c r="PUY1" s="3" t="s">
        <v>11540</v>
      </c>
      <c r="PUZ1" s="3" t="s">
        <v>11541</v>
      </c>
      <c r="PVA1" s="3" t="s">
        <v>11542</v>
      </c>
      <c r="PVB1" s="3" t="s">
        <v>11543</v>
      </c>
      <c r="PVC1" s="3" t="s">
        <v>11544</v>
      </c>
      <c r="PVD1" s="3" t="s">
        <v>11545</v>
      </c>
      <c r="PVE1" s="3" t="s">
        <v>11546</v>
      </c>
      <c r="PVF1" s="3" t="s">
        <v>11547</v>
      </c>
      <c r="PVG1" s="3" t="s">
        <v>11548</v>
      </c>
      <c r="PVH1" s="3" t="s">
        <v>11549</v>
      </c>
      <c r="PVI1" s="3" t="s">
        <v>11550</v>
      </c>
      <c r="PVJ1" s="3" t="s">
        <v>11551</v>
      </c>
      <c r="PVK1" s="3" t="s">
        <v>11552</v>
      </c>
      <c r="PVL1" s="3" t="s">
        <v>11553</v>
      </c>
      <c r="PVM1" s="3" t="s">
        <v>11554</v>
      </c>
      <c r="PVN1" s="3" t="s">
        <v>11555</v>
      </c>
      <c r="PVO1" s="3" t="s">
        <v>11556</v>
      </c>
      <c r="PVP1" s="3" t="s">
        <v>11557</v>
      </c>
      <c r="PVQ1" s="3" t="s">
        <v>11558</v>
      </c>
      <c r="PVR1" s="3" t="s">
        <v>11559</v>
      </c>
      <c r="PVS1" s="3" t="s">
        <v>11560</v>
      </c>
      <c r="PVT1" s="3" t="s">
        <v>11561</v>
      </c>
      <c r="PVU1" s="3" t="s">
        <v>11562</v>
      </c>
      <c r="PVV1" s="3" t="s">
        <v>11563</v>
      </c>
      <c r="PVW1" s="3" t="s">
        <v>11564</v>
      </c>
      <c r="PVX1" s="3" t="s">
        <v>11565</v>
      </c>
      <c r="PVY1" s="3" t="s">
        <v>11566</v>
      </c>
      <c r="PVZ1" s="3" t="s">
        <v>11567</v>
      </c>
      <c r="PWA1" s="3" t="s">
        <v>11568</v>
      </c>
      <c r="PWB1" s="3" t="s">
        <v>11569</v>
      </c>
      <c r="PWC1" s="3" t="s">
        <v>11570</v>
      </c>
      <c r="PWD1" s="3" t="s">
        <v>11571</v>
      </c>
      <c r="PWE1" s="3" t="s">
        <v>11572</v>
      </c>
      <c r="PWF1" s="3" t="s">
        <v>11573</v>
      </c>
      <c r="PWG1" s="3" t="s">
        <v>11574</v>
      </c>
      <c r="PWH1" s="3" t="s">
        <v>11575</v>
      </c>
      <c r="PWI1" s="3" t="s">
        <v>11576</v>
      </c>
      <c r="PWJ1" s="3" t="s">
        <v>11577</v>
      </c>
      <c r="PWK1" s="3" t="s">
        <v>11578</v>
      </c>
      <c r="PWL1" s="3" t="s">
        <v>11579</v>
      </c>
      <c r="PWM1" s="3" t="s">
        <v>11580</v>
      </c>
      <c r="PWN1" s="3" t="s">
        <v>11581</v>
      </c>
      <c r="PWO1" s="3" t="s">
        <v>11582</v>
      </c>
      <c r="PWP1" s="3" t="s">
        <v>11583</v>
      </c>
      <c r="PWQ1" s="3" t="s">
        <v>11584</v>
      </c>
      <c r="PWR1" s="3" t="s">
        <v>11585</v>
      </c>
      <c r="PWS1" s="3" t="s">
        <v>11586</v>
      </c>
      <c r="PWT1" s="3" t="s">
        <v>11587</v>
      </c>
      <c r="PWU1" s="3" t="s">
        <v>11588</v>
      </c>
      <c r="PWV1" s="3" t="s">
        <v>11589</v>
      </c>
      <c r="PWW1" s="3" t="s">
        <v>11590</v>
      </c>
      <c r="PWX1" s="3" t="s">
        <v>11591</v>
      </c>
      <c r="PWY1" s="3" t="s">
        <v>11592</v>
      </c>
      <c r="PWZ1" s="3" t="s">
        <v>11593</v>
      </c>
      <c r="PXA1" s="3" t="s">
        <v>11594</v>
      </c>
      <c r="PXB1" s="3" t="s">
        <v>11595</v>
      </c>
      <c r="PXC1" s="3" t="s">
        <v>11596</v>
      </c>
      <c r="PXD1" s="3" t="s">
        <v>11597</v>
      </c>
      <c r="PXE1" s="3" t="s">
        <v>11598</v>
      </c>
      <c r="PXF1" s="3" t="s">
        <v>11599</v>
      </c>
      <c r="PXG1" s="3" t="s">
        <v>11600</v>
      </c>
      <c r="PXH1" s="3" t="s">
        <v>11601</v>
      </c>
      <c r="PXI1" s="3" t="s">
        <v>11602</v>
      </c>
      <c r="PXJ1" s="3" t="s">
        <v>11603</v>
      </c>
      <c r="PXK1" s="3" t="s">
        <v>11604</v>
      </c>
      <c r="PXL1" s="3" t="s">
        <v>11605</v>
      </c>
      <c r="PXM1" s="3" t="s">
        <v>11606</v>
      </c>
      <c r="PXN1" s="3" t="s">
        <v>11607</v>
      </c>
      <c r="PXO1" s="3" t="s">
        <v>11608</v>
      </c>
      <c r="PXP1" s="3" t="s">
        <v>11609</v>
      </c>
      <c r="PXQ1" s="3" t="s">
        <v>11610</v>
      </c>
      <c r="PXR1" s="3" t="s">
        <v>11611</v>
      </c>
      <c r="PXS1" s="3" t="s">
        <v>11612</v>
      </c>
      <c r="PXT1" s="3" t="s">
        <v>11613</v>
      </c>
      <c r="PXU1" s="3" t="s">
        <v>11614</v>
      </c>
      <c r="PXV1" s="3" t="s">
        <v>11615</v>
      </c>
      <c r="PXW1" s="3" t="s">
        <v>11616</v>
      </c>
      <c r="PXX1" s="3" t="s">
        <v>11617</v>
      </c>
      <c r="PXY1" s="3" t="s">
        <v>11618</v>
      </c>
      <c r="PXZ1" s="3" t="s">
        <v>11619</v>
      </c>
      <c r="PYA1" s="3" t="s">
        <v>11620</v>
      </c>
      <c r="PYB1" s="3" t="s">
        <v>11621</v>
      </c>
      <c r="PYC1" s="3" t="s">
        <v>11622</v>
      </c>
      <c r="PYD1" s="3" t="s">
        <v>11623</v>
      </c>
      <c r="PYE1" s="3" t="s">
        <v>11624</v>
      </c>
      <c r="PYF1" s="3" t="s">
        <v>11625</v>
      </c>
      <c r="PYG1" s="3" t="s">
        <v>11626</v>
      </c>
      <c r="PYH1" s="3" t="s">
        <v>11627</v>
      </c>
      <c r="PYI1" s="3" t="s">
        <v>11628</v>
      </c>
      <c r="PYJ1" s="3" t="s">
        <v>11629</v>
      </c>
      <c r="PYK1" s="3" t="s">
        <v>11630</v>
      </c>
      <c r="PYL1" s="3" t="s">
        <v>11631</v>
      </c>
      <c r="PYM1" s="3" t="s">
        <v>11632</v>
      </c>
      <c r="PYN1" s="3" t="s">
        <v>11633</v>
      </c>
      <c r="PYO1" s="3" t="s">
        <v>11634</v>
      </c>
      <c r="PYP1" s="3" t="s">
        <v>11635</v>
      </c>
      <c r="PYQ1" s="3" t="s">
        <v>11636</v>
      </c>
      <c r="PYR1" s="3" t="s">
        <v>11637</v>
      </c>
      <c r="PYS1" s="3" t="s">
        <v>11638</v>
      </c>
      <c r="PYT1" s="3" t="s">
        <v>11639</v>
      </c>
      <c r="PYU1" s="3" t="s">
        <v>11640</v>
      </c>
      <c r="PYV1" s="3" t="s">
        <v>11641</v>
      </c>
      <c r="PYW1" s="3" t="s">
        <v>11642</v>
      </c>
      <c r="PYX1" s="3" t="s">
        <v>11643</v>
      </c>
      <c r="PYY1" s="3" t="s">
        <v>11644</v>
      </c>
      <c r="PYZ1" s="3" t="s">
        <v>11645</v>
      </c>
      <c r="PZA1" s="3" t="s">
        <v>11646</v>
      </c>
      <c r="PZB1" s="3" t="s">
        <v>11647</v>
      </c>
      <c r="PZC1" s="3" t="s">
        <v>11648</v>
      </c>
      <c r="PZD1" s="3" t="s">
        <v>11649</v>
      </c>
      <c r="PZE1" s="3" t="s">
        <v>11650</v>
      </c>
      <c r="PZF1" s="3" t="s">
        <v>11651</v>
      </c>
      <c r="PZG1" s="3" t="s">
        <v>11652</v>
      </c>
      <c r="PZH1" s="3" t="s">
        <v>11653</v>
      </c>
      <c r="PZI1" s="3" t="s">
        <v>11654</v>
      </c>
      <c r="PZJ1" s="3" t="s">
        <v>11655</v>
      </c>
      <c r="PZK1" s="3" t="s">
        <v>11656</v>
      </c>
      <c r="PZL1" s="3" t="s">
        <v>11657</v>
      </c>
      <c r="PZM1" s="3" t="s">
        <v>11658</v>
      </c>
      <c r="PZN1" s="3" t="s">
        <v>11659</v>
      </c>
      <c r="PZO1" s="3" t="s">
        <v>11660</v>
      </c>
      <c r="PZP1" s="3" t="s">
        <v>11661</v>
      </c>
      <c r="PZQ1" s="3" t="s">
        <v>11662</v>
      </c>
      <c r="PZR1" s="3" t="s">
        <v>11663</v>
      </c>
      <c r="PZS1" s="3" t="s">
        <v>11664</v>
      </c>
      <c r="PZT1" s="3" t="s">
        <v>11665</v>
      </c>
      <c r="PZU1" s="3" t="s">
        <v>11666</v>
      </c>
      <c r="PZV1" s="3" t="s">
        <v>11667</v>
      </c>
      <c r="PZW1" s="3" t="s">
        <v>11668</v>
      </c>
      <c r="PZX1" s="3" t="s">
        <v>11669</v>
      </c>
      <c r="PZY1" s="3" t="s">
        <v>11670</v>
      </c>
      <c r="PZZ1" s="3" t="s">
        <v>11671</v>
      </c>
      <c r="QAA1" s="3" t="s">
        <v>11672</v>
      </c>
      <c r="QAB1" s="3" t="s">
        <v>11673</v>
      </c>
      <c r="QAC1" s="3" t="s">
        <v>11674</v>
      </c>
      <c r="QAD1" s="3" t="s">
        <v>11675</v>
      </c>
      <c r="QAE1" s="3" t="s">
        <v>11676</v>
      </c>
      <c r="QAF1" s="3" t="s">
        <v>11677</v>
      </c>
      <c r="QAG1" s="3" t="s">
        <v>11678</v>
      </c>
      <c r="QAH1" s="3" t="s">
        <v>11679</v>
      </c>
      <c r="QAI1" s="3" t="s">
        <v>11680</v>
      </c>
      <c r="QAJ1" s="3" t="s">
        <v>11681</v>
      </c>
      <c r="QAK1" s="3" t="s">
        <v>11682</v>
      </c>
      <c r="QAL1" s="3" t="s">
        <v>11683</v>
      </c>
      <c r="QAM1" s="3" t="s">
        <v>11684</v>
      </c>
      <c r="QAN1" s="3" t="s">
        <v>11685</v>
      </c>
      <c r="QAO1" s="3" t="s">
        <v>11686</v>
      </c>
      <c r="QAP1" s="3" t="s">
        <v>11687</v>
      </c>
      <c r="QAQ1" s="3" t="s">
        <v>11688</v>
      </c>
      <c r="QAR1" s="3" t="s">
        <v>11689</v>
      </c>
      <c r="QAS1" s="3" t="s">
        <v>11690</v>
      </c>
      <c r="QAT1" s="3" t="s">
        <v>11691</v>
      </c>
      <c r="QAU1" s="3" t="s">
        <v>11692</v>
      </c>
      <c r="QAV1" s="3" t="s">
        <v>11693</v>
      </c>
      <c r="QAW1" s="3" t="s">
        <v>11694</v>
      </c>
      <c r="QAX1" s="3" t="s">
        <v>11695</v>
      </c>
      <c r="QAY1" s="3" t="s">
        <v>11696</v>
      </c>
      <c r="QAZ1" s="3" t="s">
        <v>11697</v>
      </c>
      <c r="QBA1" s="3" t="s">
        <v>11698</v>
      </c>
      <c r="QBB1" s="3" t="s">
        <v>11699</v>
      </c>
      <c r="QBC1" s="3" t="s">
        <v>11700</v>
      </c>
      <c r="QBD1" s="3" t="s">
        <v>11701</v>
      </c>
      <c r="QBE1" s="3" t="s">
        <v>11702</v>
      </c>
      <c r="QBF1" s="3" t="s">
        <v>11703</v>
      </c>
      <c r="QBG1" s="3" t="s">
        <v>11704</v>
      </c>
      <c r="QBH1" s="3" t="s">
        <v>11705</v>
      </c>
      <c r="QBI1" s="3" t="s">
        <v>11706</v>
      </c>
      <c r="QBJ1" s="3" t="s">
        <v>11707</v>
      </c>
      <c r="QBK1" s="3" t="s">
        <v>11708</v>
      </c>
      <c r="QBL1" s="3" t="s">
        <v>11709</v>
      </c>
      <c r="QBM1" s="3" t="s">
        <v>11710</v>
      </c>
      <c r="QBN1" s="3" t="s">
        <v>11711</v>
      </c>
      <c r="QBO1" s="3" t="s">
        <v>11712</v>
      </c>
      <c r="QBP1" s="3" t="s">
        <v>11713</v>
      </c>
      <c r="QBQ1" s="3" t="s">
        <v>11714</v>
      </c>
      <c r="QBR1" s="3" t="s">
        <v>11715</v>
      </c>
      <c r="QBS1" s="3" t="s">
        <v>11716</v>
      </c>
      <c r="QBT1" s="3" t="s">
        <v>11717</v>
      </c>
      <c r="QBU1" s="3" t="s">
        <v>11718</v>
      </c>
      <c r="QBV1" s="3" t="s">
        <v>11719</v>
      </c>
      <c r="QBW1" s="3" t="s">
        <v>11720</v>
      </c>
      <c r="QBX1" s="3" t="s">
        <v>11721</v>
      </c>
      <c r="QBY1" s="3" t="s">
        <v>11722</v>
      </c>
      <c r="QBZ1" s="3" t="s">
        <v>11723</v>
      </c>
      <c r="QCA1" s="3" t="s">
        <v>11724</v>
      </c>
      <c r="QCB1" s="3" t="s">
        <v>11725</v>
      </c>
      <c r="QCC1" s="3" t="s">
        <v>11726</v>
      </c>
      <c r="QCD1" s="3" t="s">
        <v>11727</v>
      </c>
      <c r="QCE1" s="3" t="s">
        <v>11728</v>
      </c>
      <c r="QCF1" s="3" t="s">
        <v>11729</v>
      </c>
      <c r="QCG1" s="3" t="s">
        <v>11730</v>
      </c>
      <c r="QCH1" s="3" t="s">
        <v>11731</v>
      </c>
      <c r="QCI1" s="3" t="s">
        <v>11732</v>
      </c>
      <c r="QCJ1" s="3" t="s">
        <v>11733</v>
      </c>
      <c r="QCK1" s="3" t="s">
        <v>11734</v>
      </c>
      <c r="QCL1" s="3" t="s">
        <v>11735</v>
      </c>
      <c r="QCM1" s="3" t="s">
        <v>11736</v>
      </c>
      <c r="QCN1" s="3" t="s">
        <v>11737</v>
      </c>
      <c r="QCO1" s="3" t="s">
        <v>11738</v>
      </c>
      <c r="QCP1" s="3" t="s">
        <v>11739</v>
      </c>
      <c r="QCQ1" s="3" t="s">
        <v>11740</v>
      </c>
      <c r="QCR1" s="3" t="s">
        <v>11741</v>
      </c>
      <c r="QCS1" s="3" t="s">
        <v>11742</v>
      </c>
      <c r="QCT1" s="3" t="s">
        <v>11743</v>
      </c>
      <c r="QCU1" s="3" t="s">
        <v>11744</v>
      </c>
      <c r="QCV1" s="3" t="s">
        <v>11745</v>
      </c>
      <c r="QCW1" s="3" t="s">
        <v>11746</v>
      </c>
      <c r="QCX1" s="3" t="s">
        <v>11747</v>
      </c>
      <c r="QCY1" s="3" t="s">
        <v>11748</v>
      </c>
      <c r="QCZ1" s="3" t="s">
        <v>11749</v>
      </c>
      <c r="QDA1" s="3" t="s">
        <v>11750</v>
      </c>
      <c r="QDB1" s="3" t="s">
        <v>11751</v>
      </c>
      <c r="QDC1" s="3" t="s">
        <v>11752</v>
      </c>
      <c r="QDD1" s="3" t="s">
        <v>11753</v>
      </c>
      <c r="QDE1" s="3" t="s">
        <v>11754</v>
      </c>
      <c r="QDF1" s="3" t="s">
        <v>11755</v>
      </c>
      <c r="QDG1" s="3" t="s">
        <v>11756</v>
      </c>
      <c r="QDH1" s="3" t="s">
        <v>11757</v>
      </c>
      <c r="QDI1" s="3" t="s">
        <v>11758</v>
      </c>
      <c r="QDJ1" s="3" t="s">
        <v>11759</v>
      </c>
      <c r="QDK1" s="3" t="s">
        <v>11760</v>
      </c>
      <c r="QDL1" s="3" t="s">
        <v>11761</v>
      </c>
      <c r="QDM1" s="3" t="s">
        <v>11762</v>
      </c>
      <c r="QDN1" s="3" t="s">
        <v>11763</v>
      </c>
      <c r="QDO1" s="3" t="s">
        <v>11764</v>
      </c>
      <c r="QDP1" s="3" t="s">
        <v>11765</v>
      </c>
      <c r="QDQ1" s="3" t="s">
        <v>11766</v>
      </c>
      <c r="QDR1" s="3" t="s">
        <v>11767</v>
      </c>
      <c r="QDS1" s="3" t="s">
        <v>11768</v>
      </c>
      <c r="QDT1" s="3" t="s">
        <v>11769</v>
      </c>
      <c r="QDU1" s="3" t="s">
        <v>11770</v>
      </c>
      <c r="QDV1" s="3" t="s">
        <v>11771</v>
      </c>
      <c r="QDW1" s="3" t="s">
        <v>11772</v>
      </c>
      <c r="QDX1" s="3" t="s">
        <v>11773</v>
      </c>
      <c r="QDY1" s="3" t="s">
        <v>11774</v>
      </c>
      <c r="QDZ1" s="3" t="s">
        <v>11775</v>
      </c>
      <c r="QEA1" s="3" t="s">
        <v>11776</v>
      </c>
      <c r="QEB1" s="3" t="s">
        <v>11777</v>
      </c>
      <c r="QEC1" s="3" t="s">
        <v>11778</v>
      </c>
      <c r="QED1" s="3" t="s">
        <v>11779</v>
      </c>
      <c r="QEE1" s="3" t="s">
        <v>11780</v>
      </c>
      <c r="QEF1" s="3" t="s">
        <v>11781</v>
      </c>
      <c r="QEG1" s="3" t="s">
        <v>11782</v>
      </c>
      <c r="QEH1" s="3" t="s">
        <v>11783</v>
      </c>
      <c r="QEI1" s="3" t="s">
        <v>11784</v>
      </c>
      <c r="QEJ1" s="3" t="s">
        <v>11785</v>
      </c>
      <c r="QEK1" s="3" t="s">
        <v>11786</v>
      </c>
      <c r="QEL1" s="3" t="s">
        <v>11787</v>
      </c>
      <c r="QEM1" s="3" t="s">
        <v>11788</v>
      </c>
      <c r="QEN1" s="3" t="s">
        <v>11789</v>
      </c>
      <c r="QEO1" s="3" t="s">
        <v>11790</v>
      </c>
      <c r="QEP1" s="3" t="s">
        <v>11791</v>
      </c>
      <c r="QEQ1" s="3" t="s">
        <v>11792</v>
      </c>
      <c r="QER1" s="3" t="s">
        <v>11793</v>
      </c>
      <c r="QES1" s="3" t="s">
        <v>11794</v>
      </c>
      <c r="QET1" s="3" t="s">
        <v>11795</v>
      </c>
      <c r="QEU1" s="3" t="s">
        <v>11796</v>
      </c>
      <c r="QEV1" s="3" t="s">
        <v>11797</v>
      </c>
      <c r="QEW1" s="3" t="s">
        <v>11798</v>
      </c>
      <c r="QEX1" s="3" t="s">
        <v>11799</v>
      </c>
      <c r="QEY1" s="3" t="s">
        <v>11800</v>
      </c>
      <c r="QEZ1" s="3" t="s">
        <v>11801</v>
      </c>
      <c r="QFA1" s="3" t="s">
        <v>11802</v>
      </c>
      <c r="QFB1" s="3" t="s">
        <v>11803</v>
      </c>
      <c r="QFC1" s="3" t="s">
        <v>11804</v>
      </c>
      <c r="QFD1" s="3" t="s">
        <v>11805</v>
      </c>
      <c r="QFE1" s="3" t="s">
        <v>11806</v>
      </c>
      <c r="QFF1" s="3" t="s">
        <v>11807</v>
      </c>
      <c r="QFG1" s="3" t="s">
        <v>11808</v>
      </c>
      <c r="QFH1" s="3" t="s">
        <v>11809</v>
      </c>
      <c r="QFI1" s="3" t="s">
        <v>11810</v>
      </c>
      <c r="QFJ1" s="3" t="s">
        <v>11811</v>
      </c>
      <c r="QFK1" s="3" t="s">
        <v>11812</v>
      </c>
      <c r="QFL1" s="3" t="s">
        <v>11813</v>
      </c>
      <c r="QFM1" s="3" t="s">
        <v>11814</v>
      </c>
      <c r="QFN1" s="3" t="s">
        <v>11815</v>
      </c>
      <c r="QFO1" s="3" t="s">
        <v>11816</v>
      </c>
      <c r="QFP1" s="3" t="s">
        <v>11817</v>
      </c>
      <c r="QFQ1" s="3" t="s">
        <v>11818</v>
      </c>
      <c r="QFR1" s="3" t="s">
        <v>11819</v>
      </c>
      <c r="QFS1" s="3" t="s">
        <v>11820</v>
      </c>
      <c r="QFT1" s="3" t="s">
        <v>11821</v>
      </c>
      <c r="QFU1" s="3" t="s">
        <v>11822</v>
      </c>
      <c r="QFV1" s="3" t="s">
        <v>11823</v>
      </c>
      <c r="QFW1" s="3" t="s">
        <v>11824</v>
      </c>
      <c r="QFX1" s="3" t="s">
        <v>11825</v>
      </c>
      <c r="QFY1" s="3" t="s">
        <v>11826</v>
      </c>
      <c r="QFZ1" s="3" t="s">
        <v>11827</v>
      </c>
      <c r="QGA1" s="3" t="s">
        <v>11828</v>
      </c>
      <c r="QGB1" s="3" t="s">
        <v>11829</v>
      </c>
      <c r="QGC1" s="3" t="s">
        <v>11830</v>
      </c>
      <c r="QGD1" s="3" t="s">
        <v>11831</v>
      </c>
      <c r="QGE1" s="3" t="s">
        <v>11832</v>
      </c>
      <c r="QGF1" s="3" t="s">
        <v>11833</v>
      </c>
      <c r="QGG1" s="3" t="s">
        <v>11834</v>
      </c>
      <c r="QGH1" s="3" t="s">
        <v>11835</v>
      </c>
      <c r="QGI1" s="3" t="s">
        <v>11836</v>
      </c>
      <c r="QGJ1" s="3" t="s">
        <v>11837</v>
      </c>
      <c r="QGK1" s="3" t="s">
        <v>11838</v>
      </c>
      <c r="QGL1" s="3" t="s">
        <v>11839</v>
      </c>
      <c r="QGM1" s="3" t="s">
        <v>11840</v>
      </c>
      <c r="QGN1" s="3" t="s">
        <v>11841</v>
      </c>
      <c r="QGO1" s="3" t="s">
        <v>11842</v>
      </c>
      <c r="QGP1" s="3" t="s">
        <v>11843</v>
      </c>
      <c r="QGQ1" s="3" t="s">
        <v>11844</v>
      </c>
      <c r="QGR1" s="3" t="s">
        <v>11845</v>
      </c>
      <c r="QGS1" s="3" t="s">
        <v>11846</v>
      </c>
      <c r="QGT1" s="3" t="s">
        <v>11847</v>
      </c>
      <c r="QGU1" s="3" t="s">
        <v>11848</v>
      </c>
      <c r="QGV1" s="3" t="s">
        <v>11849</v>
      </c>
      <c r="QGW1" s="3" t="s">
        <v>11850</v>
      </c>
      <c r="QGX1" s="3" t="s">
        <v>11851</v>
      </c>
      <c r="QGY1" s="3" t="s">
        <v>11852</v>
      </c>
      <c r="QGZ1" s="3" t="s">
        <v>11853</v>
      </c>
      <c r="QHA1" s="3" t="s">
        <v>11854</v>
      </c>
      <c r="QHB1" s="3" t="s">
        <v>11855</v>
      </c>
      <c r="QHC1" s="3" t="s">
        <v>11856</v>
      </c>
      <c r="QHD1" s="3" t="s">
        <v>11857</v>
      </c>
      <c r="QHE1" s="3" t="s">
        <v>11858</v>
      </c>
      <c r="QHF1" s="3" t="s">
        <v>11859</v>
      </c>
      <c r="QHG1" s="3" t="s">
        <v>11860</v>
      </c>
      <c r="QHH1" s="3" t="s">
        <v>11861</v>
      </c>
      <c r="QHI1" s="3" t="s">
        <v>11862</v>
      </c>
      <c r="QHJ1" s="3" t="s">
        <v>11863</v>
      </c>
      <c r="QHK1" s="3" t="s">
        <v>11864</v>
      </c>
      <c r="QHL1" s="3" t="s">
        <v>11865</v>
      </c>
      <c r="QHM1" s="3" t="s">
        <v>11866</v>
      </c>
      <c r="QHN1" s="3" t="s">
        <v>11867</v>
      </c>
      <c r="QHO1" s="3" t="s">
        <v>11868</v>
      </c>
      <c r="QHP1" s="3" t="s">
        <v>11869</v>
      </c>
      <c r="QHQ1" s="3" t="s">
        <v>11870</v>
      </c>
      <c r="QHR1" s="3" t="s">
        <v>11871</v>
      </c>
      <c r="QHS1" s="3" t="s">
        <v>11872</v>
      </c>
      <c r="QHT1" s="3" t="s">
        <v>11873</v>
      </c>
      <c r="QHU1" s="3" t="s">
        <v>11874</v>
      </c>
      <c r="QHV1" s="3" t="s">
        <v>11875</v>
      </c>
      <c r="QHW1" s="3" t="s">
        <v>11876</v>
      </c>
      <c r="QHX1" s="3" t="s">
        <v>11877</v>
      </c>
      <c r="QHY1" s="3" t="s">
        <v>11878</v>
      </c>
      <c r="QHZ1" s="3" t="s">
        <v>11879</v>
      </c>
      <c r="QIA1" s="3" t="s">
        <v>11880</v>
      </c>
      <c r="QIB1" s="3" t="s">
        <v>11881</v>
      </c>
      <c r="QIC1" s="3" t="s">
        <v>11882</v>
      </c>
      <c r="QID1" s="3" t="s">
        <v>11883</v>
      </c>
      <c r="QIE1" s="3" t="s">
        <v>11884</v>
      </c>
      <c r="QIF1" s="3" t="s">
        <v>11885</v>
      </c>
      <c r="QIG1" s="3" t="s">
        <v>11886</v>
      </c>
      <c r="QIH1" s="3" t="s">
        <v>11887</v>
      </c>
      <c r="QII1" s="3" t="s">
        <v>11888</v>
      </c>
      <c r="QIJ1" s="3" t="s">
        <v>11889</v>
      </c>
      <c r="QIK1" s="3" t="s">
        <v>11890</v>
      </c>
      <c r="QIL1" s="3" t="s">
        <v>11891</v>
      </c>
      <c r="QIM1" s="3" t="s">
        <v>11892</v>
      </c>
      <c r="QIN1" s="3" t="s">
        <v>11893</v>
      </c>
      <c r="QIO1" s="3" t="s">
        <v>11894</v>
      </c>
      <c r="QIP1" s="3" t="s">
        <v>11895</v>
      </c>
      <c r="QIQ1" s="3" t="s">
        <v>11896</v>
      </c>
      <c r="QIR1" s="3" t="s">
        <v>11897</v>
      </c>
      <c r="QIS1" s="3" t="s">
        <v>11898</v>
      </c>
      <c r="QIT1" s="3" t="s">
        <v>11899</v>
      </c>
      <c r="QIU1" s="3" t="s">
        <v>11900</v>
      </c>
      <c r="QIV1" s="3" t="s">
        <v>11901</v>
      </c>
      <c r="QIW1" s="3" t="s">
        <v>11902</v>
      </c>
      <c r="QIX1" s="3" t="s">
        <v>11903</v>
      </c>
      <c r="QIY1" s="3" t="s">
        <v>11904</v>
      </c>
      <c r="QIZ1" s="3" t="s">
        <v>11905</v>
      </c>
      <c r="QJA1" s="3" t="s">
        <v>11906</v>
      </c>
      <c r="QJB1" s="3" t="s">
        <v>11907</v>
      </c>
      <c r="QJC1" s="3" t="s">
        <v>11908</v>
      </c>
      <c r="QJD1" s="3" t="s">
        <v>11909</v>
      </c>
      <c r="QJE1" s="3" t="s">
        <v>11910</v>
      </c>
      <c r="QJF1" s="3" t="s">
        <v>11911</v>
      </c>
      <c r="QJG1" s="3" t="s">
        <v>11912</v>
      </c>
      <c r="QJH1" s="3" t="s">
        <v>11913</v>
      </c>
      <c r="QJI1" s="3" t="s">
        <v>11914</v>
      </c>
      <c r="QJJ1" s="3" t="s">
        <v>11915</v>
      </c>
      <c r="QJK1" s="3" t="s">
        <v>11916</v>
      </c>
      <c r="QJL1" s="3" t="s">
        <v>11917</v>
      </c>
      <c r="QJM1" s="3" t="s">
        <v>11918</v>
      </c>
      <c r="QJN1" s="3" t="s">
        <v>11919</v>
      </c>
      <c r="QJO1" s="3" t="s">
        <v>11920</v>
      </c>
      <c r="QJP1" s="3" t="s">
        <v>11921</v>
      </c>
      <c r="QJQ1" s="3" t="s">
        <v>11922</v>
      </c>
      <c r="QJR1" s="3" t="s">
        <v>11923</v>
      </c>
      <c r="QJS1" s="3" t="s">
        <v>11924</v>
      </c>
      <c r="QJT1" s="3" t="s">
        <v>11925</v>
      </c>
      <c r="QJU1" s="3" t="s">
        <v>11926</v>
      </c>
      <c r="QJV1" s="3" t="s">
        <v>11927</v>
      </c>
      <c r="QJW1" s="3" t="s">
        <v>11928</v>
      </c>
      <c r="QJX1" s="3" t="s">
        <v>11929</v>
      </c>
      <c r="QJY1" s="3" t="s">
        <v>11930</v>
      </c>
      <c r="QJZ1" s="3" t="s">
        <v>11931</v>
      </c>
      <c r="QKA1" s="3" t="s">
        <v>11932</v>
      </c>
      <c r="QKB1" s="3" t="s">
        <v>11933</v>
      </c>
      <c r="QKC1" s="3" t="s">
        <v>11934</v>
      </c>
      <c r="QKD1" s="3" t="s">
        <v>11935</v>
      </c>
      <c r="QKE1" s="3" t="s">
        <v>11936</v>
      </c>
      <c r="QKF1" s="3" t="s">
        <v>11937</v>
      </c>
      <c r="QKG1" s="3" t="s">
        <v>11938</v>
      </c>
      <c r="QKH1" s="3" t="s">
        <v>11939</v>
      </c>
      <c r="QKI1" s="3" t="s">
        <v>11940</v>
      </c>
      <c r="QKJ1" s="3" t="s">
        <v>11941</v>
      </c>
      <c r="QKK1" s="3" t="s">
        <v>11942</v>
      </c>
      <c r="QKL1" s="3" t="s">
        <v>11943</v>
      </c>
      <c r="QKM1" s="3" t="s">
        <v>11944</v>
      </c>
      <c r="QKN1" s="3" t="s">
        <v>11945</v>
      </c>
      <c r="QKO1" s="3" t="s">
        <v>11946</v>
      </c>
      <c r="QKP1" s="3" t="s">
        <v>11947</v>
      </c>
      <c r="QKQ1" s="3" t="s">
        <v>11948</v>
      </c>
      <c r="QKR1" s="3" t="s">
        <v>11949</v>
      </c>
      <c r="QKS1" s="3" t="s">
        <v>11950</v>
      </c>
      <c r="QKT1" s="3" t="s">
        <v>11951</v>
      </c>
      <c r="QKU1" s="3" t="s">
        <v>11952</v>
      </c>
      <c r="QKV1" s="3" t="s">
        <v>11953</v>
      </c>
      <c r="QKW1" s="3" t="s">
        <v>11954</v>
      </c>
      <c r="QKX1" s="3" t="s">
        <v>11955</v>
      </c>
      <c r="QKY1" s="3" t="s">
        <v>11956</v>
      </c>
      <c r="QKZ1" s="3" t="s">
        <v>11957</v>
      </c>
      <c r="QLA1" s="3" t="s">
        <v>11958</v>
      </c>
      <c r="QLB1" s="3" t="s">
        <v>11959</v>
      </c>
      <c r="QLC1" s="3" t="s">
        <v>11960</v>
      </c>
      <c r="QLD1" s="3" t="s">
        <v>11961</v>
      </c>
      <c r="QLE1" s="3" t="s">
        <v>11962</v>
      </c>
      <c r="QLF1" s="3" t="s">
        <v>11963</v>
      </c>
      <c r="QLG1" s="3" t="s">
        <v>11964</v>
      </c>
      <c r="QLH1" s="3" t="s">
        <v>11965</v>
      </c>
      <c r="QLI1" s="3" t="s">
        <v>11966</v>
      </c>
      <c r="QLJ1" s="3" t="s">
        <v>11967</v>
      </c>
      <c r="QLK1" s="3" t="s">
        <v>11968</v>
      </c>
      <c r="QLL1" s="3" t="s">
        <v>11969</v>
      </c>
      <c r="QLM1" s="3" t="s">
        <v>11970</v>
      </c>
      <c r="QLN1" s="3" t="s">
        <v>11971</v>
      </c>
      <c r="QLO1" s="3" t="s">
        <v>11972</v>
      </c>
      <c r="QLP1" s="3" t="s">
        <v>11973</v>
      </c>
      <c r="QLQ1" s="3" t="s">
        <v>11974</v>
      </c>
      <c r="QLR1" s="3" t="s">
        <v>11975</v>
      </c>
      <c r="QLS1" s="3" t="s">
        <v>11976</v>
      </c>
      <c r="QLT1" s="3" t="s">
        <v>11977</v>
      </c>
      <c r="QLU1" s="3" t="s">
        <v>11978</v>
      </c>
      <c r="QLV1" s="3" t="s">
        <v>11979</v>
      </c>
      <c r="QLW1" s="3" t="s">
        <v>11980</v>
      </c>
      <c r="QLX1" s="3" t="s">
        <v>11981</v>
      </c>
      <c r="QLY1" s="3" t="s">
        <v>11982</v>
      </c>
      <c r="QLZ1" s="3" t="s">
        <v>11983</v>
      </c>
      <c r="QMA1" s="3" t="s">
        <v>11984</v>
      </c>
      <c r="QMB1" s="3" t="s">
        <v>11985</v>
      </c>
      <c r="QMC1" s="3" t="s">
        <v>11986</v>
      </c>
      <c r="QMD1" s="3" t="s">
        <v>11987</v>
      </c>
      <c r="QME1" s="3" t="s">
        <v>11988</v>
      </c>
      <c r="QMF1" s="3" t="s">
        <v>11989</v>
      </c>
      <c r="QMG1" s="3" t="s">
        <v>11990</v>
      </c>
      <c r="QMH1" s="3" t="s">
        <v>11991</v>
      </c>
      <c r="QMI1" s="3" t="s">
        <v>11992</v>
      </c>
      <c r="QMJ1" s="3" t="s">
        <v>11993</v>
      </c>
      <c r="QMK1" s="3" t="s">
        <v>11994</v>
      </c>
      <c r="QML1" s="3" t="s">
        <v>11995</v>
      </c>
      <c r="QMM1" s="3" t="s">
        <v>11996</v>
      </c>
      <c r="QMN1" s="3" t="s">
        <v>11997</v>
      </c>
      <c r="QMO1" s="3" t="s">
        <v>11998</v>
      </c>
      <c r="QMP1" s="3" t="s">
        <v>11999</v>
      </c>
      <c r="QMQ1" s="3" t="s">
        <v>12000</v>
      </c>
      <c r="QMR1" s="3" t="s">
        <v>12001</v>
      </c>
      <c r="QMS1" s="3" t="s">
        <v>12002</v>
      </c>
      <c r="QMT1" s="3" t="s">
        <v>12003</v>
      </c>
      <c r="QMU1" s="3" t="s">
        <v>12004</v>
      </c>
      <c r="QMV1" s="3" t="s">
        <v>12005</v>
      </c>
      <c r="QMW1" s="3" t="s">
        <v>12006</v>
      </c>
      <c r="QMX1" s="3" t="s">
        <v>12007</v>
      </c>
      <c r="QMY1" s="3" t="s">
        <v>12008</v>
      </c>
      <c r="QMZ1" s="3" t="s">
        <v>12009</v>
      </c>
      <c r="QNA1" s="3" t="s">
        <v>12010</v>
      </c>
      <c r="QNB1" s="3" t="s">
        <v>12011</v>
      </c>
      <c r="QNC1" s="3" t="s">
        <v>12012</v>
      </c>
      <c r="QND1" s="3" t="s">
        <v>12013</v>
      </c>
      <c r="QNE1" s="3" t="s">
        <v>12014</v>
      </c>
      <c r="QNF1" s="3" t="s">
        <v>12015</v>
      </c>
      <c r="QNG1" s="3" t="s">
        <v>12016</v>
      </c>
      <c r="QNH1" s="3" t="s">
        <v>12017</v>
      </c>
      <c r="QNI1" s="3" t="s">
        <v>12018</v>
      </c>
      <c r="QNJ1" s="3" t="s">
        <v>12019</v>
      </c>
      <c r="QNK1" s="3" t="s">
        <v>12020</v>
      </c>
      <c r="QNL1" s="3" t="s">
        <v>12021</v>
      </c>
      <c r="QNM1" s="3" t="s">
        <v>12022</v>
      </c>
      <c r="QNN1" s="3" t="s">
        <v>12023</v>
      </c>
      <c r="QNO1" s="3" t="s">
        <v>12024</v>
      </c>
      <c r="QNP1" s="3" t="s">
        <v>12025</v>
      </c>
      <c r="QNQ1" s="3" t="s">
        <v>12026</v>
      </c>
      <c r="QNR1" s="3" t="s">
        <v>12027</v>
      </c>
      <c r="QNS1" s="3" t="s">
        <v>12028</v>
      </c>
      <c r="QNT1" s="3" t="s">
        <v>12029</v>
      </c>
      <c r="QNU1" s="3" t="s">
        <v>12030</v>
      </c>
      <c r="QNV1" s="3" t="s">
        <v>12031</v>
      </c>
      <c r="QNW1" s="3" t="s">
        <v>12032</v>
      </c>
      <c r="QNX1" s="3" t="s">
        <v>12033</v>
      </c>
      <c r="QNY1" s="3" t="s">
        <v>12034</v>
      </c>
      <c r="QNZ1" s="3" t="s">
        <v>12035</v>
      </c>
      <c r="QOA1" s="3" t="s">
        <v>12036</v>
      </c>
      <c r="QOB1" s="3" t="s">
        <v>12037</v>
      </c>
      <c r="QOC1" s="3" t="s">
        <v>12038</v>
      </c>
      <c r="QOD1" s="3" t="s">
        <v>12039</v>
      </c>
      <c r="QOE1" s="3" t="s">
        <v>12040</v>
      </c>
      <c r="QOF1" s="3" t="s">
        <v>12041</v>
      </c>
      <c r="QOG1" s="3" t="s">
        <v>12042</v>
      </c>
      <c r="QOH1" s="3" t="s">
        <v>12043</v>
      </c>
      <c r="QOI1" s="3" t="s">
        <v>12044</v>
      </c>
      <c r="QOJ1" s="3" t="s">
        <v>12045</v>
      </c>
      <c r="QOK1" s="3" t="s">
        <v>12046</v>
      </c>
      <c r="QOL1" s="3" t="s">
        <v>12047</v>
      </c>
      <c r="QOM1" s="3" t="s">
        <v>12048</v>
      </c>
      <c r="QON1" s="3" t="s">
        <v>12049</v>
      </c>
      <c r="QOO1" s="3" t="s">
        <v>12050</v>
      </c>
      <c r="QOP1" s="3" t="s">
        <v>12051</v>
      </c>
      <c r="QOQ1" s="3" t="s">
        <v>12052</v>
      </c>
      <c r="QOR1" s="3" t="s">
        <v>12053</v>
      </c>
      <c r="QOS1" s="3" t="s">
        <v>12054</v>
      </c>
      <c r="QOT1" s="3" t="s">
        <v>12055</v>
      </c>
      <c r="QOU1" s="3" t="s">
        <v>12056</v>
      </c>
      <c r="QOV1" s="3" t="s">
        <v>12057</v>
      </c>
      <c r="QOW1" s="3" t="s">
        <v>12058</v>
      </c>
      <c r="QOX1" s="3" t="s">
        <v>12059</v>
      </c>
      <c r="QOY1" s="3" t="s">
        <v>12060</v>
      </c>
      <c r="QOZ1" s="3" t="s">
        <v>12061</v>
      </c>
      <c r="QPA1" s="3" t="s">
        <v>12062</v>
      </c>
      <c r="QPB1" s="3" t="s">
        <v>12063</v>
      </c>
      <c r="QPC1" s="3" t="s">
        <v>12064</v>
      </c>
      <c r="QPD1" s="3" t="s">
        <v>12065</v>
      </c>
      <c r="QPE1" s="3" t="s">
        <v>12066</v>
      </c>
      <c r="QPF1" s="3" t="s">
        <v>12067</v>
      </c>
      <c r="QPG1" s="3" t="s">
        <v>12068</v>
      </c>
      <c r="QPH1" s="3" t="s">
        <v>12069</v>
      </c>
      <c r="QPI1" s="3" t="s">
        <v>12070</v>
      </c>
      <c r="QPJ1" s="3" t="s">
        <v>12071</v>
      </c>
      <c r="QPK1" s="3" t="s">
        <v>12072</v>
      </c>
      <c r="QPL1" s="3" t="s">
        <v>12073</v>
      </c>
      <c r="QPM1" s="3" t="s">
        <v>12074</v>
      </c>
      <c r="QPN1" s="3" t="s">
        <v>12075</v>
      </c>
      <c r="QPO1" s="3" t="s">
        <v>12076</v>
      </c>
      <c r="QPP1" s="3" t="s">
        <v>12077</v>
      </c>
      <c r="QPQ1" s="3" t="s">
        <v>12078</v>
      </c>
      <c r="QPR1" s="3" t="s">
        <v>12079</v>
      </c>
      <c r="QPS1" s="3" t="s">
        <v>12080</v>
      </c>
      <c r="QPT1" s="3" t="s">
        <v>12081</v>
      </c>
      <c r="QPU1" s="3" t="s">
        <v>12082</v>
      </c>
      <c r="QPV1" s="3" t="s">
        <v>12083</v>
      </c>
      <c r="QPW1" s="3" t="s">
        <v>12084</v>
      </c>
      <c r="QPX1" s="3" t="s">
        <v>12085</v>
      </c>
      <c r="QPY1" s="3" t="s">
        <v>12086</v>
      </c>
      <c r="QPZ1" s="3" t="s">
        <v>12087</v>
      </c>
      <c r="QQA1" s="3" t="s">
        <v>12088</v>
      </c>
      <c r="QQB1" s="3" t="s">
        <v>12089</v>
      </c>
      <c r="QQC1" s="3" t="s">
        <v>12090</v>
      </c>
      <c r="QQD1" s="3" t="s">
        <v>12091</v>
      </c>
      <c r="QQE1" s="3" t="s">
        <v>12092</v>
      </c>
      <c r="QQF1" s="3" t="s">
        <v>12093</v>
      </c>
      <c r="QQG1" s="3" t="s">
        <v>12094</v>
      </c>
      <c r="QQH1" s="3" t="s">
        <v>12095</v>
      </c>
      <c r="QQI1" s="3" t="s">
        <v>12096</v>
      </c>
      <c r="QQJ1" s="3" t="s">
        <v>12097</v>
      </c>
      <c r="QQK1" s="3" t="s">
        <v>12098</v>
      </c>
      <c r="QQL1" s="3" t="s">
        <v>12099</v>
      </c>
      <c r="QQM1" s="3" t="s">
        <v>12100</v>
      </c>
      <c r="QQN1" s="3" t="s">
        <v>12101</v>
      </c>
      <c r="QQO1" s="3" t="s">
        <v>12102</v>
      </c>
      <c r="QQP1" s="3" t="s">
        <v>12103</v>
      </c>
      <c r="QQQ1" s="3" t="s">
        <v>12104</v>
      </c>
      <c r="QQR1" s="3" t="s">
        <v>12105</v>
      </c>
      <c r="QQS1" s="3" t="s">
        <v>12106</v>
      </c>
      <c r="QQT1" s="3" t="s">
        <v>12107</v>
      </c>
      <c r="QQU1" s="3" t="s">
        <v>12108</v>
      </c>
      <c r="QQV1" s="3" t="s">
        <v>12109</v>
      </c>
      <c r="QQW1" s="3" t="s">
        <v>12110</v>
      </c>
      <c r="QQX1" s="3" t="s">
        <v>12111</v>
      </c>
      <c r="QQY1" s="3" t="s">
        <v>12112</v>
      </c>
      <c r="QQZ1" s="3" t="s">
        <v>12113</v>
      </c>
      <c r="QRA1" s="3" t="s">
        <v>12114</v>
      </c>
      <c r="QRB1" s="3" t="s">
        <v>12115</v>
      </c>
      <c r="QRC1" s="3" t="s">
        <v>12116</v>
      </c>
      <c r="QRD1" s="3" t="s">
        <v>12117</v>
      </c>
      <c r="QRE1" s="3" t="s">
        <v>12118</v>
      </c>
      <c r="QRF1" s="3" t="s">
        <v>12119</v>
      </c>
      <c r="QRG1" s="3" t="s">
        <v>12120</v>
      </c>
      <c r="QRH1" s="3" t="s">
        <v>12121</v>
      </c>
      <c r="QRI1" s="3" t="s">
        <v>12122</v>
      </c>
      <c r="QRJ1" s="3" t="s">
        <v>12123</v>
      </c>
      <c r="QRK1" s="3" t="s">
        <v>12124</v>
      </c>
      <c r="QRL1" s="3" t="s">
        <v>12125</v>
      </c>
      <c r="QRM1" s="3" t="s">
        <v>12126</v>
      </c>
      <c r="QRN1" s="3" t="s">
        <v>12127</v>
      </c>
      <c r="QRO1" s="3" t="s">
        <v>12128</v>
      </c>
      <c r="QRP1" s="3" t="s">
        <v>12129</v>
      </c>
      <c r="QRQ1" s="3" t="s">
        <v>12130</v>
      </c>
      <c r="QRR1" s="3" t="s">
        <v>12131</v>
      </c>
      <c r="QRS1" s="3" t="s">
        <v>12132</v>
      </c>
      <c r="QRT1" s="3" t="s">
        <v>12133</v>
      </c>
      <c r="QRU1" s="3" t="s">
        <v>12134</v>
      </c>
      <c r="QRV1" s="3" t="s">
        <v>12135</v>
      </c>
      <c r="QRW1" s="3" t="s">
        <v>12136</v>
      </c>
      <c r="QRX1" s="3" t="s">
        <v>12137</v>
      </c>
      <c r="QRY1" s="3" t="s">
        <v>12138</v>
      </c>
      <c r="QRZ1" s="3" t="s">
        <v>12139</v>
      </c>
      <c r="QSA1" s="3" t="s">
        <v>12140</v>
      </c>
      <c r="QSB1" s="3" t="s">
        <v>12141</v>
      </c>
      <c r="QSC1" s="3" t="s">
        <v>12142</v>
      </c>
      <c r="QSD1" s="3" t="s">
        <v>12143</v>
      </c>
      <c r="QSE1" s="3" t="s">
        <v>12144</v>
      </c>
      <c r="QSF1" s="3" t="s">
        <v>12145</v>
      </c>
      <c r="QSG1" s="3" t="s">
        <v>12146</v>
      </c>
      <c r="QSH1" s="3" t="s">
        <v>12147</v>
      </c>
      <c r="QSI1" s="3" t="s">
        <v>12148</v>
      </c>
      <c r="QSJ1" s="3" t="s">
        <v>12149</v>
      </c>
      <c r="QSK1" s="3" t="s">
        <v>12150</v>
      </c>
      <c r="QSL1" s="3" t="s">
        <v>12151</v>
      </c>
      <c r="QSM1" s="3" t="s">
        <v>12152</v>
      </c>
      <c r="QSN1" s="3" t="s">
        <v>12153</v>
      </c>
      <c r="QSO1" s="3" t="s">
        <v>12154</v>
      </c>
      <c r="QSP1" s="3" t="s">
        <v>12155</v>
      </c>
      <c r="QSQ1" s="3" t="s">
        <v>12156</v>
      </c>
      <c r="QSR1" s="3" t="s">
        <v>12157</v>
      </c>
      <c r="QSS1" s="3" t="s">
        <v>12158</v>
      </c>
      <c r="QST1" s="3" t="s">
        <v>12159</v>
      </c>
      <c r="QSU1" s="3" t="s">
        <v>12160</v>
      </c>
      <c r="QSV1" s="3" t="s">
        <v>12161</v>
      </c>
      <c r="QSW1" s="3" t="s">
        <v>12162</v>
      </c>
      <c r="QSX1" s="3" t="s">
        <v>12163</v>
      </c>
      <c r="QSY1" s="3" t="s">
        <v>12164</v>
      </c>
      <c r="QSZ1" s="3" t="s">
        <v>12165</v>
      </c>
      <c r="QTA1" s="3" t="s">
        <v>12166</v>
      </c>
      <c r="QTB1" s="3" t="s">
        <v>12167</v>
      </c>
      <c r="QTC1" s="3" t="s">
        <v>12168</v>
      </c>
      <c r="QTD1" s="3" t="s">
        <v>12169</v>
      </c>
      <c r="QTE1" s="3" t="s">
        <v>12170</v>
      </c>
      <c r="QTF1" s="3" t="s">
        <v>12171</v>
      </c>
      <c r="QTG1" s="3" t="s">
        <v>12172</v>
      </c>
      <c r="QTH1" s="3" t="s">
        <v>12173</v>
      </c>
      <c r="QTI1" s="3" t="s">
        <v>12174</v>
      </c>
      <c r="QTJ1" s="3" t="s">
        <v>12175</v>
      </c>
      <c r="QTK1" s="3" t="s">
        <v>12176</v>
      </c>
      <c r="QTL1" s="3" t="s">
        <v>12177</v>
      </c>
      <c r="QTM1" s="3" t="s">
        <v>12178</v>
      </c>
      <c r="QTN1" s="3" t="s">
        <v>12179</v>
      </c>
      <c r="QTO1" s="3" t="s">
        <v>12180</v>
      </c>
      <c r="QTP1" s="3" t="s">
        <v>12181</v>
      </c>
      <c r="QTQ1" s="3" t="s">
        <v>12182</v>
      </c>
      <c r="QTR1" s="3" t="s">
        <v>12183</v>
      </c>
      <c r="QTS1" s="3" t="s">
        <v>12184</v>
      </c>
      <c r="QTT1" s="3" t="s">
        <v>12185</v>
      </c>
      <c r="QTU1" s="3" t="s">
        <v>12186</v>
      </c>
      <c r="QTV1" s="3" t="s">
        <v>12187</v>
      </c>
      <c r="QTW1" s="3" t="s">
        <v>12188</v>
      </c>
      <c r="QTX1" s="3" t="s">
        <v>12189</v>
      </c>
      <c r="QTY1" s="3" t="s">
        <v>12190</v>
      </c>
      <c r="QTZ1" s="3" t="s">
        <v>12191</v>
      </c>
      <c r="QUA1" s="3" t="s">
        <v>12192</v>
      </c>
      <c r="QUB1" s="3" t="s">
        <v>12193</v>
      </c>
      <c r="QUC1" s="3" t="s">
        <v>12194</v>
      </c>
      <c r="QUD1" s="3" t="s">
        <v>12195</v>
      </c>
      <c r="QUE1" s="3" t="s">
        <v>12196</v>
      </c>
      <c r="QUF1" s="3" t="s">
        <v>12197</v>
      </c>
      <c r="QUG1" s="3" t="s">
        <v>12198</v>
      </c>
      <c r="QUH1" s="3" t="s">
        <v>12199</v>
      </c>
      <c r="QUI1" s="3" t="s">
        <v>12200</v>
      </c>
      <c r="QUJ1" s="3" t="s">
        <v>12201</v>
      </c>
      <c r="QUK1" s="3" t="s">
        <v>12202</v>
      </c>
      <c r="QUL1" s="3" t="s">
        <v>12203</v>
      </c>
      <c r="QUM1" s="3" t="s">
        <v>12204</v>
      </c>
      <c r="QUN1" s="3" t="s">
        <v>12205</v>
      </c>
      <c r="QUO1" s="3" t="s">
        <v>12206</v>
      </c>
      <c r="QUP1" s="3" t="s">
        <v>12207</v>
      </c>
      <c r="QUQ1" s="3" t="s">
        <v>12208</v>
      </c>
      <c r="QUR1" s="3" t="s">
        <v>12209</v>
      </c>
      <c r="QUS1" s="3" t="s">
        <v>12210</v>
      </c>
      <c r="QUT1" s="3" t="s">
        <v>12211</v>
      </c>
      <c r="QUU1" s="3" t="s">
        <v>12212</v>
      </c>
      <c r="QUV1" s="3" t="s">
        <v>12213</v>
      </c>
      <c r="QUW1" s="3" t="s">
        <v>12214</v>
      </c>
      <c r="QUX1" s="3" t="s">
        <v>12215</v>
      </c>
      <c r="QUY1" s="3" t="s">
        <v>12216</v>
      </c>
      <c r="QUZ1" s="3" t="s">
        <v>12217</v>
      </c>
      <c r="QVA1" s="3" t="s">
        <v>12218</v>
      </c>
      <c r="QVB1" s="3" t="s">
        <v>12219</v>
      </c>
      <c r="QVC1" s="3" t="s">
        <v>12220</v>
      </c>
      <c r="QVD1" s="3" t="s">
        <v>12221</v>
      </c>
      <c r="QVE1" s="3" t="s">
        <v>12222</v>
      </c>
      <c r="QVF1" s="3" t="s">
        <v>12223</v>
      </c>
      <c r="QVG1" s="3" t="s">
        <v>12224</v>
      </c>
      <c r="QVH1" s="3" t="s">
        <v>12225</v>
      </c>
      <c r="QVI1" s="3" t="s">
        <v>12226</v>
      </c>
      <c r="QVJ1" s="3" t="s">
        <v>12227</v>
      </c>
      <c r="QVK1" s="3" t="s">
        <v>12228</v>
      </c>
      <c r="QVL1" s="3" t="s">
        <v>12229</v>
      </c>
      <c r="QVM1" s="3" t="s">
        <v>12230</v>
      </c>
      <c r="QVN1" s="3" t="s">
        <v>12231</v>
      </c>
      <c r="QVO1" s="3" t="s">
        <v>12232</v>
      </c>
      <c r="QVP1" s="3" t="s">
        <v>12233</v>
      </c>
      <c r="QVQ1" s="3" t="s">
        <v>12234</v>
      </c>
      <c r="QVR1" s="3" t="s">
        <v>12235</v>
      </c>
      <c r="QVS1" s="3" t="s">
        <v>12236</v>
      </c>
      <c r="QVT1" s="3" t="s">
        <v>12237</v>
      </c>
      <c r="QVU1" s="3" t="s">
        <v>12238</v>
      </c>
      <c r="QVV1" s="3" t="s">
        <v>12239</v>
      </c>
      <c r="QVW1" s="3" t="s">
        <v>12240</v>
      </c>
      <c r="QVX1" s="3" t="s">
        <v>12241</v>
      </c>
      <c r="QVY1" s="3" t="s">
        <v>12242</v>
      </c>
      <c r="QVZ1" s="3" t="s">
        <v>12243</v>
      </c>
      <c r="QWA1" s="3" t="s">
        <v>12244</v>
      </c>
      <c r="QWB1" s="3" t="s">
        <v>12245</v>
      </c>
      <c r="QWC1" s="3" t="s">
        <v>12246</v>
      </c>
      <c r="QWD1" s="3" t="s">
        <v>12247</v>
      </c>
      <c r="QWE1" s="3" t="s">
        <v>12248</v>
      </c>
      <c r="QWF1" s="3" t="s">
        <v>12249</v>
      </c>
      <c r="QWG1" s="3" t="s">
        <v>12250</v>
      </c>
      <c r="QWH1" s="3" t="s">
        <v>12251</v>
      </c>
      <c r="QWI1" s="3" t="s">
        <v>12252</v>
      </c>
      <c r="QWJ1" s="3" t="s">
        <v>12253</v>
      </c>
      <c r="QWK1" s="3" t="s">
        <v>12254</v>
      </c>
      <c r="QWL1" s="3" t="s">
        <v>12255</v>
      </c>
      <c r="QWM1" s="3" t="s">
        <v>12256</v>
      </c>
      <c r="QWN1" s="3" t="s">
        <v>12257</v>
      </c>
      <c r="QWO1" s="3" t="s">
        <v>12258</v>
      </c>
      <c r="QWP1" s="3" t="s">
        <v>12259</v>
      </c>
      <c r="QWQ1" s="3" t="s">
        <v>12260</v>
      </c>
      <c r="QWR1" s="3" t="s">
        <v>12261</v>
      </c>
      <c r="QWS1" s="3" t="s">
        <v>12262</v>
      </c>
      <c r="QWT1" s="3" t="s">
        <v>12263</v>
      </c>
      <c r="QWU1" s="3" t="s">
        <v>12264</v>
      </c>
      <c r="QWV1" s="3" t="s">
        <v>12265</v>
      </c>
      <c r="QWW1" s="3" t="s">
        <v>12266</v>
      </c>
      <c r="QWX1" s="3" t="s">
        <v>12267</v>
      </c>
      <c r="QWY1" s="3" t="s">
        <v>12268</v>
      </c>
      <c r="QWZ1" s="3" t="s">
        <v>12269</v>
      </c>
      <c r="QXA1" s="3" t="s">
        <v>12270</v>
      </c>
      <c r="QXB1" s="3" t="s">
        <v>12271</v>
      </c>
      <c r="QXC1" s="3" t="s">
        <v>12272</v>
      </c>
      <c r="QXD1" s="3" t="s">
        <v>12273</v>
      </c>
      <c r="QXE1" s="3" t="s">
        <v>12274</v>
      </c>
      <c r="QXF1" s="3" t="s">
        <v>12275</v>
      </c>
      <c r="QXG1" s="3" t="s">
        <v>12276</v>
      </c>
      <c r="QXH1" s="3" t="s">
        <v>12277</v>
      </c>
      <c r="QXI1" s="3" t="s">
        <v>12278</v>
      </c>
      <c r="QXJ1" s="3" t="s">
        <v>12279</v>
      </c>
      <c r="QXK1" s="3" t="s">
        <v>12280</v>
      </c>
      <c r="QXL1" s="3" t="s">
        <v>12281</v>
      </c>
      <c r="QXM1" s="3" t="s">
        <v>12282</v>
      </c>
      <c r="QXN1" s="3" t="s">
        <v>12283</v>
      </c>
      <c r="QXO1" s="3" t="s">
        <v>12284</v>
      </c>
      <c r="QXP1" s="3" t="s">
        <v>12285</v>
      </c>
      <c r="QXQ1" s="3" t="s">
        <v>12286</v>
      </c>
      <c r="QXR1" s="3" t="s">
        <v>12287</v>
      </c>
      <c r="QXS1" s="3" t="s">
        <v>12288</v>
      </c>
      <c r="QXT1" s="3" t="s">
        <v>12289</v>
      </c>
      <c r="QXU1" s="3" t="s">
        <v>12290</v>
      </c>
      <c r="QXV1" s="3" t="s">
        <v>12291</v>
      </c>
      <c r="QXW1" s="3" t="s">
        <v>12292</v>
      </c>
      <c r="QXX1" s="3" t="s">
        <v>12293</v>
      </c>
      <c r="QXY1" s="3" t="s">
        <v>12294</v>
      </c>
      <c r="QXZ1" s="3" t="s">
        <v>12295</v>
      </c>
      <c r="QYA1" s="3" t="s">
        <v>12296</v>
      </c>
      <c r="QYB1" s="3" t="s">
        <v>12297</v>
      </c>
      <c r="QYC1" s="3" t="s">
        <v>12298</v>
      </c>
      <c r="QYD1" s="3" t="s">
        <v>12299</v>
      </c>
      <c r="QYE1" s="3" t="s">
        <v>12300</v>
      </c>
      <c r="QYF1" s="3" t="s">
        <v>12301</v>
      </c>
      <c r="QYG1" s="3" t="s">
        <v>12302</v>
      </c>
      <c r="QYH1" s="3" t="s">
        <v>12303</v>
      </c>
      <c r="QYI1" s="3" t="s">
        <v>12304</v>
      </c>
      <c r="QYJ1" s="3" t="s">
        <v>12305</v>
      </c>
      <c r="QYK1" s="3" t="s">
        <v>12306</v>
      </c>
      <c r="QYL1" s="3" t="s">
        <v>12307</v>
      </c>
      <c r="QYM1" s="3" t="s">
        <v>12308</v>
      </c>
      <c r="QYN1" s="3" t="s">
        <v>12309</v>
      </c>
      <c r="QYO1" s="3" t="s">
        <v>12310</v>
      </c>
      <c r="QYP1" s="3" t="s">
        <v>12311</v>
      </c>
      <c r="QYQ1" s="3" t="s">
        <v>12312</v>
      </c>
      <c r="QYR1" s="3" t="s">
        <v>12313</v>
      </c>
      <c r="QYS1" s="3" t="s">
        <v>12314</v>
      </c>
      <c r="QYT1" s="3" t="s">
        <v>12315</v>
      </c>
      <c r="QYU1" s="3" t="s">
        <v>12316</v>
      </c>
      <c r="QYV1" s="3" t="s">
        <v>12317</v>
      </c>
      <c r="QYW1" s="3" t="s">
        <v>12318</v>
      </c>
      <c r="QYX1" s="3" t="s">
        <v>12319</v>
      </c>
      <c r="QYY1" s="3" t="s">
        <v>12320</v>
      </c>
      <c r="QYZ1" s="3" t="s">
        <v>12321</v>
      </c>
      <c r="QZA1" s="3" t="s">
        <v>12322</v>
      </c>
      <c r="QZB1" s="3" t="s">
        <v>12323</v>
      </c>
      <c r="QZC1" s="3" t="s">
        <v>12324</v>
      </c>
      <c r="QZD1" s="3" t="s">
        <v>12325</v>
      </c>
      <c r="QZE1" s="3" t="s">
        <v>12326</v>
      </c>
      <c r="QZF1" s="3" t="s">
        <v>12327</v>
      </c>
      <c r="QZG1" s="3" t="s">
        <v>12328</v>
      </c>
      <c r="QZH1" s="3" t="s">
        <v>12329</v>
      </c>
      <c r="QZI1" s="3" t="s">
        <v>12330</v>
      </c>
      <c r="QZJ1" s="3" t="s">
        <v>12331</v>
      </c>
      <c r="QZK1" s="3" t="s">
        <v>12332</v>
      </c>
      <c r="QZL1" s="3" t="s">
        <v>12333</v>
      </c>
      <c r="QZM1" s="3" t="s">
        <v>12334</v>
      </c>
      <c r="QZN1" s="3" t="s">
        <v>12335</v>
      </c>
      <c r="QZO1" s="3" t="s">
        <v>12336</v>
      </c>
      <c r="QZP1" s="3" t="s">
        <v>12337</v>
      </c>
      <c r="QZQ1" s="3" t="s">
        <v>12338</v>
      </c>
      <c r="QZR1" s="3" t="s">
        <v>12339</v>
      </c>
      <c r="QZS1" s="3" t="s">
        <v>12340</v>
      </c>
      <c r="QZT1" s="3" t="s">
        <v>12341</v>
      </c>
      <c r="QZU1" s="3" t="s">
        <v>12342</v>
      </c>
      <c r="QZV1" s="3" t="s">
        <v>12343</v>
      </c>
      <c r="QZW1" s="3" t="s">
        <v>12344</v>
      </c>
      <c r="QZX1" s="3" t="s">
        <v>12345</v>
      </c>
      <c r="QZY1" s="3" t="s">
        <v>12346</v>
      </c>
      <c r="QZZ1" s="3" t="s">
        <v>12347</v>
      </c>
      <c r="RAA1" s="3" t="s">
        <v>12348</v>
      </c>
      <c r="RAB1" s="3" t="s">
        <v>12349</v>
      </c>
      <c r="RAC1" s="3" t="s">
        <v>12350</v>
      </c>
      <c r="RAD1" s="3" t="s">
        <v>12351</v>
      </c>
      <c r="RAE1" s="3" t="s">
        <v>12352</v>
      </c>
      <c r="RAF1" s="3" t="s">
        <v>12353</v>
      </c>
      <c r="RAG1" s="3" t="s">
        <v>12354</v>
      </c>
      <c r="RAH1" s="3" t="s">
        <v>12355</v>
      </c>
      <c r="RAI1" s="3" t="s">
        <v>12356</v>
      </c>
      <c r="RAJ1" s="3" t="s">
        <v>12357</v>
      </c>
      <c r="RAK1" s="3" t="s">
        <v>12358</v>
      </c>
      <c r="RAL1" s="3" t="s">
        <v>12359</v>
      </c>
      <c r="RAM1" s="3" t="s">
        <v>12360</v>
      </c>
      <c r="RAN1" s="3" t="s">
        <v>12361</v>
      </c>
      <c r="RAO1" s="3" t="s">
        <v>12362</v>
      </c>
      <c r="RAP1" s="3" t="s">
        <v>12363</v>
      </c>
      <c r="RAQ1" s="3" t="s">
        <v>12364</v>
      </c>
      <c r="RAR1" s="3" t="s">
        <v>12365</v>
      </c>
      <c r="RAS1" s="3" t="s">
        <v>12366</v>
      </c>
      <c r="RAT1" s="3" t="s">
        <v>12367</v>
      </c>
      <c r="RAU1" s="3" t="s">
        <v>12368</v>
      </c>
      <c r="RAV1" s="3" t="s">
        <v>12369</v>
      </c>
      <c r="RAW1" s="3" t="s">
        <v>12370</v>
      </c>
      <c r="RAX1" s="3" t="s">
        <v>12371</v>
      </c>
      <c r="RAY1" s="3" t="s">
        <v>12372</v>
      </c>
      <c r="RAZ1" s="3" t="s">
        <v>12373</v>
      </c>
      <c r="RBA1" s="3" t="s">
        <v>12374</v>
      </c>
      <c r="RBB1" s="3" t="s">
        <v>12375</v>
      </c>
      <c r="RBC1" s="3" t="s">
        <v>12376</v>
      </c>
      <c r="RBD1" s="3" t="s">
        <v>12377</v>
      </c>
      <c r="RBE1" s="3" t="s">
        <v>12378</v>
      </c>
      <c r="RBF1" s="3" t="s">
        <v>12379</v>
      </c>
      <c r="RBG1" s="3" t="s">
        <v>12380</v>
      </c>
      <c r="RBH1" s="3" t="s">
        <v>12381</v>
      </c>
      <c r="RBI1" s="3" t="s">
        <v>12382</v>
      </c>
      <c r="RBJ1" s="3" t="s">
        <v>12383</v>
      </c>
      <c r="RBK1" s="3" t="s">
        <v>12384</v>
      </c>
      <c r="RBL1" s="3" t="s">
        <v>12385</v>
      </c>
      <c r="RBM1" s="3" t="s">
        <v>12386</v>
      </c>
      <c r="RBN1" s="3" t="s">
        <v>12387</v>
      </c>
      <c r="RBO1" s="3" t="s">
        <v>12388</v>
      </c>
      <c r="RBP1" s="3" t="s">
        <v>12389</v>
      </c>
      <c r="RBQ1" s="3" t="s">
        <v>12390</v>
      </c>
      <c r="RBR1" s="3" t="s">
        <v>12391</v>
      </c>
      <c r="RBS1" s="3" t="s">
        <v>12392</v>
      </c>
      <c r="RBT1" s="3" t="s">
        <v>12393</v>
      </c>
      <c r="RBU1" s="3" t="s">
        <v>12394</v>
      </c>
      <c r="RBV1" s="3" t="s">
        <v>12395</v>
      </c>
      <c r="RBW1" s="3" t="s">
        <v>12396</v>
      </c>
      <c r="RBX1" s="3" t="s">
        <v>12397</v>
      </c>
      <c r="RBY1" s="3" t="s">
        <v>12398</v>
      </c>
      <c r="RBZ1" s="3" t="s">
        <v>12399</v>
      </c>
      <c r="RCA1" s="3" t="s">
        <v>12400</v>
      </c>
      <c r="RCB1" s="3" t="s">
        <v>12401</v>
      </c>
      <c r="RCC1" s="3" t="s">
        <v>12402</v>
      </c>
      <c r="RCD1" s="3" t="s">
        <v>12403</v>
      </c>
      <c r="RCE1" s="3" t="s">
        <v>12404</v>
      </c>
      <c r="RCF1" s="3" t="s">
        <v>12405</v>
      </c>
      <c r="RCG1" s="3" t="s">
        <v>12406</v>
      </c>
      <c r="RCH1" s="3" t="s">
        <v>12407</v>
      </c>
      <c r="RCI1" s="3" t="s">
        <v>12408</v>
      </c>
      <c r="RCJ1" s="3" t="s">
        <v>12409</v>
      </c>
      <c r="RCK1" s="3" t="s">
        <v>12410</v>
      </c>
      <c r="RCL1" s="3" t="s">
        <v>12411</v>
      </c>
      <c r="RCM1" s="3" t="s">
        <v>12412</v>
      </c>
      <c r="RCN1" s="3" t="s">
        <v>12413</v>
      </c>
      <c r="RCO1" s="3" t="s">
        <v>12414</v>
      </c>
      <c r="RCP1" s="3" t="s">
        <v>12415</v>
      </c>
      <c r="RCQ1" s="3" t="s">
        <v>12416</v>
      </c>
      <c r="RCR1" s="3" t="s">
        <v>12417</v>
      </c>
      <c r="RCS1" s="3" t="s">
        <v>12418</v>
      </c>
      <c r="RCT1" s="3" t="s">
        <v>12419</v>
      </c>
      <c r="RCU1" s="3" t="s">
        <v>12420</v>
      </c>
      <c r="RCV1" s="3" t="s">
        <v>12421</v>
      </c>
      <c r="RCW1" s="3" t="s">
        <v>12422</v>
      </c>
      <c r="RCX1" s="3" t="s">
        <v>12423</v>
      </c>
      <c r="RCY1" s="3" t="s">
        <v>12424</v>
      </c>
      <c r="RCZ1" s="3" t="s">
        <v>12425</v>
      </c>
      <c r="RDA1" s="3" t="s">
        <v>12426</v>
      </c>
      <c r="RDB1" s="3" t="s">
        <v>12427</v>
      </c>
      <c r="RDC1" s="3" t="s">
        <v>12428</v>
      </c>
      <c r="RDD1" s="3" t="s">
        <v>12429</v>
      </c>
      <c r="RDE1" s="3" t="s">
        <v>12430</v>
      </c>
      <c r="RDF1" s="3" t="s">
        <v>12431</v>
      </c>
      <c r="RDG1" s="3" t="s">
        <v>12432</v>
      </c>
      <c r="RDH1" s="3" t="s">
        <v>12433</v>
      </c>
      <c r="RDI1" s="3" t="s">
        <v>12434</v>
      </c>
      <c r="RDJ1" s="3" t="s">
        <v>12435</v>
      </c>
      <c r="RDK1" s="3" t="s">
        <v>12436</v>
      </c>
      <c r="RDL1" s="3" t="s">
        <v>12437</v>
      </c>
      <c r="RDM1" s="3" t="s">
        <v>12438</v>
      </c>
      <c r="RDN1" s="3" t="s">
        <v>12439</v>
      </c>
      <c r="RDO1" s="3" t="s">
        <v>12440</v>
      </c>
      <c r="RDP1" s="3" t="s">
        <v>12441</v>
      </c>
      <c r="RDQ1" s="3" t="s">
        <v>12442</v>
      </c>
      <c r="RDR1" s="3" t="s">
        <v>12443</v>
      </c>
      <c r="RDS1" s="3" t="s">
        <v>12444</v>
      </c>
      <c r="RDT1" s="3" t="s">
        <v>12445</v>
      </c>
      <c r="RDU1" s="3" t="s">
        <v>12446</v>
      </c>
      <c r="RDV1" s="3" t="s">
        <v>12447</v>
      </c>
      <c r="RDW1" s="3" t="s">
        <v>12448</v>
      </c>
      <c r="RDX1" s="3" t="s">
        <v>12449</v>
      </c>
      <c r="RDY1" s="3" t="s">
        <v>12450</v>
      </c>
      <c r="RDZ1" s="3" t="s">
        <v>12451</v>
      </c>
      <c r="REA1" s="3" t="s">
        <v>12452</v>
      </c>
      <c r="REB1" s="3" t="s">
        <v>12453</v>
      </c>
      <c r="REC1" s="3" t="s">
        <v>12454</v>
      </c>
      <c r="RED1" s="3" t="s">
        <v>12455</v>
      </c>
      <c r="REE1" s="3" t="s">
        <v>12456</v>
      </c>
      <c r="REF1" s="3" t="s">
        <v>12457</v>
      </c>
      <c r="REG1" s="3" t="s">
        <v>12458</v>
      </c>
      <c r="REH1" s="3" t="s">
        <v>12459</v>
      </c>
      <c r="REI1" s="3" t="s">
        <v>12460</v>
      </c>
      <c r="REJ1" s="3" t="s">
        <v>12461</v>
      </c>
      <c r="REK1" s="3" t="s">
        <v>12462</v>
      </c>
      <c r="REL1" s="3" t="s">
        <v>12463</v>
      </c>
      <c r="REM1" s="3" t="s">
        <v>12464</v>
      </c>
      <c r="REN1" s="3" t="s">
        <v>12465</v>
      </c>
      <c r="REO1" s="3" t="s">
        <v>12466</v>
      </c>
      <c r="REP1" s="3" t="s">
        <v>12467</v>
      </c>
      <c r="REQ1" s="3" t="s">
        <v>12468</v>
      </c>
      <c r="RER1" s="3" t="s">
        <v>12469</v>
      </c>
      <c r="RES1" s="3" t="s">
        <v>12470</v>
      </c>
      <c r="RET1" s="3" t="s">
        <v>12471</v>
      </c>
      <c r="REU1" s="3" t="s">
        <v>12472</v>
      </c>
      <c r="REV1" s="3" t="s">
        <v>12473</v>
      </c>
      <c r="REW1" s="3" t="s">
        <v>12474</v>
      </c>
      <c r="REX1" s="3" t="s">
        <v>12475</v>
      </c>
      <c r="REY1" s="3" t="s">
        <v>12476</v>
      </c>
      <c r="REZ1" s="3" t="s">
        <v>12477</v>
      </c>
      <c r="RFA1" s="3" t="s">
        <v>12478</v>
      </c>
      <c r="RFB1" s="3" t="s">
        <v>12479</v>
      </c>
      <c r="RFC1" s="3" t="s">
        <v>12480</v>
      </c>
      <c r="RFD1" s="3" t="s">
        <v>12481</v>
      </c>
      <c r="RFE1" s="3" t="s">
        <v>12482</v>
      </c>
      <c r="RFF1" s="3" t="s">
        <v>12483</v>
      </c>
      <c r="RFG1" s="3" t="s">
        <v>12484</v>
      </c>
      <c r="RFH1" s="3" t="s">
        <v>12485</v>
      </c>
      <c r="RFI1" s="3" t="s">
        <v>12486</v>
      </c>
      <c r="RFJ1" s="3" t="s">
        <v>12487</v>
      </c>
      <c r="RFK1" s="3" t="s">
        <v>12488</v>
      </c>
      <c r="RFL1" s="3" t="s">
        <v>12489</v>
      </c>
      <c r="RFM1" s="3" t="s">
        <v>12490</v>
      </c>
      <c r="RFN1" s="3" t="s">
        <v>12491</v>
      </c>
      <c r="RFO1" s="3" t="s">
        <v>12492</v>
      </c>
      <c r="RFP1" s="3" t="s">
        <v>12493</v>
      </c>
      <c r="RFQ1" s="3" t="s">
        <v>12494</v>
      </c>
      <c r="RFR1" s="3" t="s">
        <v>12495</v>
      </c>
      <c r="RFS1" s="3" t="s">
        <v>12496</v>
      </c>
      <c r="RFT1" s="3" t="s">
        <v>12497</v>
      </c>
      <c r="RFU1" s="3" t="s">
        <v>12498</v>
      </c>
      <c r="RFV1" s="3" t="s">
        <v>12499</v>
      </c>
      <c r="RFW1" s="3" t="s">
        <v>12500</v>
      </c>
      <c r="RFX1" s="3" t="s">
        <v>12501</v>
      </c>
      <c r="RFY1" s="3" t="s">
        <v>12502</v>
      </c>
      <c r="RFZ1" s="3" t="s">
        <v>12503</v>
      </c>
      <c r="RGA1" s="3" t="s">
        <v>12504</v>
      </c>
      <c r="RGB1" s="3" t="s">
        <v>12505</v>
      </c>
      <c r="RGC1" s="3" t="s">
        <v>12506</v>
      </c>
      <c r="RGD1" s="3" t="s">
        <v>12507</v>
      </c>
      <c r="RGE1" s="3" t="s">
        <v>12508</v>
      </c>
      <c r="RGF1" s="3" t="s">
        <v>12509</v>
      </c>
      <c r="RGG1" s="3" t="s">
        <v>12510</v>
      </c>
      <c r="RGH1" s="3" t="s">
        <v>12511</v>
      </c>
      <c r="RGI1" s="3" t="s">
        <v>12512</v>
      </c>
      <c r="RGJ1" s="3" t="s">
        <v>12513</v>
      </c>
      <c r="RGK1" s="3" t="s">
        <v>12514</v>
      </c>
      <c r="RGL1" s="3" t="s">
        <v>12515</v>
      </c>
      <c r="RGM1" s="3" t="s">
        <v>12516</v>
      </c>
      <c r="RGN1" s="3" t="s">
        <v>12517</v>
      </c>
      <c r="RGO1" s="3" t="s">
        <v>12518</v>
      </c>
      <c r="RGP1" s="3" t="s">
        <v>12519</v>
      </c>
      <c r="RGQ1" s="3" t="s">
        <v>12520</v>
      </c>
      <c r="RGR1" s="3" t="s">
        <v>12521</v>
      </c>
      <c r="RGS1" s="3" t="s">
        <v>12522</v>
      </c>
      <c r="RGT1" s="3" t="s">
        <v>12523</v>
      </c>
      <c r="RGU1" s="3" t="s">
        <v>12524</v>
      </c>
      <c r="RGV1" s="3" t="s">
        <v>12525</v>
      </c>
      <c r="RGW1" s="3" t="s">
        <v>12526</v>
      </c>
      <c r="RGX1" s="3" t="s">
        <v>12527</v>
      </c>
      <c r="RGY1" s="3" t="s">
        <v>12528</v>
      </c>
      <c r="RGZ1" s="3" t="s">
        <v>12529</v>
      </c>
      <c r="RHA1" s="3" t="s">
        <v>12530</v>
      </c>
      <c r="RHB1" s="3" t="s">
        <v>12531</v>
      </c>
      <c r="RHC1" s="3" t="s">
        <v>12532</v>
      </c>
      <c r="RHD1" s="3" t="s">
        <v>12533</v>
      </c>
      <c r="RHE1" s="3" t="s">
        <v>12534</v>
      </c>
      <c r="RHF1" s="3" t="s">
        <v>12535</v>
      </c>
      <c r="RHG1" s="3" t="s">
        <v>12536</v>
      </c>
      <c r="RHH1" s="3" t="s">
        <v>12537</v>
      </c>
      <c r="RHI1" s="3" t="s">
        <v>12538</v>
      </c>
      <c r="RHJ1" s="3" t="s">
        <v>12539</v>
      </c>
      <c r="RHK1" s="3" t="s">
        <v>12540</v>
      </c>
      <c r="RHL1" s="3" t="s">
        <v>12541</v>
      </c>
      <c r="RHM1" s="3" t="s">
        <v>12542</v>
      </c>
      <c r="RHN1" s="3" t="s">
        <v>12543</v>
      </c>
      <c r="RHO1" s="3" t="s">
        <v>12544</v>
      </c>
      <c r="RHP1" s="3" t="s">
        <v>12545</v>
      </c>
      <c r="RHQ1" s="3" t="s">
        <v>12546</v>
      </c>
      <c r="RHR1" s="3" t="s">
        <v>12547</v>
      </c>
      <c r="RHS1" s="3" t="s">
        <v>12548</v>
      </c>
      <c r="RHT1" s="3" t="s">
        <v>12549</v>
      </c>
      <c r="RHU1" s="3" t="s">
        <v>12550</v>
      </c>
      <c r="RHV1" s="3" t="s">
        <v>12551</v>
      </c>
      <c r="RHW1" s="3" t="s">
        <v>12552</v>
      </c>
      <c r="RHX1" s="3" t="s">
        <v>12553</v>
      </c>
      <c r="RHY1" s="3" t="s">
        <v>12554</v>
      </c>
      <c r="RHZ1" s="3" t="s">
        <v>12555</v>
      </c>
      <c r="RIA1" s="3" t="s">
        <v>12556</v>
      </c>
      <c r="RIB1" s="3" t="s">
        <v>12557</v>
      </c>
      <c r="RIC1" s="3" t="s">
        <v>12558</v>
      </c>
      <c r="RID1" s="3" t="s">
        <v>12559</v>
      </c>
      <c r="RIE1" s="3" t="s">
        <v>12560</v>
      </c>
      <c r="RIF1" s="3" t="s">
        <v>12561</v>
      </c>
      <c r="RIG1" s="3" t="s">
        <v>12562</v>
      </c>
      <c r="RIH1" s="3" t="s">
        <v>12563</v>
      </c>
      <c r="RII1" s="3" t="s">
        <v>12564</v>
      </c>
      <c r="RIJ1" s="3" t="s">
        <v>12565</v>
      </c>
      <c r="RIK1" s="3" t="s">
        <v>12566</v>
      </c>
      <c r="RIL1" s="3" t="s">
        <v>12567</v>
      </c>
      <c r="RIM1" s="3" t="s">
        <v>12568</v>
      </c>
      <c r="RIN1" s="3" t="s">
        <v>12569</v>
      </c>
      <c r="RIO1" s="3" t="s">
        <v>12570</v>
      </c>
      <c r="RIP1" s="3" t="s">
        <v>12571</v>
      </c>
      <c r="RIQ1" s="3" t="s">
        <v>12572</v>
      </c>
      <c r="RIR1" s="3" t="s">
        <v>12573</v>
      </c>
      <c r="RIS1" s="3" t="s">
        <v>12574</v>
      </c>
      <c r="RIT1" s="3" t="s">
        <v>12575</v>
      </c>
      <c r="RIU1" s="3" t="s">
        <v>12576</v>
      </c>
      <c r="RIV1" s="3" t="s">
        <v>12577</v>
      </c>
      <c r="RIW1" s="3" t="s">
        <v>12578</v>
      </c>
      <c r="RIX1" s="3" t="s">
        <v>12579</v>
      </c>
      <c r="RIY1" s="3" t="s">
        <v>12580</v>
      </c>
      <c r="RIZ1" s="3" t="s">
        <v>12581</v>
      </c>
      <c r="RJA1" s="3" t="s">
        <v>12582</v>
      </c>
      <c r="RJB1" s="3" t="s">
        <v>12583</v>
      </c>
      <c r="RJC1" s="3" t="s">
        <v>12584</v>
      </c>
      <c r="RJD1" s="3" t="s">
        <v>12585</v>
      </c>
      <c r="RJE1" s="3" t="s">
        <v>12586</v>
      </c>
      <c r="RJF1" s="3" t="s">
        <v>12587</v>
      </c>
      <c r="RJG1" s="3" t="s">
        <v>12588</v>
      </c>
      <c r="RJH1" s="3" t="s">
        <v>12589</v>
      </c>
      <c r="RJI1" s="3" t="s">
        <v>12590</v>
      </c>
      <c r="RJJ1" s="3" t="s">
        <v>12591</v>
      </c>
      <c r="RJK1" s="3" t="s">
        <v>12592</v>
      </c>
      <c r="RJL1" s="3" t="s">
        <v>12593</v>
      </c>
      <c r="RJM1" s="3" t="s">
        <v>12594</v>
      </c>
      <c r="RJN1" s="3" t="s">
        <v>12595</v>
      </c>
      <c r="RJO1" s="3" t="s">
        <v>12596</v>
      </c>
      <c r="RJP1" s="3" t="s">
        <v>12597</v>
      </c>
      <c r="RJQ1" s="3" t="s">
        <v>12598</v>
      </c>
      <c r="RJR1" s="3" t="s">
        <v>12599</v>
      </c>
      <c r="RJS1" s="3" t="s">
        <v>12600</v>
      </c>
      <c r="RJT1" s="3" t="s">
        <v>12601</v>
      </c>
      <c r="RJU1" s="3" t="s">
        <v>12602</v>
      </c>
      <c r="RJV1" s="3" t="s">
        <v>12603</v>
      </c>
      <c r="RJW1" s="3" t="s">
        <v>12604</v>
      </c>
      <c r="RJX1" s="3" t="s">
        <v>12605</v>
      </c>
      <c r="RJY1" s="3" t="s">
        <v>12606</v>
      </c>
      <c r="RJZ1" s="3" t="s">
        <v>12607</v>
      </c>
      <c r="RKA1" s="3" t="s">
        <v>12608</v>
      </c>
      <c r="RKB1" s="3" t="s">
        <v>12609</v>
      </c>
      <c r="RKC1" s="3" t="s">
        <v>12610</v>
      </c>
      <c r="RKD1" s="3" t="s">
        <v>12611</v>
      </c>
      <c r="RKE1" s="3" t="s">
        <v>12612</v>
      </c>
      <c r="RKF1" s="3" t="s">
        <v>12613</v>
      </c>
      <c r="RKG1" s="3" t="s">
        <v>12614</v>
      </c>
      <c r="RKH1" s="3" t="s">
        <v>12615</v>
      </c>
      <c r="RKI1" s="3" t="s">
        <v>12616</v>
      </c>
      <c r="RKJ1" s="3" t="s">
        <v>12617</v>
      </c>
      <c r="RKK1" s="3" t="s">
        <v>12618</v>
      </c>
      <c r="RKL1" s="3" t="s">
        <v>12619</v>
      </c>
      <c r="RKM1" s="3" t="s">
        <v>12620</v>
      </c>
      <c r="RKN1" s="3" t="s">
        <v>12621</v>
      </c>
      <c r="RKO1" s="3" t="s">
        <v>12622</v>
      </c>
      <c r="RKP1" s="3" t="s">
        <v>12623</v>
      </c>
      <c r="RKQ1" s="3" t="s">
        <v>12624</v>
      </c>
      <c r="RKR1" s="3" t="s">
        <v>12625</v>
      </c>
      <c r="RKS1" s="3" t="s">
        <v>12626</v>
      </c>
      <c r="RKT1" s="3" t="s">
        <v>12627</v>
      </c>
      <c r="RKU1" s="3" t="s">
        <v>12628</v>
      </c>
      <c r="RKV1" s="3" t="s">
        <v>12629</v>
      </c>
      <c r="RKW1" s="3" t="s">
        <v>12630</v>
      </c>
      <c r="RKX1" s="3" t="s">
        <v>12631</v>
      </c>
      <c r="RKY1" s="3" t="s">
        <v>12632</v>
      </c>
      <c r="RKZ1" s="3" t="s">
        <v>12633</v>
      </c>
      <c r="RLA1" s="3" t="s">
        <v>12634</v>
      </c>
      <c r="RLB1" s="3" t="s">
        <v>12635</v>
      </c>
      <c r="RLC1" s="3" t="s">
        <v>12636</v>
      </c>
      <c r="RLD1" s="3" t="s">
        <v>12637</v>
      </c>
      <c r="RLE1" s="3" t="s">
        <v>12638</v>
      </c>
      <c r="RLF1" s="3" t="s">
        <v>12639</v>
      </c>
      <c r="RLG1" s="3" t="s">
        <v>12640</v>
      </c>
      <c r="RLH1" s="3" t="s">
        <v>12641</v>
      </c>
      <c r="RLI1" s="3" t="s">
        <v>12642</v>
      </c>
      <c r="RLJ1" s="3" t="s">
        <v>12643</v>
      </c>
      <c r="RLK1" s="3" t="s">
        <v>12644</v>
      </c>
      <c r="RLL1" s="3" t="s">
        <v>12645</v>
      </c>
      <c r="RLM1" s="3" t="s">
        <v>12646</v>
      </c>
      <c r="RLN1" s="3" t="s">
        <v>12647</v>
      </c>
      <c r="RLO1" s="3" t="s">
        <v>12648</v>
      </c>
      <c r="RLP1" s="3" t="s">
        <v>12649</v>
      </c>
      <c r="RLQ1" s="3" t="s">
        <v>12650</v>
      </c>
      <c r="RLR1" s="3" t="s">
        <v>12651</v>
      </c>
      <c r="RLS1" s="3" t="s">
        <v>12652</v>
      </c>
      <c r="RLT1" s="3" t="s">
        <v>12653</v>
      </c>
      <c r="RLU1" s="3" t="s">
        <v>12654</v>
      </c>
      <c r="RLV1" s="3" t="s">
        <v>12655</v>
      </c>
      <c r="RLW1" s="3" t="s">
        <v>12656</v>
      </c>
      <c r="RLX1" s="3" t="s">
        <v>12657</v>
      </c>
      <c r="RLY1" s="3" t="s">
        <v>12658</v>
      </c>
      <c r="RLZ1" s="3" t="s">
        <v>12659</v>
      </c>
      <c r="RMA1" s="3" t="s">
        <v>12660</v>
      </c>
      <c r="RMB1" s="3" t="s">
        <v>12661</v>
      </c>
      <c r="RMC1" s="3" t="s">
        <v>12662</v>
      </c>
      <c r="RMD1" s="3" t="s">
        <v>12663</v>
      </c>
      <c r="RME1" s="3" t="s">
        <v>12664</v>
      </c>
      <c r="RMF1" s="3" t="s">
        <v>12665</v>
      </c>
      <c r="RMG1" s="3" t="s">
        <v>12666</v>
      </c>
      <c r="RMH1" s="3" t="s">
        <v>12667</v>
      </c>
      <c r="RMI1" s="3" t="s">
        <v>12668</v>
      </c>
      <c r="RMJ1" s="3" t="s">
        <v>12669</v>
      </c>
      <c r="RMK1" s="3" t="s">
        <v>12670</v>
      </c>
      <c r="RML1" s="3" t="s">
        <v>12671</v>
      </c>
      <c r="RMM1" s="3" t="s">
        <v>12672</v>
      </c>
      <c r="RMN1" s="3" t="s">
        <v>12673</v>
      </c>
      <c r="RMO1" s="3" t="s">
        <v>12674</v>
      </c>
      <c r="RMP1" s="3" t="s">
        <v>12675</v>
      </c>
      <c r="RMQ1" s="3" t="s">
        <v>12676</v>
      </c>
      <c r="RMR1" s="3" t="s">
        <v>12677</v>
      </c>
      <c r="RMS1" s="3" t="s">
        <v>12678</v>
      </c>
      <c r="RMT1" s="3" t="s">
        <v>12679</v>
      </c>
      <c r="RMU1" s="3" t="s">
        <v>12680</v>
      </c>
      <c r="RMV1" s="3" t="s">
        <v>12681</v>
      </c>
      <c r="RMW1" s="3" t="s">
        <v>12682</v>
      </c>
      <c r="RMX1" s="3" t="s">
        <v>12683</v>
      </c>
      <c r="RMY1" s="3" t="s">
        <v>12684</v>
      </c>
      <c r="RMZ1" s="3" t="s">
        <v>12685</v>
      </c>
      <c r="RNA1" s="3" t="s">
        <v>12686</v>
      </c>
      <c r="RNB1" s="3" t="s">
        <v>12687</v>
      </c>
      <c r="RNC1" s="3" t="s">
        <v>12688</v>
      </c>
      <c r="RND1" s="3" t="s">
        <v>12689</v>
      </c>
      <c r="RNE1" s="3" t="s">
        <v>12690</v>
      </c>
      <c r="RNF1" s="3" t="s">
        <v>12691</v>
      </c>
      <c r="RNG1" s="3" t="s">
        <v>12692</v>
      </c>
      <c r="RNH1" s="3" t="s">
        <v>12693</v>
      </c>
      <c r="RNI1" s="3" t="s">
        <v>12694</v>
      </c>
      <c r="RNJ1" s="3" t="s">
        <v>12695</v>
      </c>
      <c r="RNK1" s="3" t="s">
        <v>12696</v>
      </c>
      <c r="RNL1" s="3" t="s">
        <v>12697</v>
      </c>
      <c r="RNM1" s="3" t="s">
        <v>12698</v>
      </c>
      <c r="RNN1" s="3" t="s">
        <v>12699</v>
      </c>
      <c r="RNO1" s="3" t="s">
        <v>12700</v>
      </c>
      <c r="RNP1" s="3" t="s">
        <v>12701</v>
      </c>
      <c r="RNQ1" s="3" t="s">
        <v>12702</v>
      </c>
      <c r="RNR1" s="3" t="s">
        <v>12703</v>
      </c>
      <c r="RNS1" s="3" t="s">
        <v>12704</v>
      </c>
      <c r="RNT1" s="3" t="s">
        <v>12705</v>
      </c>
      <c r="RNU1" s="3" t="s">
        <v>12706</v>
      </c>
      <c r="RNV1" s="3" t="s">
        <v>12707</v>
      </c>
      <c r="RNW1" s="3" t="s">
        <v>12708</v>
      </c>
      <c r="RNX1" s="3" t="s">
        <v>12709</v>
      </c>
      <c r="RNY1" s="3" t="s">
        <v>12710</v>
      </c>
      <c r="RNZ1" s="3" t="s">
        <v>12711</v>
      </c>
      <c r="ROA1" s="3" t="s">
        <v>12712</v>
      </c>
      <c r="ROB1" s="3" t="s">
        <v>12713</v>
      </c>
      <c r="ROC1" s="3" t="s">
        <v>12714</v>
      </c>
      <c r="ROD1" s="3" t="s">
        <v>12715</v>
      </c>
      <c r="ROE1" s="3" t="s">
        <v>12716</v>
      </c>
      <c r="ROF1" s="3" t="s">
        <v>12717</v>
      </c>
      <c r="ROG1" s="3" t="s">
        <v>12718</v>
      </c>
      <c r="ROH1" s="3" t="s">
        <v>12719</v>
      </c>
      <c r="ROI1" s="3" t="s">
        <v>12720</v>
      </c>
      <c r="ROJ1" s="3" t="s">
        <v>12721</v>
      </c>
      <c r="ROK1" s="3" t="s">
        <v>12722</v>
      </c>
      <c r="ROL1" s="3" t="s">
        <v>12723</v>
      </c>
      <c r="ROM1" s="3" t="s">
        <v>12724</v>
      </c>
      <c r="RON1" s="3" t="s">
        <v>12725</v>
      </c>
      <c r="ROO1" s="3" t="s">
        <v>12726</v>
      </c>
      <c r="ROP1" s="3" t="s">
        <v>12727</v>
      </c>
      <c r="ROQ1" s="3" t="s">
        <v>12728</v>
      </c>
      <c r="ROR1" s="3" t="s">
        <v>12729</v>
      </c>
      <c r="ROS1" s="3" t="s">
        <v>12730</v>
      </c>
      <c r="ROT1" s="3" t="s">
        <v>12731</v>
      </c>
      <c r="ROU1" s="3" t="s">
        <v>12732</v>
      </c>
      <c r="ROV1" s="3" t="s">
        <v>12733</v>
      </c>
      <c r="ROW1" s="3" t="s">
        <v>12734</v>
      </c>
      <c r="ROX1" s="3" t="s">
        <v>12735</v>
      </c>
      <c r="ROY1" s="3" t="s">
        <v>12736</v>
      </c>
      <c r="ROZ1" s="3" t="s">
        <v>12737</v>
      </c>
      <c r="RPA1" s="3" t="s">
        <v>12738</v>
      </c>
      <c r="RPB1" s="3" t="s">
        <v>12739</v>
      </c>
      <c r="RPC1" s="3" t="s">
        <v>12740</v>
      </c>
      <c r="RPD1" s="3" t="s">
        <v>12741</v>
      </c>
      <c r="RPE1" s="3" t="s">
        <v>12742</v>
      </c>
      <c r="RPF1" s="3" t="s">
        <v>12743</v>
      </c>
      <c r="RPG1" s="3" t="s">
        <v>12744</v>
      </c>
      <c r="RPH1" s="3" t="s">
        <v>12745</v>
      </c>
      <c r="RPI1" s="3" t="s">
        <v>12746</v>
      </c>
      <c r="RPJ1" s="3" t="s">
        <v>12747</v>
      </c>
      <c r="RPK1" s="3" t="s">
        <v>12748</v>
      </c>
      <c r="RPL1" s="3" t="s">
        <v>12749</v>
      </c>
      <c r="RPM1" s="3" t="s">
        <v>12750</v>
      </c>
      <c r="RPN1" s="3" t="s">
        <v>12751</v>
      </c>
      <c r="RPO1" s="3" t="s">
        <v>12752</v>
      </c>
      <c r="RPP1" s="3" t="s">
        <v>12753</v>
      </c>
      <c r="RPQ1" s="3" t="s">
        <v>12754</v>
      </c>
      <c r="RPR1" s="3" t="s">
        <v>12755</v>
      </c>
      <c r="RPS1" s="3" t="s">
        <v>12756</v>
      </c>
      <c r="RPT1" s="3" t="s">
        <v>12757</v>
      </c>
      <c r="RPU1" s="3" t="s">
        <v>12758</v>
      </c>
      <c r="RPV1" s="3" t="s">
        <v>12759</v>
      </c>
      <c r="RPW1" s="3" t="s">
        <v>12760</v>
      </c>
      <c r="RPX1" s="3" t="s">
        <v>12761</v>
      </c>
      <c r="RPY1" s="3" t="s">
        <v>12762</v>
      </c>
      <c r="RPZ1" s="3" t="s">
        <v>12763</v>
      </c>
      <c r="RQA1" s="3" t="s">
        <v>12764</v>
      </c>
      <c r="RQB1" s="3" t="s">
        <v>12765</v>
      </c>
      <c r="RQC1" s="3" t="s">
        <v>12766</v>
      </c>
      <c r="RQD1" s="3" t="s">
        <v>12767</v>
      </c>
      <c r="RQE1" s="3" t="s">
        <v>12768</v>
      </c>
      <c r="RQF1" s="3" t="s">
        <v>12769</v>
      </c>
      <c r="RQG1" s="3" t="s">
        <v>12770</v>
      </c>
      <c r="RQH1" s="3" t="s">
        <v>12771</v>
      </c>
      <c r="RQI1" s="3" t="s">
        <v>12772</v>
      </c>
      <c r="RQJ1" s="3" t="s">
        <v>12773</v>
      </c>
      <c r="RQK1" s="3" t="s">
        <v>12774</v>
      </c>
      <c r="RQL1" s="3" t="s">
        <v>12775</v>
      </c>
      <c r="RQM1" s="3" t="s">
        <v>12776</v>
      </c>
      <c r="RQN1" s="3" t="s">
        <v>12777</v>
      </c>
      <c r="RQO1" s="3" t="s">
        <v>12778</v>
      </c>
      <c r="RQP1" s="3" t="s">
        <v>12779</v>
      </c>
      <c r="RQQ1" s="3" t="s">
        <v>12780</v>
      </c>
      <c r="RQR1" s="3" t="s">
        <v>12781</v>
      </c>
      <c r="RQS1" s="3" t="s">
        <v>12782</v>
      </c>
      <c r="RQT1" s="3" t="s">
        <v>12783</v>
      </c>
      <c r="RQU1" s="3" t="s">
        <v>12784</v>
      </c>
      <c r="RQV1" s="3" t="s">
        <v>12785</v>
      </c>
      <c r="RQW1" s="3" t="s">
        <v>12786</v>
      </c>
      <c r="RQX1" s="3" t="s">
        <v>12787</v>
      </c>
      <c r="RQY1" s="3" t="s">
        <v>12788</v>
      </c>
      <c r="RQZ1" s="3" t="s">
        <v>12789</v>
      </c>
      <c r="RRA1" s="3" t="s">
        <v>12790</v>
      </c>
      <c r="RRB1" s="3" t="s">
        <v>12791</v>
      </c>
      <c r="RRC1" s="3" t="s">
        <v>12792</v>
      </c>
      <c r="RRD1" s="3" t="s">
        <v>12793</v>
      </c>
      <c r="RRE1" s="3" t="s">
        <v>12794</v>
      </c>
      <c r="RRF1" s="3" t="s">
        <v>12795</v>
      </c>
      <c r="RRG1" s="3" t="s">
        <v>12796</v>
      </c>
      <c r="RRH1" s="3" t="s">
        <v>12797</v>
      </c>
      <c r="RRI1" s="3" t="s">
        <v>12798</v>
      </c>
      <c r="RRJ1" s="3" t="s">
        <v>12799</v>
      </c>
      <c r="RRK1" s="3" t="s">
        <v>12800</v>
      </c>
      <c r="RRL1" s="3" t="s">
        <v>12801</v>
      </c>
      <c r="RRM1" s="3" t="s">
        <v>12802</v>
      </c>
      <c r="RRN1" s="3" t="s">
        <v>12803</v>
      </c>
      <c r="RRO1" s="3" t="s">
        <v>12804</v>
      </c>
      <c r="RRP1" s="3" t="s">
        <v>12805</v>
      </c>
      <c r="RRQ1" s="3" t="s">
        <v>12806</v>
      </c>
      <c r="RRR1" s="3" t="s">
        <v>12807</v>
      </c>
      <c r="RRS1" s="3" t="s">
        <v>12808</v>
      </c>
      <c r="RRT1" s="3" t="s">
        <v>12809</v>
      </c>
      <c r="RRU1" s="3" t="s">
        <v>12810</v>
      </c>
      <c r="RRV1" s="3" t="s">
        <v>12811</v>
      </c>
      <c r="RRW1" s="3" t="s">
        <v>12812</v>
      </c>
      <c r="RRX1" s="3" t="s">
        <v>12813</v>
      </c>
      <c r="RRY1" s="3" t="s">
        <v>12814</v>
      </c>
      <c r="RRZ1" s="3" t="s">
        <v>12815</v>
      </c>
      <c r="RSA1" s="3" t="s">
        <v>12816</v>
      </c>
      <c r="RSB1" s="3" t="s">
        <v>12817</v>
      </c>
      <c r="RSC1" s="3" t="s">
        <v>12818</v>
      </c>
      <c r="RSD1" s="3" t="s">
        <v>12819</v>
      </c>
      <c r="RSE1" s="3" t="s">
        <v>12820</v>
      </c>
      <c r="RSF1" s="3" t="s">
        <v>12821</v>
      </c>
      <c r="RSG1" s="3" t="s">
        <v>12822</v>
      </c>
      <c r="RSH1" s="3" t="s">
        <v>12823</v>
      </c>
      <c r="RSI1" s="3" t="s">
        <v>12824</v>
      </c>
      <c r="RSJ1" s="3" t="s">
        <v>12825</v>
      </c>
      <c r="RSK1" s="3" t="s">
        <v>12826</v>
      </c>
      <c r="RSL1" s="3" t="s">
        <v>12827</v>
      </c>
      <c r="RSM1" s="3" t="s">
        <v>12828</v>
      </c>
      <c r="RSN1" s="3" t="s">
        <v>12829</v>
      </c>
      <c r="RSO1" s="3" t="s">
        <v>12830</v>
      </c>
      <c r="RSP1" s="3" t="s">
        <v>12831</v>
      </c>
      <c r="RSQ1" s="3" t="s">
        <v>12832</v>
      </c>
      <c r="RSR1" s="3" t="s">
        <v>12833</v>
      </c>
      <c r="RSS1" s="3" t="s">
        <v>12834</v>
      </c>
      <c r="RST1" s="3" t="s">
        <v>12835</v>
      </c>
      <c r="RSU1" s="3" t="s">
        <v>12836</v>
      </c>
      <c r="RSV1" s="3" t="s">
        <v>12837</v>
      </c>
      <c r="RSW1" s="3" t="s">
        <v>12838</v>
      </c>
      <c r="RSX1" s="3" t="s">
        <v>12839</v>
      </c>
      <c r="RSY1" s="3" t="s">
        <v>12840</v>
      </c>
      <c r="RSZ1" s="3" t="s">
        <v>12841</v>
      </c>
      <c r="RTA1" s="3" t="s">
        <v>12842</v>
      </c>
      <c r="RTB1" s="3" t="s">
        <v>12843</v>
      </c>
      <c r="RTC1" s="3" t="s">
        <v>12844</v>
      </c>
      <c r="RTD1" s="3" t="s">
        <v>12845</v>
      </c>
      <c r="RTE1" s="3" t="s">
        <v>12846</v>
      </c>
      <c r="RTF1" s="3" t="s">
        <v>12847</v>
      </c>
      <c r="RTG1" s="3" t="s">
        <v>12848</v>
      </c>
      <c r="RTH1" s="3" t="s">
        <v>12849</v>
      </c>
      <c r="RTI1" s="3" t="s">
        <v>12850</v>
      </c>
      <c r="RTJ1" s="3" t="s">
        <v>12851</v>
      </c>
      <c r="RTK1" s="3" t="s">
        <v>12852</v>
      </c>
      <c r="RTL1" s="3" t="s">
        <v>12853</v>
      </c>
      <c r="RTM1" s="3" t="s">
        <v>12854</v>
      </c>
      <c r="RTN1" s="3" t="s">
        <v>12855</v>
      </c>
      <c r="RTO1" s="3" t="s">
        <v>12856</v>
      </c>
      <c r="RTP1" s="3" t="s">
        <v>12857</v>
      </c>
      <c r="RTQ1" s="3" t="s">
        <v>12858</v>
      </c>
      <c r="RTR1" s="3" t="s">
        <v>12859</v>
      </c>
      <c r="RTS1" s="3" t="s">
        <v>12860</v>
      </c>
      <c r="RTT1" s="3" t="s">
        <v>12861</v>
      </c>
      <c r="RTU1" s="3" t="s">
        <v>12862</v>
      </c>
      <c r="RTV1" s="3" t="s">
        <v>12863</v>
      </c>
      <c r="RTW1" s="3" t="s">
        <v>12864</v>
      </c>
      <c r="RTX1" s="3" t="s">
        <v>12865</v>
      </c>
      <c r="RTY1" s="3" t="s">
        <v>12866</v>
      </c>
      <c r="RTZ1" s="3" t="s">
        <v>12867</v>
      </c>
      <c r="RUA1" s="3" t="s">
        <v>12868</v>
      </c>
      <c r="RUB1" s="3" t="s">
        <v>12869</v>
      </c>
      <c r="RUC1" s="3" t="s">
        <v>12870</v>
      </c>
      <c r="RUD1" s="3" t="s">
        <v>12871</v>
      </c>
      <c r="RUE1" s="3" t="s">
        <v>12872</v>
      </c>
      <c r="RUF1" s="3" t="s">
        <v>12873</v>
      </c>
      <c r="RUG1" s="3" t="s">
        <v>12874</v>
      </c>
      <c r="RUH1" s="3" t="s">
        <v>12875</v>
      </c>
      <c r="RUI1" s="3" t="s">
        <v>12876</v>
      </c>
      <c r="RUJ1" s="3" t="s">
        <v>12877</v>
      </c>
      <c r="RUK1" s="3" t="s">
        <v>12878</v>
      </c>
      <c r="RUL1" s="3" t="s">
        <v>12879</v>
      </c>
      <c r="RUM1" s="3" t="s">
        <v>12880</v>
      </c>
      <c r="RUN1" s="3" t="s">
        <v>12881</v>
      </c>
      <c r="RUO1" s="3" t="s">
        <v>12882</v>
      </c>
      <c r="RUP1" s="3" t="s">
        <v>12883</v>
      </c>
      <c r="RUQ1" s="3" t="s">
        <v>12884</v>
      </c>
      <c r="RUR1" s="3" t="s">
        <v>12885</v>
      </c>
      <c r="RUS1" s="3" t="s">
        <v>12886</v>
      </c>
      <c r="RUT1" s="3" t="s">
        <v>12887</v>
      </c>
      <c r="RUU1" s="3" t="s">
        <v>12888</v>
      </c>
      <c r="RUV1" s="3" t="s">
        <v>12889</v>
      </c>
      <c r="RUW1" s="3" t="s">
        <v>12890</v>
      </c>
      <c r="RUX1" s="3" t="s">
        <v>12891</v>
      </c>
      <c r="RUY1" s="3" t="s">
        <v>12892</v>
      </c>
      <c r="RUZ1" s="3" t="s">
        <v>12893</v>
      </c>
      <c r="RVA1" s="3" t="s">
        <v>12894</v>
      </c>
      <c r="RVB1" s="3" t="s">
        <v>12895</v>
      </c>
      <c r="RVC1" s="3" t="s">
        <v>12896</v>
      </c>
      <c r="RVD1" s="3" t="s">
        <v>12897</v>
      </c>
      <c r="RVE1" s="3" t="s">
        <v>12898</v>
      </c>
      <c r="RVF1" s="3" t="s">
        <v>12899</v>
      </c>
      <c r="RVG1" s="3" t="s">
        <v>12900</v>
      </c>
      <c r="RVH1" s="3" t="s">
        <v>12901</v>
      </c>
      <c r="RVI1" s="3" t="s">
        <v>12902</v>
      </c>
      <c r="RVJ1" s="3" t="s">
        <v>12903</v>
      </c>
      <c r="RVK1" s="3" t="s">
        <v>12904</v>
      </c>
      <c r="RVL1" s="3" t="s">
        <v>12905</v>
      </c>
      <c r="RVM1" s="3" t="s">
        <v>12906</v>
      </c>
      <c r="RVN1" s="3" t="s">
        <v>12907</v>
      </c>
      <c r="RVO1" s="3" t="s">
        <v>12908</v>
      </c>
      <c r="RVP1" s="3" t="s">
        <v>12909</v>
      </c>
      <c r="RVQ1" s="3" t="s">
        <v>12910</v>
      </c>
      <c r="RVR1" s="3" t="s">
        <v>12911</v>
      </c>
      <c r="RVS1" s="3" t="s">
        <v>12912</v>
      </c>
      <c r="RVT1" s="3" t="s">
        <v>12913</v>
      </c>
      <c r="RVU1" s="3" t="s">
        <v>12914</v>
      </c>
      <c r="RVV1" s="3" t="s">
        <v>12915</v>
      </c>
      <c r="RVW1" s="3" t="s">
        <v>12916</v>
      </c>
      <c r="RVX1" s="3" t="s">
        <v>12917</v>
      </c>
      <c r="RVY1" s="3" t="s">
        <v>12918</v>
      </c>
      <c r="RVZ1" s="3" t="s">
        <v>12919</v>
      </c>
      <c r="RWA1" s="3" t="s">
        <v>12920</v>
      </c>
      <c r="RWB1" s="3" t="s">
        <v>12921</v>
      </c>
      <c r="RWC1" s="3" t="s">
        <v>12922</v>
      </c>
      <c r="RWD1" s="3" t="s">
        <v>12923</v>
      </c>
      <c r="RWE1" s="3" t="s">
        <v>12924</v>
      </c>
      <c r="RWF1" s="3" t="s">
        <v>12925</v>
      </c>
      <c r="RWG1" s="3" t="s">
        <v>12926</v>
      </c>
      <c r="RWH1" s="3" t="s">
        <v>12927</v>
      </c>
      <c r="RWI1" s="3" t="s">
        <v>12928</v>
      </c>
      <c r="RWJ1" s="3" t="s">
        <v>12929</v>
      </c>
      <c r="RWK1" s="3" t="s">
        <v>12930</v>
      </c>
      <c r="RWL1" s="3" t="s">
        <v>12931</v>
      </c>
      <c r="RWM1" s="3" t="s">
        <v>12932</v>
      </c>
      <c r="RWN1" s="3" t="s">
        <v>12933</v>
      </c>
      <c r="RWO1" s="3" t="s">
        <v>12934</v>
      </c>
      <c r="RWP1" s="3" t="s">
        <v>12935</v>
      </c>
      <c r="RWQ1" s="3" t="s">
        <v>12936</v>
      </c>
      <c r="RWR1" s="3" t="s">
        <v>12937</v>
      </c>
      <c r="RWS1" s="3" t="s">
        <v>12938</v>
      </c>
      <c r="RWT1" s="3" t="s">
        <v>12939</v>
      </c>
      <c r="RWU1" s="3" t="s">
        <v>12940</v>
      </c>
      <c r="RWV1" s="3" t="s">
        <v>12941</v>
      </c>
      <c r="RWW1" s="3" t="s">
        <v>12942</v>
      </c>
      <c r="RWX1" s="3" t="s">
        <v>12943</v>
      </c>
      <c r="RWY1" s="3" t="s">
        <v>12944</v>
      </c>
      <c r="RWZ1" s="3" t="s">
        <v>12945</v>
      </c>
      <c r="RXA1" s="3" t="s">
        <v>12946</v>
      </c>
      <c r="RXB1" s="3" t="s">
        <v>12947</v>
      </c>
      <c r="RXC1" s="3" t="s">
        <v>12948</v>
      </c>
      <c r="RXD1" s="3" t="s">
        <v>12949</v>
      </c>
      <c r="RXE1" s="3" t="s">
        <v>12950</v>
      </c>
      <c r="RXF1" s="3" t="s">
        <v>12951</v>
      </c>
      <c r="RXG1" s="3" t="s">
        <v>12952</v>
      </c>
      <c r="RXH1" s="3" t="s">
        <v>12953</v>
      </c>
      <c r="RXI1" s="3" t="s">
        <v>12954</v>
      </c>
      <c r="RXJ1" s="3" t="s">
        <v>12955</v>
      </c>
      <c r="RXK1" s="3" t="s">
        <v>12956</v>
      </c>
      <c r="RXL1" s="3" t="s">
        <v>12957</v>
      </c>
      <c r="RXM1" s="3" t="s">
        <v>12958</v>
      </c>
      <c r="RXN1" s="3" t="s">
        <v>12959</v>
      </c>
      <c r="RXO1" s="3" t="s">
        <v>12960</v>
      </c>
      <c r="RXP1" s="3" t="s">
        <v>12961</v>
      </c>
      <c r="RXQ1" s="3" t="s">
        <v>12962</v>
      </c>
      <c r="RXR1" s="3" t="s">
        <v>12963</v>
      </c>
      <c r="RXS1" s="3" t="s">
        <v>12964</v>
      </c>
      <c r="RXT1" s="3" t="s">
        <v>12965</v>
      </c>
      <c r="RXU1" s="3" t="s">
        <v>12966</v>
      </c>
      <c r="RXV1" s="3" t="s">
        <v>12967</v>
      </c>
      <c r="RXW1" s="3" t="s">
        <v>12968</v>
      </c>
      <c r="RXX1" s="3" t="s">
        <v>12969</v>
      </c>
      <c r="RXY1" s="3" t="s">
        <v>12970</v>
      </c>
      <c r="RXZ1" s="3" t="s">
        <v>12971</v>
      </c>
      <c r="RYA1" s="3" t="s">
        <v>12972</v>
      </c>
      <c r="RYB1" s="3" t="s">
        <v>12973</v>
      </c>
      <c r="RYC1" s="3" t="s">
        <v>12974</v>
      </c>
      <c r="RYD1" s="3" t="s">
        <v>12975</v>
      </c>
      <c r="RYE1" s="3" t="s">
        <v>12976</v>
      </c>
      <c r="RYF1" s="3" t="s">
        <v>12977</v>
      </c>
      <c r="RYG1" s="3" t="s">
        <v>12978</v>
      </c>
      <c r="RYH1" s="3" t="s">
        <v>12979</v>
      </c>
      <c r="RYI1" s="3" t="s">
        <v>12980</v>
      </c>
      <c r="RYJ1" s="3" t="s">
        <v>12981</v>
      </c>
      <c r="RYK1" s="3" t="s">
        <v>12982</v>
      </c>
      <c r="RYL1" s="3" t="s">
        <v>12983</v>
      </c>
      <c r="RYM1" s="3" t="s">
        <v>12984</v>
      </c>
      <c r="RYN1" s="3" t="s">
        <v>12985</v>
      </c>
      <c r="RYO1" s="3" t="s">
        <v>12986</v>
      </c>
      <c r="RYP1" s="3" t="s">
        <v>12987</v>
      </c>
      <c r="RYQ1" s="3" t="s">
        <v>12988</v>
      </c>
      <c r="RYR1" s="3" t="s">
        <v>12989</v>
      </c>
      <c r="RYS1" s="3" t="s">
        <v>12990</v>
      </c>
      <c r="RYT1" s="3" t="s">
        <v>12991</v>
      </c>
      <c r="RYU1" s="3" t="s">
        <v>12992</v>
      </c>
      <c r="RYV1" s="3" t="s">
        <v>12993</v>
      </c>
      <c r="RYW1" s="3" t="s">
        <v>12994</v>
      </c>
      <c r="RYX1" s="3" t="s">
        <v>12995</v>
      </c>
      <c r="RYY1" s="3" t="s">
        <v>12996</v>
      </c>
      <c r="RYZ1" s="3" t="s">
        <v>12997</v>
      </c>
      <c r="RZA1" s="3" t="s">
        <v>12998</v>
      </c>
      <c r="RZB1" s="3" t="s">
        <v>12999</v>
      </c>
      <c r="RZC1" s="3" t="s">
        <v>13000</v>
      </c>
      <c r="RZD1" s="3" t="s">
        <v>13001</v>
      </c>
      <c r="RZE1" s="3" t="s">
        <v>13002</v>
      </c>
      <c r="RZF1" s="3" t="s">
        <v>13003</v>
      </c>
      <c r="RZG1" s="3" t="s">
        <v>13004</v>
      </c>
      <c r="RZH1" s="3" t="s">
        <v>13005</v>
      </c>
      <c r="RZI1" s="3" t="s">
        <v>13006</v>
      </c>
      <c r="RZJ1" s="3" t="s">
        <v>13007</v>
      </c>
      <c r="RZK1" s="3" t="s">
        <v>13008</v>
      </c>
      <c r="RZL1" s="3" t="s">
        <v>13009</v>
      </c>
      <c r="RZM1" s="3" t="s">
        <v>13010</v>
      </c>
      <c r="RZN1" s="3" t="s">
        <v>13011</v>
      </c>
      <c r="RZO1" s="3" t="s">
        <v>13012</v>
      </c>
      <c r="RZP1" s="3" t="s">
        <v>13013</v>
      </c>
      <c r="RZQ1" s="3" t="s">
        <v>13014</v>
      </c>
      <c r="RZR1" s="3" t="s">
        <v>13015</v>
      </c>
      <c r="RZS1" s="3" t="s">
        <v>13016</v>
      </c>
      <c r="RZT1" s="3" t="s">
        <v>13017</v>
      </c>
      <c r="RZU1" s="3" t="s">
        <v>13018</v>
      </c>
      <c r="RZV1" s="3" t="s">
        <v>13019</v>
      </c>
      <c r="RZW1" s="3" t="s">
        <v>13020</v>
      </c>
      <c r="RZX1" s="3" t="s">
        <v>13021</v>
      </c>
      <c r="RZY1" s="3" t="s">
        <v>13022</v>
      </c>
      <c r="RZZ1" s="3" t="s">
        <v>13023</v>
      </c>
      <c r="SAA1" s="3" t="s">
        <v>13024</v>
      </c>
      <c r="SAB1" s="3" t="s">
        <v>13025</v>
      </c>
      <c r="SAC1" s="3" t="s">
        <v>13026</v>
      </c>
      <c r="SAD1" s="3" t="s">
        <v>13027</v>
      </c>
      <c r="SAE1" s="3" t="s">
        <v>13028</v>
      </c>
      <c r="SAF1" s="3" t="s">
        <v>13029</v>
      </c>
      <c r="SAG1" s="3" t="s">
        <v>13030</v>
      </c>
      <c r="SAH1" s="3" t="s">
        <v>13031</v>
      </c>
      <c r="SAI1" s="3" t="s">
        <v>13032</v>
      </c>
      <c r="SAJ1" s="3" t="s">
        <v>13033</v>
      </c>
      <c r="SAK1" s="3" t="s">
        <v>13034</v>
      </c>
      <c r="SAL1" s="3" t="s">
        <v>13035</v>
      </c>
      <c r="SAM1" s="3" t="s">
        <v>13036</v>
      </c>
      <c r="SAN1" s="3" t="s">
        <v>13037</v>
      </c>
      <c r="SAO1" s="3" t="s">
        <v>13038</v>
      </c>
      <c r="SAP1" s="3" t="s">
        <v>13039</v>
      </c>
      <c r="SAQ1" s="3" t="s">
        <v>13040</v>
      </c>
      <c r="SAR1" s="3" t="s">
        <v>13041</v>
      </c>
      <c r="SAS1" s="3" t="s">
        <v>13042</v>
      </c>
      <c r="SAT1" s="3" t="s">
        <v>13043</v>
      </c>
      <c r="SAU1" s="3" t="s">
        <v>13044</v>
      </c>
      <c r="SAV1" s="3" t="s">
        <v>13045</v>
      </c>
      <c r="SAW1" s="3" t="s">
        <v>13046</v>
      </c>
      <c r="SAX1" s="3" t="s">
        <v>13047</v>
      </c>
      <c r="SAY1" s="3" t="s">
        <v>13048</v>
      </c>
      <c r="SAZ1" s="3" t="s">
        <v>13049</v>
      </c>
      <c r="SBA1" s="3" t="s">
        <v>13050</v>
      </c>
      <c r="SBB1" s="3" t="s">
        <v>13051</v>
      </c>
      <c r="SBC1" s="3" t="s">
        <v>13052</v>
      </c>
      <c r="SBD1" s="3" t="s">
        <v>13053</v>
      </c>
      <c r="SBE1" s="3" t="s">
        <v>13054</v>
      </c>
      <c r="SBF1" s="3" t="s">
        <v>13055</v>
      </c>
      <c r="SBG1" s="3" t="s">
        <v>13056</v>
      </c>
      <c r="SBH1" s="3" t="s">
        <v>13057</v>
      </c>
      <c r="SBI1" s="3" t="s">
        <v>13058</v>
      </c>
      <c r="SBJ1" s="3" t="s">
        <v>13059</v>
      </c>
      <c r="SBK1" s="3" t="s">
        <v>13060</v>
      </c>
      <c r="SBL1" s="3" t="s">
        <v>13061</v>
      </c>
      <c r="SBM1" s="3" t="s">
        <v>13062</v>
      </c>
      <c r="SBN1" s="3" t="s">
        <v>13063</v>
      </c>
      <c r="SBO1" s="3" t="s">
        <v>13064</v>
      </c>
      <c r="SBP1" s="3" t="s">
        <v>13065</v>
      </c>
      <c r="SBQ1" s="3" t="s">
        <v>13066</v>
      </c>
      <c r="SBR1" s="3" t="s">
        <v>13067</v>
      </c>
      <c r="SBS1" s="3" t="s">
        <v>13068</v>
      </c>
      <c r="SBT1" s="3" t="s">
        <v>13069</v>
      </c>
      <c r="SBU1" s="3" t="s">
        <v>13070</v>
      </c>
      <c r="SBV1" s="3" t="s">
        <v>13071</v>
      </c>
      <c r="SBW1" s="3" t="s">
        <v>13072</v>
      </c>
      <c r="SBX1" s="3" t="s">
        <v>13073</v>
      </c>
      <c r="SBY1" s="3" t="s">
        <v>13074</v>
      </c>
      <c r="SBZ1" s="3" t="s">
        <v>13075</v>
      </c>
      <c r="SCA1" s="3" t="s">
        <v>13076</v>
      </c>
      <c r="SCB1" s="3" t="s">
        <v>13077</v>
      </c>
      <c r="SCC1" s="3" t="s">
        <v>13078</v>
      </c>
      <c r="SCD1" s="3" t="s">
        <v>13079</v>
      </c>
      <c r="SCE1" s="3" t="s">
        <v>13080</v>
      </c>
      <c r="SCF1" s="3" t="s">
        <v>13081</v>
      </c>
      <c r="SCG1" s="3" t="s">
        <v>13082</v>
      </c>
      <c r="SCH1" s="3" t="s">
        <v>13083</v>
      </c>
      <c r="SCI1" s="3" t="s">
        <v>13084</v>
      </c>
      <c r="SCJ1" s="3" t="s">
        <v>13085</v>
      </c>
      <c r="SCK1" s="3" t="s">
        <v>13086</v>
      </c>
      <c r="SCL1" s="3" t="s">
        <v>13087</v>
      </c>
      <c r="SCM1" s="3" t="s">
        <v>13088</v>
      </c>
      <c r="SCN1" s="3" t="s">
        <v>13089</v>
      </c>
      <c r="SCO1" s="3" t="s">
        <v>13090</v>
      </c>
      <c r="SCP1" s="3" t="s">
        <v>13091</v>
      </c>
      <c r="SCQ1" s="3" t="s">
        <v>13092</v>
      </c>
      <c r="SCR1" s="3" t="s">
        <v>13093</v>
      </c>
      <c r="SCS1" s="3" t="s">
        <v>13094</v>
      </c>
      <c r="SCT1" s="3" t="s">
        <v>13095</v>
      </c>
      <c r="SCU1" s="3" t="s">
        <v>13096</v>
      </c>
      <c r="SCV1" s="3" t="s">
        <v>13097</v>
      </c>
      <c r="SCW1" s="3" t="s">
        <v>13098</v>
      </c>
      <c r="SCX1" s="3" t="s">
        <v>13099</v>
      </c>
      <c r="SCY1" s="3" t="s">
        <v>13100</v>
      </c>
      <c r="SCZ1" s="3" t="s">
        <v>13101</v>
      </c>
      <c r="SDA1" s="3" t="s">
        <v>13102</v>
      </c>
      <c r="SDB1" s="3" t="s">
        <v>13103</v>
      </c>
      <c r="SDC1" s="3" t="s">
        <v>13104</v>
      </c>
      <c r="SDD1" s="3" t="s">
        <v>13105</v>
      </c>
      <c r="SDE1" s="3" t="s">
        <v>13106</v>
      </c>
      <c r="SDF1" s="3" t="s">
        <v>13107</v>
      </c>
      <c r="SDG1" s="3" t="s">
        <v>13108</v>
      </c>
      <c r="SDH1" s="3" t="s">
        <v>13109</v>
      </c>
      <c r="SDI1" s="3" t="s">
        <v>13110</v>
      </c>
      <c r="SDJ1" s="3" t="s">
        <v>13111</v>
      </c>
      <c r="SDK1" s="3" t="s">
        <v>13112</v>
      </c>
      <c r="SDL1" s="3" t="s">
        <v>13113</v>
      </c>
      <c r="SDM1" s="3" t="s">
        <v>13114</v>
      </c>
      <c r="SDN1" s="3" t="s">
        <v>13115</v>
      </c>
      <c r="SDO1" s="3" t="s">
        <v>13116</v>
      </c>
      <c r="SDP1" s="3" t="s">
        <v>13117</v>
      </c>
      <c r="SDQ1" s="3" t="s">
        <v>13118</v>
      </c>
      <c r="SDR1" s="3" t="s">
        <v>13119</v>
      </c>
      <c r="SDS1" s="3" t="s">
        <v>13120</v>
      </c>
      <c r="SDT1" s="3" t="s">
        <v>13121</v>
      </c>
      <c r="SDU1" s="3" t="s">
        <v>13122</v>
      </c>
      <c r="SDV1" s="3" t="s">
        <v>13123</v>
      </c>
      <c r="SDW1" s="3" t="s">
        <v>13124</v>
      </c>
      <c r="SDX1" s="3" t="s">
        <v>13125</v>
      </c>
      <c r="SDY1" s="3" t="s">
        <v>13126</v>
      </c>
      <c r="SDZ1" s="3" t="s">
        <v>13127</v>
      </c>
      <c r="SEA1" s="3" t="s">
        <v>13128</v>
      </c>
      <c r="SEB1" s="3" t="s">
        <v>13129</v>
      </c>
      <c r="SEC1" s="3" t="s">
        <v>13130</v>
      </c>
      <c r="SED1" s="3" t="s">
        <v>13131</v>
      </c>
      <c r="SEE1" s="3" t="s">
        <v>13132</v>
      </c>
      <c r="SEF1" s="3" t="s">
        <v>13133</v>
      </c>
      <c r="SEG1" s="3" t="s">
        <v>13134</v>
      </c>
      <c r="SEH1" s="3" t="s">
        <v>13135</v>
      </c>
      <c r="SEI1" s="3" t="s">
        <v>13136</v>
      </c>
      <c r="SEJ1" s="3" t="s">
        <v>13137</v>
      </c>
      <c r="SEK1" s="3" t="s">
        <v>13138</v>
      </c>
      <c r="SEL1" s="3" t="s">
        <v>13139</v>
      </c>
      <c r="SEM1" s="3" t="s">
        <v>13140</v>
      </c>
      <c r="SEN1" s="3" t="s">
        <v>13141</v>
      </c>
      <c r="SEO1" s="3" t="s">
        <v>13142</v>
      </c>
      <c r="SEP1" s="3" t="s">
        <v>13143</v>
      </c>
      <c r="SEQ1" s="3" t="s">
        <v>13144</v>
      </c>
      <c r="SER1" s="3" t="s">
        <v>13145</v>
      </c>
      <c r="SES1" s="3" t="s">
        <v>13146</v>
      </c>
      <c r="SET1" s="3" t="s">
        <v>13147</v>
      </c>
      <c r="SEU1" s="3" t="s">
        <v>13148</v>
      </c>
      <c r="SEV1" s="3" t="s">
        <v>13149</v>
      </c>
      <c r="SEW1" s="3" t="s">
        <v>13150</v>
      </c>
      <c r="SEX1" s="3" t="s">
        <v>13151</v>
      </c>
      <c r="SEY1" s="3" t="s">
        <v>13152</v>
      </c>
      <c r="SEZ1" s="3" t="s">
        <v>13153</v>
      </c>
      <c r="SFA1" s="3" t="s">
        <v>13154</v>
      </c>
      <c r="SFB1" s="3" t="s">
        <v>13155</v>
      </c>
      <c r="SFC1" s="3" t="s">
        <v>13156</v>
      </c>
      <c r="SFD1" s="3" t="s">
        <v>13157</v>
      </c>
      <c r="SFE1" s="3" t="s">
        <v>13158</v>
      </c>
      <c r="SFF1" s="3" t="s">
        <v>13159</v>
      </c>
      <c r="SFG1" s="3" t="s">
        <v>13160</v>
      </c>
      <c r="SFH1" s="3" t="s">
        <v>13161</v>
      </c>
      <c r="SFI1" s="3" t="s">
        <v>13162</v>
      </c>
      <c r="SFJ1" s="3" t="s">
        <v>13163</v>
      </c>
      <c r="SFK1" s="3" t="s">
        <v>13164</v>
      </c>
      <c r="SFL1" s="3" t="s">
        <v>13165</v>
      </c>
      <c r="SFM1" s="3" t="s">
        <v>13166</v>
      </c>
      <c r="SFN1" s="3" t="s">
        <v>13167</v>
      </c>
      <c r="SFO1" s="3" t="s">
        <v>13168</v>
      </c>
      <c r="SFP1" s="3" t="s">
        <v>13169</v>
      </c>
      <c r="SFQ1" s="3" t="s">
        <v>13170</v>
      </c>
      <c r="SFR1" s="3" t="s">
        <v>13171</v>
      </c>
      <c r="SFS1" s="3" t="s">
        <v>13172</v>
      </c>
      <c r="SFT1" s="3" t="s">
        <v>13173</v>
      </c>
      <c r="SFU1" s="3" t="s">
        <v>13174</v>
      </c>
      <c r="SFV1" s="3" t="s">
        <v>13175</v>
      </c>
      <c r="SFW1" s="3" t="s">
        <v>13176</v>
      </c>
      <c r="SFX1" s="3" t="s">
        <v>13177</v>
      </c>
      <c r="SFY1" s="3" t="s">
        <v>13178</v>
      </c>
      <c r="SFZ1" s="3" t="s">
        <v>13179</v>
      </c>
      <c r="SGA1" s="3" t="s">
        <v>13180</v>
      </c>
      <c r="SGB1" s="3" t="s">
        <v>13181</v>
      </c>
      <c r="SGC1" s="3" t="s">
        <v>13182</v>
      </c>
      <c r="SGD1" s="3" t="s">
        <v>13183</v>
      </c>
      <c r="SGE1" s="3" t="s">
        <v>13184</v>
      </c>
      <c r="SGF1" s="3" t="s">
        <v>13185</v>
      </c>
      <c r="SGG1" s="3" t="s">
        <v>13186</v>
      </c>
      <c r="SGH1" s="3" t="s">
        <v>13187</v>
      </c>
      <c r="SGI1" s="3" t="s">
        <v>13188</v>
      </c>
      <c r="SGJ1" s="3" t="s">
        <v>13189</v>
      </c>
      <c r="SGK1" s="3" t="s">
        <v>13190</v>
      </c>
      <c r="SGL1" s="3" t="s">
        <v>13191</v>
      </c>
      <c r="SGM1" s="3" t="s">
        <v>13192</v>
      </c>
      <c r="SGN1" s="3" t="s">
        <v>13193</v>
      </c>
      <c r="SGO1" s="3" t="s">
        <v>13194</v>
      </c>
      <c r="SGP1" s="3" t="s">
        <v>13195</v>
      </c>
      <c r="SGQ1" s="3" t="s">
        <v>13196</v>
      </c>
      <c r="SGR1" s="3" t="s">
        <v>13197</v>
      </c>
      <c r="SGS1" s="3" t="s">
        <v>13198</v>
      </c>
      <c r="SGT1" s="3" t="s">
        <v>13199</v>
      </c>
      <c r="SGU1" s="3" t="s">
        <v>13200</v>
      </c>
      <c r="SGV1" s="3" t="s">
        <v>13201</v>
      </c>
      <c r="SGW1" s="3" t="s">
        <v>13202</v>
      </c>
      <c r="SGX1" s="3" t="s">
        <v>13203</v>
      </c>
      <c r="SGY1" s="3" t="s">
        <v>13204</v>
      </c>
      <c r="SGZ1" s="3" t="s">
        <v>13205</v>
      </c>
      <c r="SHA1" s="3" t="s">
        <v>13206</v>
      </c>
      <c r="SHB1" s="3" t="s">
        <v>13207</v>
      </c>
      <c r="SHC1" s="3" t="s">
        <v>13208</v>
      </c>
      <c r="SHD1" s="3" t="s">
        <v>13209</v>
      </c>
      <c r="SHE1" s="3" t="s">
        <v>13210</v>
      </c>
      <c r="SHF1" s="3" t="s">
        <v>13211</v>
      </c>
      <c r="SHG1" s="3" t="s">
        <v>13212</v>
      </c>
      <c r="SHH1" s="3" t="s">
        <v>13213</v>
      </c>
      <c r="SHI1" s="3" t="s">
        <v>13214</v>
      </c>
      <c r="SHJ1" s="3" t="s">
        <v>13215</v>
      </c>
      <c r="SHK1" s="3" t="s">
        <v>13216</v>
      </c>
      <c r="SHL1" s="3" t="s">
        <v>13217</v>
      </c>
      <c r="SHM1" s="3" t="s">
        <v>13218</v>
      </c>
      <c r="SHN1" s="3" t="s">
        <v>13219</v>
      </c>
      <c r="SHO1" s="3" t="s">
        <v>13220</v>
      </c>
      <c r="SHP1" s="3" t="s">
        <v>13221</v>
      </c>
      <c r="SHQ1" s="3" t="s">
        <v>13222</v>
      </c>
      <c r="SHR1" s="3" t="s">
        <v>13223</v>
      </c>
      <c r="SHS1" s="3" t="s">
        <v>13224</v>
      </c>
      <c r="SHT1" s="3" t="s">
        <v>13225</v>
      </c>
      <c r="SHU1" s="3" t="s">
        <v>13226</v>
      </c>
      <c r="SHV1" s="3" t="s">
        <v>13227</v>
      </c>
      <c r="SHW1" s="3" t="s">
        <v>13228</v>
      </c>
      <c r="SHX1" s="3" t="s">
        <v>13229</v>
      </c>
      <c r="SHY1" s="3" t="s">
        <v>13230</v>
      </c>
      <c r="SHZ1" s="3" t="s">
        <v>13231</v>
      </c>
      <c r="SIA1" s="3" t="s">
        <v>13232</v>
      </c>
      <c r="SIB1" s="3" t="s">
        <v>13233</v>
      </c>
      <c r="SIC1" s="3" t="s">
        <v>13234</v>
      </c>
      <c r="SID1" s="3" t="s">
        <v>13235</v>
      </c>
      <c r="SIE1" s="3" t="s">
        <v>13236</v>
      </c>
      <c r="SIF1" s="3" t="s">
        <v>13237</v>
      </c>
      <c r="SIG1" s="3" t="s">
        <v>13238</v>
      </c>
      <c r="SIH1" s="3" t="s">
        <v>13239</v>
      </c>
      <c r="SII1" s="3" t="s">
        <v>13240</v>
      </c>
      <c r="SIJ1" s="3" t="s">
        <v>13241</v>
      </c>
      <c r="SIK1" s="3" t="s">
        <v>13242</v>
      </c>
      <c r="SIL1" s="3" t="s">
        <v>13243</v>
      </c>
      <c r="SIM1" s="3" t="s">
        <v>13244</v>
      </c>
      <c r="SIN1" s="3" t="s">
        <v>13245</v>
      </c>
      <c r="SIO1" s="3" t="s">
        <v>13246</v>
      </c>
      <c r="SIP1" s="3" t="s">
        <v>13247</v>
      </c>
      <c r="SIQ1" s="3" t="s">
        <v>13248</v>
      </c>
      <c r="SIR1" s="3" t="s">
        <v>13249</v>
      </c>
      <c r="SIS1" s="3" t="s">
        <v>13250</v>
      </c>
      <c r="SIT1" s="3" t="s">
        <v>13251</v>
      </c>
      <c r="SIU1" s="3" t="s">
        <v>13252</v>
      </c>
      <c r="SIV1" s="3" t="s">
        <v>13253</v>
      </c>
      <c r="SIW1" s="3" t="s">
        <v>13254</v>
      </c>
      <c r="SIX1" s="3" t="s">
        <v>13255</v>
      </c>
      <c r="SIY1" s="3" t="s">
        <v>13256</v>
      </c>
      <c r="SIZ1" s="3" t="s">
        <v>13257</v>
      </c>
      <c r="SJA1" s="3" t="s">
        <v>13258</v>
      </c>
      <c r="SJB1" s="3" t="s">
        <v>13259</v>
      </c>
      <c r="SJC1" s="3" t="s">
        <v>13260</v>
      </c>
      <c r="SJD1" s="3" t="s">
        <v>13261</v>
      </c>
      <c r="SJE1" s="3" t="s">
        <v>13262</v>
      </c>
      <c r="SJF1" s="3" t="s">
        <v>13263</v>
      </c>
      <c r="SJG1" s="3" t="s">
        <v>13264</v>
      </c>
      <c r="SJH1" s="3" t="s">
        <v>13265</v>
      </c>
      <c r="SJI1" s="3" t="s">
        <v>13266</v>
      </c>
      <c r="SJJ1" s="3" t="s">
        <v>13267</v>
      </c>
      <c r="SJK1" s="3" t="s">
        <v>13268</v>
      </c>
      <c r="SJL1" s="3" t="s">
        <v>13269</v>
      </c>
      <c r="SJM1" s="3" t="s">
        <v>13270</v>
      </c>
      <c r="SJN1" s="3" t="s">
        <v>13271</v>
      </c>
      <c r="SJO1" s="3" t="s">
        <v>13272</v>
      </c>
      <c r="SJP1" s="3" t="s">
        <v>13273</v>
      </c>
      <c r="SJQ1" s="3" t="s">
        <v>13274</v>
      </c>
      <c r="SJR1" s="3" t="s">
        <v>13275</v>
      </c>
      <c r="SJS1" s="3" t="s">
        <v>13276</v>
      </c>
      <c r="SJT1" s="3" t="s">
        <v>13277</v>
      </c>
      <c r="SJU1" s="3" t="s">
        <v>13278</v>
      </c>
      <c r="SJV1" s="3" t="s">
        <v>13279</v>
      </c>
      <c r="SJW1" s="3" t="s">
        <v>13280</v>
      </c>
      <c r="SJX1" s="3" t="s">
        <v>13281</v>
      </c>
      <c r="SJY1" s="3" t="s">
        <v>13282</v>
      </c>
      <c r="SJZ1" s="3" t="s">
        <v>13283</v>
      </c>
      <c r="SKA1" s="3" t="s">
        <v>13284</v>
      </c>
      <c r="SKB1" s="3" t="s">
        <v>13285</v>
      </c>
      <c r="SKC1" s="3" t="s">
        <v>13286</v>
      </c>
      <c r="SKD1" s="3" t="s">
        <v>13287</v>
      </c>
      <c r="SKE1" s="3" t="s">
        <v>13288</v>
      </c>
      <c r="SKF1" s="3" t="s">
        <v>13289</v>
      </c>
      <c r="SKG1" s="3" t="s">
        <v>13290</v>
      </c>
      <c r="SKH1" s="3" t="s">
        <v>13291</v>
      </c>
      <c r="SKI1" s="3" t="s">
        <v>13292</v>
      </c>
      <c r="SKJ1" s="3" t="s">
        <v>13293</v>
      </c>
      <c r="SKK1" s="3" t="s">
        <v>13294</v>
      </c>
      <c r="SKL1" s="3" t="s">
        <v>13295</v>
      </c>
      <c r="SKM1" s="3" t="s">
        <v>13296</v>
      </c>
      <c r="SKN1" s="3" t="s">
        <v>13297</v>
      </c>
      <c r="SKO1" s="3" t="s">
        <v>13298</v>
      </c>
      <c r="SKP1" s="3" t="s">
        <v>13299</v>
      </c>
      <c r="SKQ1" s="3" t="s">
        <v>13300</v>
      </c>
      <c r="SKR1" s="3" t="s">
        <v>13301</v>
      </c>
      <c r="SKS1" s="3" t="s">
        <v>13302</v>
      </c>
      <c r="SKT1" s="3" t="s">
        <v>13303</v>
      </c>
      <c r="SKU1" s="3" t="s">
        <v>13304</v>
      </c>
      <c r="SKV1" s="3" t="s">
        <v>13305</v>
      </c>
      <c r="SKW1" s="3" t="s">
        <v>13306</v>
      </c>
      <c r="SKX1" s="3" t="s">
        <v>13307</v>
      </c>
      <c r="SKY1" s="3" t="s">
        <v>13308</v>
      </c>
      <c r="SKZ1" s="3" t="s">
        <v>13309</v>
      </c>
      <c r="SLA1" s="3" t="s">
        <v>13310</v>
      </c>
      <c r="SLB1" s="3" t="s">
        <v>13311</v>
      </c>
      <c r="SLC1" s="3" t="s">
        <v>13312</v>
      </c>
      <c r="SLD1" s="3" t="s">
        <v>13313</v>
      </c>
      <c r="SLE1" s="3" t="s">
        <v>13314</v>
      </c>
      <c r="SLF1" s="3" t="s">
        <v>13315</v>
      </c>
      <c r="SLG1" s="3" t="s">
        <v>13316</v>
      </c>
      <c r="SLH1" s="3" t="s">
        <v>13317</v>
      </c>
      <c r="SLI1" s="3" t="s">
        <v>13318</v>
      </c>
      <c r="SLJ1" s="3" t="s">
        <v>13319</v>
      </c>
      <c r="SLK1" s="3" t="s">
        <v>13320</v>
      </c>
      <c r="SLL1" s="3" t="s">
        <v>13321</v>
      </c>
      <c r="SLM1" s="3" t="s">
        <v>13322</v>
      </c>
      <c r="SLN1" s="3" t="s">
        <v>13323</v>
      </c>
      <c r="SLO1" s="3" t="s">
        <v>13324</v>
      </c>
      <c r="SLP1" s="3" t="s">
        <v>13325</v>
      </c>
      <c r="SLQ1" s="3" t="s">
        <v>13326</v>
      </c>
      <c r="SLR1" s="3" t="s">
        <v>13327</v>
      </c>
      <c r="SLS1" s="3" t="s">
        <v>13328</v>
      </c>
      <c r="SLT1" s="3" t="s">
        <v>13329</v>
      </c>
      <c r="SLU1" s="3" t="s">
        <v>13330</v>
      </c>
      <c r="SLV1" s="3" t="s">
        <v>13331</v>
      </c>
      <c r="SLW1" s="3" t="s">
        <v>13332</v>
      </c>
      <c r="SLX1" s="3" t="s">
        <v>13333</v>
      </c>
      <c r="SLY1" s="3" t="s">
        <v>13334</v>
      </c>
      <c r="SLZ1" s="3" t="s">
        <v>13335</v>
      </c>
      <c r="SMA1" s="3" t="s">
        <v>13336</v>
      </c>
      <c r="SMB1" s="3" t="s">
        <v>13337</v>
      </c>
      <c r="SMC1" s="3" t="s">
        <v>13338</v>
      </c>
      <c r="SMD1" s="3" t="s">
        <v>13339</v>
      </c>
      <c r="SME1" s="3" t="s">
        <v>13340</v>
      </c>
      <c r="SMF1" s="3" t="s">
        <v>13341</v>
      </c>
      <c r="SMG1" s="3" t="s">
        <v>13342</v>
      </c>
      <c r="SMH1" s="3" t="s">
        <v>13343</v>
      </c>
      <c r="SMI1" s="3" t="s">
        <v>13344</v>
      </c>
      <c r="SMJ1" s="3" t="s">
        <v>13345</v>
      </c>
      <c r="SMK1" s="3" t="s">
        <v>13346</v>
      </c>
      <c r="SML1" s="3" t="s">
        <v>13347</v>
      </c>
      <c r="SMM1" s="3" t="s">
        <v>13348</v>
      </c>
      <c r="SMN1" s="3" t="s">
        <v>13349</v>
      </c>
      <c r="SMO1" s="3" t="s">
        <v>13350</v>
      </c>
      <c r="SMP1" s="3" t="s">
        <v>13351</v>
      </c>
      <c r="SMQ1" s="3" t="s">
        <v>13352</v>
      </c>
      <c r="SMR1" s="3" t="s">
        <v>13353</v>
      </c>
      <c r="SMS1" s="3" t="s">
        <v>13354</v>
      </c>
      <c r="SMT1" s="3" t="s">
        <v>13355</v>
      </c>
      <c r="SMU1" s="3" t="s">
        <v>13356</v>
      </c>
      <c r="SMV1" s="3" t="s">
        <v>13357</v>
      </c>
      <c r="SMW1" s="3" t="s">
        <v>13358</v>
      </c>
      <c r="SMX1" s="3" t="s">
        <v>13359</v>
      </c>
      <c r="SMY1" s="3" t="s">
        <v>13360</v>
      </c>
      <c r="SMZ1" s="3" t="s">
        <v>13361</v>
      </c>
      <c r="SNA1" s="3" t="s">
        <v>13362</v>
      </c>
      <c r="SNB1" s="3" t="s">
        <v>13363</v>
      </c>
      <c r="SNC1" s="3" t="s">
        <v>13364</v>
      </c>
      <c r="SND1" s="3" t="s">
        <v>13365</v>
      </c>
      <c r="SNE1" s="3" t="s">
        <v>13366</v>
      </c>
      <c r="SNF1" s="3" t="s">
        <v>13367</v>
      </c>
      <c r="SNG1" s="3" t="s">
        <v>13368</v>
      </c>
      <c r="SNH1" s="3" t="s">
        <v>13369</v>
      </c>
      <c r="SNI1" s="3" t="s">
        <v>13370</v>
      </c>
      <c r="SNJ1" s="3" t="s">
        <v>13371</v>
      </c>
      <c r="SNK1" s="3" t="s">
        <v>13372</v>
      </c>
      <c r="SNL1" s="3" t="s">
        <v>13373</v>
      </c>
      <c r="SNM1" s="3" t="s">
        <v>13374</v>
      </c>
      <c r="SNN1" s="3" t="s">
        <v>13375</v>
      </c>
      <c r="SNO1" s="3" t="s">
        <v>13376</v>
      </c>
      <c r="SNP1" s="3" t="s">
        <v>13377</v>
      </c>
      <c r="SNQ1" s="3" t="s">
        <v>13378</v>
      </c>
      <c r="SNR1" s="3" t="s">
        <v>13379</v>
      </c>
      <c r="SNS1" s="3" t="s">
        <v>13380</v>
      </c>
      <c r="SNT1" s="3" t="s">
        <v>13381</v>
      </c>
      <c r="SNU1" s="3" t="s">
        <v>13382</v>
      </c>
      <c r="SNV1" s="3" t="s">
        <v>13383</v>
      </c>
      <c r="SNW1" s="3" t="s">
        <v>13384</v>
      </c>
      <c r="SNX1" s="3" t="s">
        <v>13385</v>
      </c>
      <c r="SNY1" s="3" t="s">
        <v>13386</v>
      </c>
      <c r="SNZ1" s="3" t="s">
        <v>13387</v>
      </c>
      <c r="SOA1" s="3" t="s">
        <v>13388</v>
      </c>
      <c r="SOB1" s="3" t="s">
        <v>13389</v>
      </c>
      <c r="SOC1" s="3" t="s">
        <v>13390</v>
      </c>
      <c r="SOD1" s="3" t="s">
        <v>13391</v>
      </c>
      <c r="SOE1" s="3" t="s">
        <v>13392</v>
      </c>
      <c r="SOF1" s="3" t="s">
        <v>13393</v>
      </c>
      <c r="SOG1" s="3" t="s">
        <v>13394</v>
      </c>
      <c r="SOH1" s="3" t="s">
        <v>13395</v>
      </c>
      <c r="SOI1" s="3" t="s">
        <v>13396</v>
      </c>
      <c r="SOJ1" s="3" t="s">
        <v>13397</v>
      </c>
      <c r="SOK1" s="3" t="s">
        <v>13398</v>
      </c>
      <c r="SOL1" s="3" t="s">
        <v>13399</v>
      </c>
      <c r="SOM1" s="3" t="s">
        <v>13400</v>
      </c>
      <c r="SON1" s="3" t="s">
        <v>13401</v>
      </c>
      <c r="SOO1" s="3" t="s">
        <v>13402</v>
      </c>
      <c r="SOP1" s="3" t="s">
        <v>13403</v>
      </c>
      <c r="SOQ1" s="3" t="s">
        <v>13404</v>
      </c>
      <c r="SOR1" s="3" t="s">
        <v>13405</v>
      </c>
      <c r="SOS1" s="3" t="s">
        <v>13406</v>
      </c>
      <c r="SOT1" s="3" t="s">
        <v>13407</v>
      </c>
      <c r="SOU1" s="3" t="s">
        <v>13408</v>
      </c>
      <c r="SOV1" s="3" t="s">
        <v>13409</v>
      </c>
      <c r="SOW1" s="3" t="s">
        <v>13410</v>
      </c>
      <c r="SOX1" s="3" t="s">
        <v>13411</v>
      </c>
      <c r="SOY1" s="3" t="s">
        <v>13412</v>
      </c>
      <c r="SOZ1" s="3" t="s">
        <v>13413</v>
      </c>
      <c r="SPA1" s="3" t="s">
        <v>13414</v>
      </c>
      <c r="SPB1" s="3" t="s">
        <v>13415</v>
      </c>
      <c r="SPC1" s="3" t="s">
        <v>13416</v>
      </c>
      <c r="SPD1" s="3" t="s">
        <v>13417</v>
      </c>
      <c r="SPE1" s="3" t="s">
        <v>13418</v>
      </c>
      <c r="SPF1" s="3" t="s">
        <v>13419</v>
      </c>
      <c r="SPG1" s="3" t="s">
        <v>13420</v>
      </c>
      <c r="SPH1" s="3" t="s">
        <v>13421</v>
      </c>
      <c r="SPI1" s="3" t="s">
        <v>13422</v>
      </c>
      <c r="SPJ1" s="3" t="s">
        <v>13423</v>
      </c>
      <c r="SPK1" s="3" t="s">
        <v>13424</v>
      </c>
      <c r="SPL1" s="3" t="s">
        <v>13425</v>
      </c>
      <c r="SPM1" s="3" t="s">
        <v>13426</v>
      </c>
      <c r="SPN1" s="3" t="s">
        <v>13427</v>
      </c>
      <c r="SPO1" s="3" t="s">
        <v>13428</v>
      </c>
      <c r="SPP1" s="3" t="s">
        <v>13429</v>
      </c>
      <c r="SPQ1" s="3" t="s">
        <v>13430</v>
      </c>
      <c r="SPR1" s="3" t="s">
        <v>13431</v>
      </c>
      <c r="SPS1" s="3" t="s">
        <v>13432</v>
      </c>
      <c r="SPT1" s="3" t="s">
        <v>13433</v>
      </c>
      <c r="SPU1" s="3" t="s">
        <v>13434</v>
      </c>
      <c r="SPV1" s="3" t="s">
        <v>13435</v>
      </c>
      <c r="SPW1" s="3" t="s">
        <v>13436</v>
      </c>
      <c r="SPX1" s="3" t="s">
        <v>13437</v>
      </c>
      <c r="SPY1" s="3" t="s">
        <v>13438</v>
      </c>
      <c r="SPZ1" s="3" t="s">
        <v>13439</v>
      </c>
      <c r="SQA1" s="3" t="s">
        <v>13440</v>
      </c>
      <c r="SQB1" s="3" t="s">
        <v>13441</v>
      </c>
      <c r="SQC1" s="3" t="s">
        <v>13442</v>
      </c>
      <c r="SQD1" s="3" t="s">
        <v>13443</v>
      </c>
      <c r="SQE1" s="3" t="s">
        <v>13444</v>
      </c>
      <c r="SQF1" s="3" t="s">
        <v>13445</v>
      </c>
      <c r="SQG1" s="3" t="s">
        <v>13446</v>
      </c>
      <c r="SQH1" s="3" t="s">
        <v>13447</v>
      </c>
      <c r="SQI1" s="3" t="s">
        <v>13448</v>
      </c>
      <c r="SQJ1" s="3" t="s">
        <v>13449</v>
      </c>
      <c r="SQK1" s="3" t="s">
        <v>13450</v>
      </c>
      <c r="SQL1" s="3" t="s">
        <v>13451</v>
      </c>
      <c r="SQM1" s="3" t="s">
        <v>13452</v>
      </c>
      <c r="SQN1" s="3" t="s">
        <v>13453</v>
      </c>
      <c r="SQO1" s="3" t="s">
        <v>13454</v>
      </c>
      <c r="SQP1" s="3" t="s">
        <v>13455</v>
      </c>
      <c r="SQQ1" s="3" t="s">
        <v>13456</v>
      </c>
      <c r="SQR1" s="3" t="s">
        <v>13457</v>
      </c>
      <c r="SQS1" s="3" t="s">
        <v>13458</v>
      </c>
      <c r="SQT1" s="3" t="s">
        <v>13459</v>
      </c>
      <c r="SQU1" s="3" t="s">
        <v>13460</v>
      </c>
      <c r="SQV1" s="3" t="s">
        <v>13461</v>
      </c>
      <c r="SQW1" s="3" t="s">
        <v>13462</v>
      </c>
      <c r="SQX1" s="3" t="s">
        <v>13463</v>
      </c>
      <c r="SQY1" s="3" t="s">
        <v>13464</v>
      </c>
      <c r="SQZ1" s="3" t="s">
        <v>13465</v>
      </c>
      <c r="SRA1" s="3" t="s">
        <v>13466</v>
      </c>
      <c r="SRB1" s="3" t="s">
        <v>13467</v>
      </c>
      <c r="SRC1" s="3" t="s">
        <v>13468</v>
      </c>
      <c r="SRD1" s="3" t="s">
        <v>13469</v>
      </c>
      <c r="SRE1" s="3" t="s">
        <v>13470</v>
      </c>
      <c r="SRF1" s="3" t="s">
        <v>13471</v>
      </c>
      <c r="SRG1" s="3" t="s">
        <v>13472</v>
      </c>
      <c r="SRH1" s="3" t="s">
        <v>13473</v>
      </c>
      <c r="SRI1" s="3" t="s">
        <v>13474</v>
      </c>
      <c r="SRJ1" s="3" t="s">
        <v>13475</v>
      </c>
      <c r="SRK1" s="3" t="s">
        <v>13476</v>
      </c>
      <c r="SRL1" s="3" t="s">
        <v>13477</v>
      </c>
      <c r="SRM1" s="3" t="s">
        <v>13478</v>
      </c>
      <c r="SRN1" s="3" t="s">
        <v>13479</v>
      </c>
      <c r="SRO1" s="3" t="s">
        <v>13480</v>
      </c>
      <c r="SRP1" s="3" t="s">
        <v>13481</v>
      </c>
      <c r="SRQ1" s="3" t="s">
        <v>13482</v>
      </c>
      <c r="SRR1" s="3" t="s">
        <v>13483</v>
      </c>
      <c r="SRS1" s="3" t="s">
        <v>13484</v>
      </c>
      <c r="SRT1" s="3" t="s">
        <v>13485</v>
      </c>
      <c r="SRU1" s="3" t="s">
        <v>13486</v>
      </c>
      <c r="SRV1" s="3" t="s">
        <v>13487</v>
      </c>
      <c r="SRW1" s="3" t="s">
        <v>13488</v>
      </c>
      <c r="SRX1" s="3" t="s">
        <v>13489</v>
      </c>
      <c r="SRY1" s="3" t="s">
        <v>13490</v>
      </c>
      <c r="SRZ1" s="3" t="s">
        <v>13491</v>
      </c>
      <c r="SSA1" s="3" t="s">
        <v>13492</v>
      </c>
      <c r="SSB1" s="3" t="s">
        <v>13493</v>
      </c>
      <c r="SSC1" s="3" t="s">
        <v>13494</v>
      </c>
      <c r="SSD1" s="3" t="s">
        <v>13495</v>
      </c>
      <c r="SSE1" s="3" t="s">
        <v>13496</v>
      </c>
      <c r="SSF1" s="3" t="s">
        <v>13497</v>
      </c>
      <c r="SSG1" s="3" t="s">
        <v>13498</v>
      </c>
      <c r="SSH1" s="3" t="s">
        <v>13499</v>
      </c>
      <c r="SSI1" s="3" t="s">
        <v>13500</v>
      </c>
      <c r="SSJ1" s="3" t="s">
        <v>13501</v>
      </c>
      <c r="SSK1" s="3" t="s">
        <v>13502</v>
      </c>
      <c r="SSL1" s="3" t="s">
        <v>13503</v>
      </c>
      <c r="SSM1" s="3" t="s">
        <v>13504</v>
      </c>
      <c r="SSN1" s="3" t="s">
        <v>13505</v>
      </c>
      <c r="SSO1" s="3" t="s">
        <v>13506</v>
      </c>
      <c r="SSP1" s="3" t="s">
        <v>13507</v>
      </c>
      <c r="SSQ1" s="3" t="s">
        <v>13508</v>
      </c>
      <c r="SSR1" s="3" t="s">
        <v>13509</v>
      </c>
      <c r="SSS1" s="3" t="s">
        <v>13510</v>
      </c>
      <c r="SST1" s="3" t="s">
        <v>13511</v>
      </c>
      <c r="SSU1" s="3" t="s">
        <v>13512</v>
      </c>
      <c r="SSV1" s="3" t="s">
        <v>13513</v>
      </c>
      <c r="SSW1" s="3" t="s">
        <v>13514</v>
      </c>
      <c r="SSX1" s="3" t="s">
        <v>13515</v>
      </c>
      <c r="SSY1" s="3" t="s">
        <v>13516</v>
      </c>
      <c r="SSZ1" s="3" t="s">
        <v>13517</v>
      </c>
      <c r="STA1" s="3" t="s">
        <v>13518</v>
      </c>
      <c r="STB1" s="3" t="s">
        <v>13519</v>
      </c>
      <c r="STC1" s="3" t="s">
        <v>13520</v>
      </c>
      <c r="STD1" s="3" t="s">
        <v>13521</v>
      </c>
      <c r="STE1" s="3" t="s">
        <v>13522</v>
      </c>
      <c r="STF1" s="3" t="s">
        <v>13523</v>
      </c>
      <c r="STG1" s="3" t="s">
        <v>13524</v>
      </c>
      <c r="STH1" s="3" t="s">
        <v>13525</v>
      </c>
      <c r="STI1" s="3" t="s">
        <v>13526</v>
      </c>
      <c r="STJ1" s="3" t="s">
        <v>13527</v>
      </c>
      <c r="STK1" s="3" t="s">
        <v>13528</v>
      </c>
      <c r="STL1" s="3" t="s">
        <v>13529</v>
      </c>
      <c r="STM1" s="3" t="s">
        <v>13530</v>
      </c>
      <c r="STN1" s="3" t="s">
        <v>13531</v>
      </c>
      <c r="STO1" s="3" t="s">
        <v>13532</v>
      </c>
      <c r="STP1" s="3" t="s">
        <v>13533</v>
      </c>
      <c r="STQ1" s="3" t="s">
        <v>13534</v>
      </c>
      <c r="STR1" s="3" t="s">
        <v>13535</v>
      </c>
      <c r="STS1" s="3" t="s">
        <v>13536</v>
      </c>
      <c r="STT1" s="3" t="s">
        <v>13537</v>
      </c>
      <c r="STU1" s="3" t="s">
        <v>13538</v>
      </c>
      <c r="STV1" s="3" t="s">
        <v>13539</v>
      </c>
      <c r="STW1" s="3" t="s">
        <v>13540</v>
      </c>
      <c r="STX1" s="3" t="s">
        <v>13541</v>
      </c>
      <c r="STY1" s="3" t="s">
        <v>13542</v>
      </c>
      <c r="STZ1" s="3" t="s">
        <v>13543</v>
      </c>
      <c r="SUA1" s="3" t="s">
        <v>13544</v>
      </c>
      <c r="SUB1" s="3" t="s">
        <v>13545</v>
      </c>
      <c r="SUC1" s="3" t="s">
        <v>13546</v>
      </c>
      <c r="SUD1" s="3" t="s">
        <v>13547</v>
      </c>
      <c r="SUE1" s="3" t="s">
        <v>13548</v>
      </c>
      <c r="SUF1" s="3" t="s">
        <v>13549</v>
      </c>
      <c r="SUG1" s="3" t="s">
        <v>13550</v>
      </c>
      <c r="SUH1" s="3" t="s">
        <v>13551</v>
      </c>
      <c r="SUI1" s="3" t="s">
        <v>13552</v>
      </c>
      <c r="SUJ1" s="3" t="s">
        <v>13553</v>
      </c>
      <c r="SUK1" s="3" t="s">
        <v>13554</v>
      </c>
      <c r="SUL1" s="3" t="s">
        <v>13555</v>
      </c>
      <c r="SUM1" s="3" t="s">
        <v>13556</v>
      </c>
      <c r="SUN1" s="3" t="s">
        <v>13557</v>
      </c>
      <c r="SUO1" s="3" t="s">
        <v>13558</v>
      </c>
      <c r="SUP1" s="3" t="s">
        <v>13559</v>
      </c>
      <c r="SUQ1" s="3" t="s">
        <v>13560</v>
      </c>
      <c r="SUR1" s="3" t="s">
        <v>13561</v>
      </c>
      <c r="SUS1" s="3" t="s">
        <v>13562</v>
      </c>
      <c r="SUT1" s="3" t="s">
        <v>13563</v>
      </c>
      <c r="SUU1" s="3" t="s">
        <v>13564</v>
      </c>
      <c r="SUV1" s="3" t="s">
        <v>13565</v>
      </c>
      <c r="SUW1" s="3" t="s">
        <v>13566</v>
      </c>
      <c r="SUX1" s="3" t="s">
        <v>13567</v>
      </c>
      <c r="SUY1" s="3" t="s">
        <v>13568</v>
      </c>
      <c r="SUZ1" s="3" t="s">
        <v>13569</v>
      </c>
      <c r="SVA1" s="3" t="s">
        <v>13570</v>
      </c>
      <c r="SVB1" s="3" t="s">
        <v>13571</v>
      </c>
      <c r="SVC1" s="3" t="s">
        <v>13572</v>
      </c>
      <c r="SVD1" s="3" t="s">
        <v>13573</v>
      </c>
      <c r="SVE1" s="3" t="s">
        <v>13574</v>
      </c>
      <c r="SVF1" s="3" t="s">
        <v>13575</v>
      </c>
      <c r="SVG1" s="3" t="s">
        <v>13576</v>
      </c>
      <c r="SVH1" s="3" t="s">
        <v>13577</v>
      </c>
      <c r="SVI1" s="3" t="s">
        <v>13578</v>
      </c>
      <c r="SVJ1" s="3" t="s">
        <v>13579</v>
      </c>
      <c r="SVK1" s="3" t="s">
        <v>13580</v>
      </c>
      <c r="SVL1" s="3" t="s">
        <v>13581</v>
      </c>
      <c r="SVM1" s="3" t="s">
        <v>13582</v>
      </c>
      <c r="SVN1" s="3" t="s">
        <v>13583</v>
      </c>
      <c r="SVO1" s="3" t="s">
        <v>13584</v>
      </c>
      <c r="SVP1" s="3" t="s">
        <v>13585</v>
      </c>
      <c r="SVQ1" s="3" t="s">
        <v>13586</v>
      </c>
      <c r="SVR1" s="3" t="s">
        <v>13587</v>
      </c>
      <c r="SVS1" s="3" t="s">
        <v>13588</v>
      </c>
      <c r="SVT1" s="3" t="s">
        <v>13589</v>
      </c>
      <c r="SVU1" s="3" t="s">
        <v>13590</v>
      </c>
      <c r="SVV1" s="3" t="s">
        <v>13591</v>
      </c>
      <c r="SVW1" s="3" t="s">
        <v>13592</v>
      </c>
      <c r="SVX1" s="3" t="s">
        <v>13593</v>
      </c>
      <c r="SVY1" s="3" t="s">
        <v>13594</v>
      </c>
      <c r="SVZ1" s="3" t="s">
        <v>13595</v>
      </c>
      <c r="SWA1" s="3" t="s">
        <v>13596</v>
      </c>
      <c r="SWB1" s="3" t="s">
        <v>13597</v>
      </c>
      <c r="SWC1" s="3" t="s">
        <v>13598</v>
      </c>
      <c r="SWD1" s="3" t="s">
        <v>13599</v>
      </c>
      <c r="SWE1" s="3" t="s">
        <v>13600</v>
      </c>
      <c r="SWF1" s="3" t="s">
        <v>13601</v>
      </c>
      <c r="SWG1" s="3" t="s">
        <v>13602</v>
      </c>
      <c r="SWH1" s="3" t="s">
        <v>13603</v>
      </c>
      <c r="SWI1" s="3" t="s">
        <v>13604</v>
      </c>
      <c r="SWJ1" s="3" t="s">
        <v>13605</v>
      </c>
      <c r="SWK1" s="3" t="s">
        <v>13606</v>
      </c>
      <c r="SWL1" s="3" t="s">
        <v>13607</v>
      </c>
      <c r="SWM1" s="3" t="s">
        <v>13608</v>
      </c>
      <c r="SWN1" s="3" t="s">
        <v>13609</v>
      </c>
      <c r="SWO1" s="3" t="s">
        <v>13610</v>
      </c>
      <c r="SWP1" s="3" t="s">
        <v>13611</v>
      </c>
      <c r="SWQ1" s="3" t="s">
        <v>13612</v>
      </c>
      <c r="SWR1" s="3" t="s">
        <v>13613</v>
      </c>
      <c r="SWS1" s="3" t="s">
        <v>13614</v>
      </c>
      <c r="SWT1" s="3" t="s">
        <v>13615</v>
      </c>
      <c r="SWU1" s="3" t="s">
        <v>13616</v>
      </c>
      <c r="SWV1" s="3" t="s">
        <v>13617</v>
      </c>
      <c r="SWW1" s="3" t="s">
        <v>13618</v>
      </c>
      <c r="SWX1" s="3" t="s">
        <v>13619</v>
      </c>
      <c r="SWY1" s="3" t="s">
        <v>13620</v>
      </c>
      <c r="SWZ1" s="3" t="s">
        <v>13621</v>
      </c>
      <c r="SXA1" s="3" t="s">
        <v>13622</v>
      </c>
      <c r="SXB1" s="3" t="s">
        <v>13623</v>
      </c>
      <c r="SXC1" s="3" t="s">
        <v>13624</v>
      </c>
      <c r="SXD1" s="3" t="s">
        <v>13625</v>
      </c>
      <c r="SXE1" s="3" t="s">
        <v>13626</v>
      </c>
      <c r="SXF1" s="3" t="s">
        <v>13627</v>
      </c>
      <c r="SXG1" s="3" t="s">
        <v>13628</v>
      </c>
      <c r="SXH1" s="3" t="s">
        <v>13629</v>
      </c>
      <c r="SXI1" s="3" t="s">
        <v>13630</v>
      </c>
      <c r="SXJ1" s="3" t="s">
        <v>13631</v>
      </c>
      <c r="SXK1" s="3" t="s">
        <v>13632</v>
      </c>
      <c r="SXL1" s="3" t="s">
        <v>13633</v>
      </c>
      <c r="SXM1" s="3" t="s">
        <v>13634</v>
      </c>
      <c r="SXN1" s="3" t="s">
        <v>13635</v>
      </c>
      <c r="SXO1" s="3" t="s">
        <v>13636</v>
      </c>
      <c r="SXP1" s="3" t="s">
        <v>13637</v>
      </c>
      <c r="SXQ1" s="3" t="s">
        <v>13638</v>
      </c>
      <c r="SXR1" s="3" t="s">
        <v>13639</v>
      </c>
      <c r="SXS1" s="3" t="s">
        <v>13640</v>
      </c>
      <c r="SXT1" s="3" t="s">
        <v>13641</v>
      </c>
      <c r="SXU1" s="3" t="s">
        <v>13642</v>
      </c>
      <c r="SXV1" s="3" t="s">
        <v>13643</v>
      </c>
      <c r="SXW1" s="3" t="s">
        <v>13644</v>
      </c>
      <c r="SXX1" s="3" t="s">
        <v>13645</v>
      </c>
      <c r="SXY1" s="3" t="s">
        <v>13646</v>
      </c>
      <c r="SXZ1" s="3" t="s">
        <v>13647</v>
      </c>
      <c r="SYA1" s="3" t="s">
        <v>13648</v>
      </c>
      <c r="SYB1" s="3" t="s">
        <v>13649</v>
      </c>
      <c r="SYC1" s="3" t="s">
        <v>13650</v>
      </c>
      <c r="SYD1" s="3" t="s">
        <v>13651</v>
      </c>
      <c r="SYE1" s="3" t="s">
        <v>13652</v>
      </c>
      <c r="SYF1" s="3" t="s">
        <v>13653</v>
      </c>
      <c r="SYG1" s="3" t="s">
        <v>13654</v>
      </c>
      <c r="SYH1" s="3" t="s">
        <v>13655</v>
      </c>
      <c r="SYI1" s="3" t="s">
        <v>13656</v>
      </c>
      <c r="SYJ1" s="3" t="s">
        <v>13657</v>
      </c>
      <c r="SYK1" s="3" t="s">
        <v>13658</v>
      </c>
      <c r="SYL1" s="3" t="s">
        <v>13659</v>
      </c>
      <c r="SYM1" s="3" t="s">
        <v>13660</v>
      </c>
      <c r="SYN1" s="3" t="s">
        <v>13661</v>
      </c>
      <c r="SYO1" s="3" t="s">
        <v>13662</v>
      </c>
      <c r="SYP1" s="3" t="s">
        <v>13663</v>
      </c>
      <c r="SYQ1" s="3" t="s">
        <v>13664</v>
      </c>
      <c r="SYR1" s="3" t="s">
        <v>13665</v>
      </c>
      <c r="SYS1" s="3" t="s">
        <v>13666</v>
      </c>
      <c r="SYT1" s="3" t="s">
        <v>13667</v>
      </c>
      <c r="SYU1" s="3" t="s">
        <v>13668</v>
      </c>
      <c r="SYV1" s="3" t="s">
        <v>13669</v>
      </c>
      <c r="SYW1" s="3" t="s">
        <v>13670</v>
      </c>
      <c r="SYX1" s="3" t="s">
        <v>13671</v>
      </c>
      <c r="SYY1" s="3" t="s">
        <v>13672</v>
      </c>
      <c r="SYZ1" s="3" t="s">
        <v>13673</v>
      </c>
      <c r="SZA1" s="3" t="s">
        <v>13674</v>
      </c>
      <c r="SZB1" s="3" t="s">
        <v>13675</v>
      </c>
      <c r="SZC1" s="3" t="s">
        <v>13676</v>
      </c>
      <c r="SZD1" s="3" t="s">
        <v>13677</v>
      </c>
      <c r="SZE1" s="3" t="s">
        <v>13678</v>
      </c>
      <c r="SZF1" s="3" t="s">
        <v>13679</v>
      </c>
      <c r="SZG1" s="3" t="s">
        <v>13680</v>
      </c>
      <c r="SZH1" s="3" t="s">
        <v>13681</v>
      </c>
      <c r="SZI1" s="3" t="s">
        <v>13682</v>
      </c>
      <c r="SZJ1" s="3" t="s">
        <v>13683</v>
      </c>
      <c r="SZK1" s="3" t="s">
        <v>13684</v>
      </c>
      <c r="SZL1" s="3" t="s">
        <v>13685</v>
      </c>
      <c r="SZM1" s="3" t="s">
        <v>13686</v>
      </c>
      <c r="SZN1" s="3" t="s">
        <v>13687</v>
      </c>
      <c r="SZO1" s="3" t="s">
        <v>13688</v>
      </c>
      <c r="SZP1" s="3" t="s">
        <v>13689</v>
      </c>
      <c r="SZQ1" s="3" t="s">
        <v>13690</v>
      </c>
      <c r="SZR1" s="3" t="s">
        <v>13691</v>
      </c>
      <c r="SZS1" s="3" t="s">
        <v>13692</v>
      </c>
      <c r="SZT1" s="3" t="s">
        <v>13693</v>
      </c>
      <c r="SZU1" s="3" t="s">
        <v>13694</v>
      </c>
      <c r="SZV1" s="3" t="s">
        <v>13695</v>
      </c>
      <c r="SZW1" s="3" t="s">
        <v>13696</v>
      </c>
      <c r="SZX1" s="3" t="s">
        <v>13697</v>
      </c>
      <c r="SZY1" s="3" t="s">
        <v>13698</v>
      </c>
      <c r="SZZ1" s="3" t="s">
        <v>13699</v>
      </c>
      <c r="TAA1" s="3" t="s">
        <v>13700</v>
      </c>
      <c r="TAB1" s="3" t="s">
        <v>13701</v>
      </c>
      <c r="TAC1" s="3" t="s">
        <v>13702</v>
      </c>
      <c r="TAD1" s="3" t="s">
        <v>13703</v>
      </c>
      <c r="TAE1" s="3" t="s">
        <v>13704</v>
      </c>
      <c r="TAF1" s="3" t="s">
        <v>13705</v>
      </c>
      <c r="TAG1" s="3" t="s">
        <v>13706</v>
      </c>
      <c r="TAH1" s="3" t="s">
        <v>13707</v>
      </c>
      <c r="TAI1" s="3" t="s">
        <v>13708</v>
      </c>
      <c r="TAJ1" s="3" t="s">
        <v>13709</v>
      </c>
      <c r="TAK1" s="3" t="s">
        <v>13710</v>
      </c>
      <c r="TAL1" s="3" t="s">
        <v>13711</v>
      </c>
      <c r="TAM1" s="3" t="s">
        <v>13712</v>
      </c>
      <c r="TAN1" s="3" t="s">
        <v>13713</v>
      </c>
      <c r="TAO1" s="3" t="s">
        <v>13714</v>
      </c>
      <c r="TAP1" s="3" t="s">
        <v>13715</v>
      </c>
      <c r="TAQ1" s="3" t="s">
        <v>13716</v>
      </c>
      <c r="TAR1" s="3" t="s">
        <v>13717</v>
      </c>
      <c r="TAS1" s="3" t="s">
        <v>13718</v>
      </c>
      <c r="TAT1" s="3" t="s">
        <v>13719</v>
      </c>
      <c r="TAU1" s="3" t="s">
        <v>13720</v>
      </c>
      <c r="TAV1" s="3" t="s">
        <v>13721</v>
      </c>
      <c r="TAW1" s="3" t="s">
        <v>13722</v>
      </c>
      <c r="TAX1" s="3" t="s">
        <v>13723</v>
      </c>
      <c r="TAY1" s="3" t="s">
        <v>13724</v>
      </c>
      <c r="TAZ1" s="3" t="s">
        <v>13725</v>
      </c>
      <c r="TBA1" s="3" t="s">
        <v>13726</v>
      </c>
      <c r="TBB1" s="3" t="s">
        <v>13727</v>
      </c>
      <c r="TBC1" s="3" t="s">
        <v>13728</v>
      </c>
      <c r="TBD1" s="3" t="s">
        <v>13729</v>
      </c>
      <c r="TBE1" s="3" t="s">
        <v>13730</v>
      </c>
      <c r="TBF1" s="3" t="s">
        <v>13731</v>
      </c>
      <c r="TBG1" s="3" t="s">
        <v>13732</v>
      </c>
      <c r="TBH1" s="3" t="s">
        <v>13733</v>
      </c>
      <c r="TBI1" s="3" t="s">
        <v>13734</v>
      </c>
      <c r="TBJ1" s="3" t="s">
        <v>13735</v>
      </c>
      <c r="TBK1" s="3" t="s">
        <v>13736</v>
      </c>
      <c r="TBL1" s="3" t="s">
        <v>13737</v>
      </c>
      <c r="TBM1" s="3" t="s">
        <v>13738</v>
      </c>
      <c r="TBN1" s="3" t="s">
        <v>13739</v>
      </c>
      <c r="TBO1" s="3" t="s">
        <v>13740</v>
      </c>
      <c r="TBP1" s="3" t="s">
        <v>13741</v>
      </c>
      <c r="TBQ1" s="3" t="s">
        <v>13742</v>
      </c>
      <c r="TBR1" s="3" t="s">
        <v>13743</v>
      </c>
      <c r="TBS1" s="3" t="s">
        <v>13744</v>
      </c>
      <c r="TBT1" s="3" t="s">
        <v>13745</v>
      </c>
      <c r="TBU1" s="3" t="s">
        <v>13746</v>
      </c>
      <c r="TBV1" s="3" t="s">
        <v>13747</v>
      </c>
      <c r="TBW1" s="3" t="s">
        <v>13748</v>
      </c>
      <c r="TBX1" s="3" t="s">
        <v>13749</v>
      </c>
      <c r="TBY1" s="3" t="s">
        <v>13750</v>
      </c>
      <c r="TBZ1" s="3" t="s">
        <v>13751</v>
      </c>
      <c r="TCA1" s="3" t="s">
        <v>13752</v>
      </c>
      <c r="TCB1" s="3" t="s">
        <v>13753</v>
      </c>
      <c r="TCC1" s="3" t="s">
        <v>13754</v>
      </c>
      <c r="TCD1" s="3" t="s">
        <v>13755</v>
      </c>
      <c r="TCE1" s="3" t="s">
        <v>13756</v>
      </c>
      <c r="TCF1" s="3" t="s">
        <v>13757</v>
      </c>
      <c r="TCG1" s="3" t="s">
        <v>13758</v>
      </c>
      <c r="TCH1" s="3" t="s">
        <v>13759</v>
      </c>
      <c r="TCI1" s="3" t="s">
        <v>13760</v>
      </c>
      <c r="TCJ1" s="3" t="s">
        <v>13761</v>
      </c>
      <c r="TCK1" s="3" t="s">
        <v>13762</v>
      </c>
      <c r="TCL1" s="3" t="s">
        <v>13763</v>
      </c>
      <c r="TCM1" s="3" t="s">
        <v>13764</v>
      </c>
      <c r="TCN1" s="3" t="s">
        <v>13765</v>
      </c>
      <c r="TCO1" s="3" t="s">
        <v>13766</v>
      </c>
      <c r="TCP1" s="3" t="s">
        <v>13767</v>
      </c>
      <c r="TCQ1" s="3" t="s">
        <v>13768</v>
      </c>
      <c r="TCR1" s="3" t="s">
        <v>13769</v>
      </c>
      <c r="TCS1" s="3" t="s">
        <v>13770</v>
      </c>
      <c r="TCT1" s="3" t="s">
        <v>13771</v>
      </c>
      <c r="TCU1" s="3" t="s">
        <v>13772</v>
      </c>
      <c r="TCV1" s="3" t="s">
        <v>13773</v>
      </c>
      <c r="TCW1" s="3" t="s">
        <v>13774</v>
      </c>
      <c r="TCX1" s="3" t="s">
        <v>13775</v>
      </c>
      <c r="TCY1" s="3" t="s">
        <v>13776</v>
      </c>
      <c r="TCZ1" s="3" t="s">
        <v>13777</v>
      </c>
      <c r="TDA1" s="3" t="s">
        <v>13778</v>
      </c>
      <c r="TDB1" s="3" t="s">
        <v>13779</v>
      </c>
      <c r="TDC1" s="3" t="s">
        <v>13780</v>
      </c>
      <c r="TDD1" s="3" t="s">
        <v>13781</v>
      </c>
      <c r="TDE1" s="3" t="s">
        <v>13782</v>
      </c>
      <c r="TDF1" s="3" t="s">
        <v>13783</v>
      </c>
      <c r="TDG1" s="3" t="s">
        <v>13784</v>
      </c>
      <c r="TDH1" s="3" t="s">
        <v>13785</v>
      </c>
      <c r="TDI1" s="3" t="s">
        <v>13786</v>
      </c>
      <c r="TDJ1" s="3" t="s">
        <v>13787</v>
      </c>
      <c r="TDK1" s="3" t="s">
        <v>13788</v>
      </c>
      <c r="TDL1" s="3" t="s">
        <v>13789</v>
      </c>
      <c r="TDM1" s="3" t="s">
        <v>13790</v>
      </c>
      <c r="TDN1" s="3" t="s">
        <v>13791</v>
      </c>
      <c r="TDO1" s="3" t="s">
        <v>13792</v>
      </c>
      <c r="TDP1" s="3" t="s">
        <v>13793</v>
      </c>
      <c r="TDQ1" s="3" t="s">
        <v>13794</v>
      </c>
      <c r="TDR1" s="3" t="s">
        <v>13795</v>
      </c>
      <c r="TDS1" s="3" t="s">
        <v>13796</v>
      </c>
      <c r="TDT1" s="3" t="s">
        <v>13797</v>
      </c>
      <c r="TDU1" s="3" t="s">
        <v>13798</v>
      </c>
      <c r="TDV1" s="3" t="s">
        <v>13799</v>
      </c>
      <c r="TDW1" s="3" t="s">
        <v>13800</v>
      </c>
      <c r="TDX1" s="3" t="s">
        <v>13801</v>
      </c>
      <c r="TDY1" s="3" t="s">
        <v>13802</v>
      </c>
      <c r="TDZ1" s="3" t="s">
        <v>13803</v>
      </c>
      <c r="TEA1" s="3" t="s">
        <v>13804</v>
      </c>
      <c r="TEB1" s="3" t="s">
        <v>13805</v>
      </c>
      <c r="TEC1" s="3" t="s">
        <v>13806</v>
      </c>
      <c r="TED1" s="3" t="s">
        <v>13807</v>
      </c>
      <c r="TEE1" s="3" t="s">
        <v>13808</v>
      </c>
      <c r="TEF1" s="3" t="s">
        <v>13809</v>
      </c>
      <c r="TEG1" s="3" t="s">
        <v>13810</v>
      </c>
      <c r="TEH1" s="3" t="s">
        <v>13811</v>
      </c>
      <c r="TEI1" s="3" t="s">
        <v>13812</v>
      </c>
      <c r="TEJ1" s="3" t="s">
        <v>13813</v>
      </c>
      <c r="TEK1" s="3" t="s">
        <v>13814</v>
      </c>
      <c r="TEL1" s="3" t="s">
        <v>13815</v>
      </c>
      <c r="TEM1" s="3" t="s">
        <v>13816</v>
      </c>
      <c r="TEN1" s="3" t="s">
        <v>13817</v>
      </c>
      <c r="TEO1" s="3" t="s">
        <v>13818</v>
      </c>
      <c r="TEP1" s="3" t="s">
        <v>13819</v>
      </c>
      <c r="TEQ1" s="3" t="s">
        <v>13820</v>
      </c>
      <c r="TER1" s="3" t="s">
        <v>13821</v>
      </c>
      <c r="TES1" s="3" t="s">
        <v>13822</v>
      </c>
      <c r="TET1" s="3" t="s">
        <v>13823</v>
      </c>
      <c r="TEU1" s="3" t="s">
        <v>13824</v>
      </c>
      <c r="TEV1" s="3" t="s">
        <v>13825</v>
      </c>
      <c r="TEW1" s="3" t="s">
        <v>13826</v>
      </c>
      <c r="TEX1" s="3" t="s">
        <v>13827</v>
      </c>
      <c r="TEY1" s="3" t="s">
        <v>13828</v>
      </c>
      <c r="TEZ1" s="3" t="s">
        <v>13829</v>
      </c>
      <c r="TFA1" s="3" t="s">
        <v>13830</v>
      </c>
      <c r="TFB1" s="3" t="s">
        <v>13831</v>
      </c>
      <c r="TFC1" s="3" t="s">
        <v>13832</v>
      </c>
      <c r="TFD1" s="3" t="s">
        <v>13833</v>
      </c>
      <c r="TFE1" s="3" t="s">
        <v>13834</v>
      </c>
      <c r="TFF1" s="3" t="s">
        <v>13835</v>
      </c>
      <c r="TFG1" s="3" t="s">
        <v>13836</v>
      </c>
      <c r="TFH1" s="3" t="s">
        <v>13837</v>
      </c>
      <c r="TFI1" s="3" t="s">
        <v>13838</v>
      </c>
      <c r="TFJ1" s="3" t="s">
        <v>13839</v>
      </c>
      <c r="TFK1" s="3" t="s">
        <v>13840</v>
      </c>
      <c r="TFL1" s="3" t="s">
        <v>13841</v>
      </c>
      <c r="TFM1" s="3" t="s">
        <v>13842</v>
      </c>
      <c r="TFN1" s="3" t="s">
        <v>13843</v>
      </c>
      <c r="TFO1" s="3" t="s">
        <v>13844</v>
      </c>
      <c r="TFP1" s="3" t="s">
        <v>13845</v>
      </c>
      <c r="TFQ1" s="3" t="s">
        <v>13846</v>
      </c>
      <c r="TFR1" s="3" t="s">
        <v>13847</v>
      </c>
      <c r="TFS1" s="3" t="s">
        <v>13848</v>
      </c>
      <c r="TFT1" s="3" t="s">
        <v>13849</v>
      </c>
      <c r="TFU1" s="3" t="s">
        <v>13850</v>
      </c>
      <c r="TFV1" s="3" t="s">
        <v>13851</v>
      </c>
      <c r="TFW1" s="3" t="s">
        <v>13852</v>
      </c>
      <c r="TFX1" s="3" t="s">
        <v>13853</v>
      </c>
      <c r="TFY1" s="3" t="s">
        <v>13854</v>
      </c>
      <c r="TFZ1" s="3" t="s">
        <v>13855</v>
      </c>
      <c r="TGA1" s="3" t="s">
        <v>13856</v>
      </c>
      <c r="TGB1" s="3" t="s">
        <v>13857</v>
      </c>
      <c r="TGC1" s="3" t="s">
        <v>13858</v>
      </c>
      <c r="TGD1" s="3" t="s">
        <v>13859</v>
      </c>
      <c r="TGE1" s="3" t="s">
        <v>13860</v>
      </c>
      <c r="TGF1" s="3" t="s">
        <v>13861</v>
      </c>
      <c r="TGG1" s="3" t="s">
        <v>13862</v>
      </c>
      <c r="TGH1" s="3" t="s">
        <v>13863</v>
      </c>
      <c r="TGI1" s="3" t="s">
        <v>13864</v>
      </c>
      <c r="TGJ1" s="3" t="s">
        <v>13865</v>
      </c>
      <c r="TGK1" s="3" t="s">
        <v>13866</v>
      </c>
      <c r="TGL1" s="3" t="s">
        <v>13867</v>
      </c>
      <c r="TGM1" s="3" t="s">
        <v>13868</v>
      </c>
      <c r="TGN1" s="3" t="s">
        <v>13869</v>
      </c>
      <c r="TGO1" s="3" t="s">
        <v>13870</v>
      </c>
      <c r="TGP1" s="3" t="s">
        <v>13871</v>
      </c>
      <c r="TGQ1" s="3" t="s">
        <v>13872</v>
      </c>
      <c r="TGR1" s="3" t="s">
        <v>13873</v>
      </c>
      <c r="TGS1" s="3" t="s">
        <v>13874</v>
      </c>
      <c r="TGT1" s="3" t="s">
        <v>13875</v>
      </c>
      <c r="TGU1" s="3" t="s">
        <v>13876</v>
      </c>
      <c r="TGV1" s="3" t="s">
        <v>13877</v>
      </c>
      <c r="TGW1" s="3" t="s">
        <v>13878</v>
      </c>
      <c r="TGX1" s="3" t="s">
        <v>13879</v>
      </c>
      <c r="TGY1" s="3" t="s">
        <v>13880</v>
      </c>
      <c r="TGZ1" s="3" t="s">
        <v>13881</v>
      </c>
      <c r="THA1" s="3" t="s">
        <v>13882</v>
      </c>
      <c r="THB1" s="3" t="s">
        <v>13883</v>
      </c>
      <c r="THC1" s="3" t="s">
        <v>13884</v>
      </c>
      <c r="THD1" s="3" t="s">
        <v>13885</v>
      </c>
      <c r="THE1" s="3" t="s">
        <v>13886</v>
      </c>
      <c r="THF1" s="3" t="s">
        <v>13887</v>
      </c>
      <c r="THG1" s="3" t="s">
        <v>13888</v>
      </c>
      <c r="THH1" s="3" t="s">
        <v>13889</v>
      </c>
      <c r="THI1" s="3" t="s">
        <v>13890</v>
      </c>
      <c r="THJ1" s="3" t="s">
        <v>13891</v>
      </c>
      <c r="THK1" s="3" t="s">
        <v>13892</v>
      </c>
      <c r="THL1" s="3" t="s">
        <v>13893</v>
      </c>
      <c r="THM1" s="3" t="s">
        <v>13894</v>
      </c>
      <c r="THN1" s="3" t="s">
        <v>13895</v>
      </c>
      <c r="THO1" s="3" t="s">
        <v>13896</v>
      </c>
      <c r="THP1" s="3" t="s">
        <v>13897</v>
      </c>
      <c r="THQ1" s="3" t="s">
        <v>13898</v>
      </c>
      <c r="THR1" s="3" t="s">
        <v>13899</v>
      </c>
      <c r="THS1" s="3" t="s">
        <v>13900</v>
      </c>
      <c r="THT1" s="3" t="s">
        <v>13901</v>
      </c>
      <c r="THU1" s="3" t="s">
        <v>13902</v>
      </c>
      <c r="THV1" s="3" t="s">
        <v>13903</v>
      </c>
      <c r="THW1" s="3" t="s">
        <v>13904</v>
      </c>
      <c r="THX1" s="3" t="s">
        <v>13905</v>
      </c>
      <c r="THY1" s="3" t="s">
        <v>13906</v>
      </c>
      <c r="THZ1" s="3" t="s">
        <v>13907</v>
      </c>
      <c r="TIA1" s="3" t="s">
        <v>13908</v>
      </c>
      <c r="TIB1" s="3" t="s">
        <v>13909</v>
      </c>
      <c r="TIC1" s="3" t="s">
        <v>13910</v>
      </c>
      <c r="TID1" s="3" t="s">
        <v>13911</v>
      </c>
      <c r="TIE1" s="3" t="s">
        <v>13912</v>
      </c>
      <c r="TIF1" s="3" t="s">
        <v>13913</v>
      </c>
      <c r="TIG1" s="3" t="s">
        <v>13914</v>
      </c>
      <c r="TIH1" s="3" t="s">
        <v>13915</v>
      </c>
      <c r="TII1" s="3" t="s">
        <v>13916</v>
      </c>
      <c r="TIJ1" s="3" t="s">
        <v>13917</v>
      </c>
      <c r="TIK1" s="3" t="s">
        <v>13918</v>
      </c>
      <c r="TIL1" s="3" t="s">
        <v>13919</v>
      </c>
      <c r="TIM1" s="3" t="s">
        <v>13920</v>
      </c>
      <c r="TIN1" s="3" t="s">
        <v>13921</v>
      </c>
      <c r="TIO1" s="3" t="s">
        <v>13922</v>
      </c>
      <c r="TIP1" s="3" t="s">
        <v>13923</v>
      </c>
      <c r="TIQ1" s="3" t="s">
        <v>13924</v>
      </c>
      <c r="TIR1" s="3" t="s">
        <v>13925</v>
      </c>
      <c r="TIS1" s="3" t="s">
        <v>13926</v>
      </c>
      <c r="TIT1" s="3" t="s">
        <v>13927</v>
      </c>
      <c r="TIU1" s="3" t="s">
        <v>13928</v>
      </c>
      <c r="TIV1" s="3" t="s">
        <v>13929</v>
      </c>
      <c r="TIW1" s="3" t="s">
        <v>13930</v>
      </c>
      <c r="TIX1" s="3" t="s">
        <v>13931</v>
      </c>
      <c r="TIY1" s="3" t="s">
        <v>13932</v>
      </c>
      <c r="TIZ1" s="3" t="s">
        <v>13933</v>
      </c>
      <c r="TJA1" s="3" t="s">
        <v>13934</v>
      </c>
      <c r="TJB1" s="3" t="s">
        <v>13935</v>
      </c>
      <c r="TJC1" s="3" t="s">
        <v>13936</v>
      </c>
      <c r="TJD1" s="3" t="s">
        <v>13937</v>
      </c>
      <c r="TJE1" s="3" t="s">
        <v>13938</v>
      </c>
      <c r="TJF1" s="3" t="s">
        <v>13939</v>
      </c>
      <c r="TJG1" s="3" t="s">
        <v>13940</v>
      </c>
      <c r="TJH1" s="3" t="s">
        <v>13941</v>
      </c>
      <c r="TJI1" s="3" t="s">
        <v>13942</v>
      </c>
      <c r="TJJ1" s="3" t="s">
        <v>13943</v>
      </c>
      <c r="TJK1" s="3" t="s">
        <v>13944</v>
      </c>
      <c r="TJL1" s="3" t="s">
        <v>13945</v>
      </c>
      <c r="TJM1" s="3" t="s">
        <v>13946</v>
      </c>
      <c r="TJN1" s="3" t="s">
        <v>13947</v>
      </c>
      <c r="TJO1" s="3" t="s">
        <v>13948</v>
      </c>
      <c r="TJP1" s="3" t="s">
        <v>13949</v>
      </c>
      <c r="TJQ1" s="3" t="s">
        <v>13950</v>
      </c>
      <c r="TJR1" s="3" t="s">
        <v>13951</v>
      </c>
      <c r="TJS1" s="3" t="s">
        <v>13952</v>
      </c>
      <c r="TJT1" s="3" t="s">
        <v>13953</v>
      </c>
      <c r="TJU1" s="3" t="s">
        <v>13954</v>
      </c>
      <c r="TJV1" s="3" t="s">
        <v>13955</v>
      </c>
      <c r="TJW1" s="3" t="s">
        <v>13956</v>
      </c>
      <c r="TJX1" s="3" t="s">
        <v>13957</v>
      </c>
      <c r="TJY1" s="3" t="s">
        <v>13958</v>
      </c>
      <c r="TJZ1" s="3" t="s">
        <v>13959</v>
      </c>
      <c r="TKA1" s="3" t="s">
        <v>13960</v>
      </c>
      <c r="TKB1" s="3" t="s">
        <v>13961</v>
      </c>
      <c r="TKC1" s="3" t="s">
        <v>13962</v>
      </c>
      <c r="TKD1" s="3" t="s">
        <v>13963</v>
      </c>
      <c r="TKE1" s="3" t="s">
        <v>13964</v>
      </c>
      <c r="TKF1" s="3" t="s">
        <v>13965</v>
      </c>
      <c r="TKG1" s="3" t="s">
        <v>13966</v>
      </c>
      <c r="TKH1" s="3" t="s">
        <v>13967</v>
      </c>
      <c r="TKI1" s="3" t="s">
        <v>13968</v>
      </c>
      <c r="TKJ1" s="3" t="s">
        <v>13969</v>
      </c>
      <c r="TKK1" s="3" t="s">
        <v>13970</v>
      </c>
      <c r="TKL1" s="3" t="s">
        <v>13971</v>
      </c>
      <c r="TKM1" s="3" t="s">
        <v>13972</v>
      </c>
      <c r="TKN1" s="3" t="s">
        <v>13973</v>
      </c>
      <c r="TKO1" s="3" t="s">
        <v>13974</v>
      </c>
      <c r="TKP1" s="3" t="s">
        <v>13975</v>
      </c>
      <c r="TKQ1" s="3" t="s">
        <v>13976</v>
      </c>
      <c r="TKR1" s="3" t="s">
        <v>13977</v>
      </c>
      <c r="TKS1" s="3" t="s">
        <v>13978</v>
      </c>
      <c r="TKT1" s="3" t="s">
        <v>13979</v>
      </c>
      <c r="TKU1" s="3" t="s">
        <v>13980</v>
      </c>
      <c r="TKV1" s="3" t="s">
        <v>13981</v>
      </c>
      <c r="TKW1" s="3" t="s">
        <v>13982</v>
      </c>
      <c r="TKX1" s="3" t="s">
        <v>13983</v>
      </c>
      <c r="TKY1" s="3" t="s">
        <v>13984</v>
      </c>
      <c r="TKZ1" s="3" t="s">
        <v>13985</v>
      </c>
      <c r="TLA1" s="3" t="s">
        <v>13986</v>
      </c>
      <c r="TLB1" s="3" t="s">
        <v>13987</v>
      </c>
      <c r="TLC1" s="3" t="s">
        <v>13988</v>
      </c>
      <c r="TLD1" s="3" t="s">
        <v>13989</v>
      </c>
      <c r="TLE1" s="3" t="s">
        <v>13990</v>
      </c>
      <c r="TLF1" s="3" t="s">
        <v>13991</v>
      </c>
      <c r="TLG1" s="3" t="s">
        <v>13992</v>
      </c>
      <c r="TLH1" s="3" t="s">
        <v>13993</v>
      </c>
      <c r="TLI1" s="3" t="s">
        <v>13994</v>
      </c>
      <c r="TLJ1" s="3" t="s">
        <v>13995</v>
      </c>
      <c r="TLK1" s="3" t="s">
        <v>13996</v>
      </c>
      <c r="TLL1" s="3" t="s">
        <v>13997</v>
      </c>
      <c r="TLM1" s="3" t="s">
        <v>13998</v>
      </c>
      <c r="TLN1" s="3" t="s">
        <v>13999</v>
      </c>
      <c r="TLO1" s="3" t="s">
        <v>14000</v>
      </c>
      <c r="TLP1" s="3" t="s">
        <v>14001</v>
      </c>
      <c r="TLQ1" s="3" t="s">
        <v>14002</v>
      </c>
      <c r="TLR1" s="3" t="s">
        <v>14003</v>
      </c>
      <c r="TLS1" s="3" t="s">
        <v>14004</v>
      </c>
      <c r="TLT1" s="3" t="s">
        <v>14005</v>
      </c>
      <c r="TLU1" s="3" t="s">
        <v>14006</v>
      </c>
      <c r="TLV1" s="3" t="s">
        <v>14007</v>
      </c>
      <c r="TLW1" s="3" t="s">
        <v>14008</v>
      </c>
      <c r="TLX1" s="3" t="s">
        <v>14009</v>
      </c>
      <c r="TLY1" s="3" t="s">
        <v>14010</v>
      </c>
      <c r="TLZ1" s="3" t="s">
        <v>14011</v>
      </c>
      <c r="TMA1" s="3" t="s">
        <v>14012</v>
      </c>
      <c r="TMB1" s="3" t="s">
        <v>14013</v>
      </c>
      <c r="TMC1" s="3" t="s">
        <v>14014</v>
      </c>
      <c r="TMD1" s="3" t="s">
        <v>14015</v>
      </c>
      <c r="TME1" s="3" t="s">
        <v>14016</v>
      </c>
      <c r="TMF1" s="3" t="s">
        <v>14017</v>
      </c>
      <c r="TMG1" s="3" t="s">
        <v>14018</v>
      </c>
      <c r="TMH1" s="3" t="s">
        <v>14019</v>
      </c>
      <c r="TMI1" s="3" t="s">
        <v>14020</v>
      </c>
      <c r="TMJ1" s="3" t="s">
        <v>14021</v>
      </c>
      <c r="TMK1" s="3" t="s">
        <v>14022</v>
      </c>
      <c r="TML1" s="3" t="s">
        <v>14023</v>
      </c>
      <c r="TMM1" s="3" t="s">
        <v>14024</v>
      </c>
      <c r="TMN1" s="3" t="s">
        <v>14025</v>
      </c>
      <c r="TMO1" s="3" t="s">
        <v>14026</v>
      </c>
      <c r="TMP1" s="3" t="s">
        <v>14027</v>
      </c>
      <c r="TMQ1" s="3" t="s">
        <v>14028</v>
      </c>
      <c r="TMR1" s="3" t="s">
        <v>14029</v>
      </c>
      <c r="TMS1" s="3" t="s">
        <v>14030</v>
      </c>
      <c r="TMT1" s="3" t="s">
        <v>14031</v>
      </c>
      <c r="TMU1" s="3" t="s">
        <v>14032</v>
      </c>
      <c r="TMV1" s="3" t="s">
        <v>14033</v>
      </c>
      <c r="TMW1" s="3" t="s">
        <v>14034</v>
      </c>
      <c r="TMX1" s="3" t="s">
        <v>14035</v>
      </c>
      <c r="TMY1" s="3" t="s">
        <v>14036</v>
      </c>
      <c r="TMZ1" s="3" t="s">
        <v>14037</v>
      </c>
      <c r="TNA1" s="3" t="s">
        <v>14038</v>
      </c>
      <c r="TNB1" s="3" t="s">
        <v>14039</v>
      </c>
      <c r="TNC1" s="3" t="s">
        <v>14040</v>
      </c>
      <c r="TND1" s="3" t="s">
        <v>14041</v>
      </c>
      <c r="TNE1" s="3" t="s">
        <v>14042</v>
      </c>
      <c r="TNF1" s="3" t="s">
        <v>14043</v>
      </c>
      <c r="TNG1" s="3" t="s">
        <v>14044</v>
      </c>
      <c r="TNH1" s="3" t="s">
        <v>14045</v>
      </c>
      <c r="TNI1" s="3" t="s">
        <v>14046</v>
      </c>
      <c r="TNJ1" s="3" t="s">
        <v>14047</v>
      </c>
      <c r="TNK1" s="3" t="s">
        <v>14048</v>
      </c>
      <c r="TNL1" s="3" t="s">
        <v>14049</v>
      </c>
      <c r="TNM1" s="3" t="s">
        <v>14050</v>
      </c>
      <c r="TNN1" s="3" t="s">
        <v>14051</v>
      </c>
      <c r="TNO1" s="3" t="s">
        <v>14052</v>
      </c>
      <c r="TNP1" s="3" t="s">
        <v>14053</v>
      </c>
      <c r="TNQ1" s="3" t="s">
        <v>14054</v>
      </c>
      <c r="TNR1" s="3" t="s">
        <v>14055</v>
      </c>
      <c r="TNS1" s="3" t="s">
        <v>14056</v>
      </c>
      <c r="TNT1" s="3" t="s">
        <v>14057</v>
      </c>
      <c r="TNU1" s="3" t="s">
        <v>14058</v>
      </c>
      <c r="TNV1" s="3" t="s">
        <v>14059</v>
      </c>
      <c r="TNW1" s="3" t="s">
        <v>14060</v>
      </c>
      <c r="TNX1" s="3" t="s">
        <v>14061</v>
      </c>
      <c r="TNY1" s="3" t="s">
        <v>14062</v>
      </c>
      <c r="TNZ1" s="3" t="s">
        <v>14063</v>
      </c>
      <c r="TOA1" s="3" t="s">
        <v>14064</v>
      </c>
      <c r="TOB1" s="3" t="s">
        <v>14065</v>
      </c>
      <c r="TOC1" s="3" t="s">
        <v>14066</v>
      </c>
      <c r="TOD1" s="3" t="s">
        <v>14067</v>
      </c>
      <c r="TOE1" s="3" t="s">
        <v>14068</v>
      </c>
      <c r="TOF1" s="3" t="s">
        <v>14069</v>
      </c>
      <c r="TOG1" s="3" t="s">
        <v>14070</v>
      </c>
      <c r="TOH1" s="3" t="s">
        <v>14071</v>
      </c>
      <c r="TOI1" s="3" t="s">
        <v>14072</v>
      </c>
      <c r="TOJ1" s="3" t="s">
        <v>14073</v>
      </c>
      <c r="TOK1" s="3" t="s">
        <v>14074</v>
      </c>
      <c r="TOL1" s="3" t="s">
        <v>14075</v>
      </c>
      <c r="TOM1" s="3" t="s">
        <v>14076</v>
      </c>
      <c r="TON1" s="3" t="s">
        <v>14077</v>
      </c>
      <c r="TOO1" s="3" t="s">
        <v>14078</v>
      </c>
      <c r="TOP1" s="3" t="s">
        <v>14079</v>
      </c>
      <c r="TOQ1" s="3" t="s">
        <v>14080</v>
      </c>
      <c r="TOR1" s="3" t="s">
        <v>14081</v>
      </c>
      <c r="TOS1" s="3" t="s">
        <v>14082</v>
      </c>
      <c r="TOT1" s="3" t="s">
        <v>14083</v>
      </c>
      <c r="TOU1" s="3" t="s">
        <v>14084</v>
      </c>
      <c r="TOV1" s="3" t="s">
        <v>14085</v>
      </c>
      <c r="TOW1" s="3" t="s">
        <v>14086</v>
      </c>
      <c r="TOX1" s="3" t="s">
        <v>14087</v>
      </c>
      <c r="TOY1" s="3" t="s">
        <v>14088</v>
      </c>
      <c r="TOZ1" s="3" t="s">
        <v>14089</v>
      </c>
      <c r="TPA1" s="3" t="s">
        <v>14090</v>
      </c>
      <c r="TPB1" s="3" t="s">
        <v>14091</v>
      </c>
      <c r="TPC1" s="3" t="s">
        <v>14092</v>
      </c>
      <c r="TPD1" s="3" t="s">
        <v>14093</v>
      </c>
      <c r="TPE1" s="3" t="s">
        <v>14094</v>
      </c>
      <c r="TPF1" s="3" t="s">
        <v>14095</v>
      </c>
      <c r="TPG1" s="3" t="s">
        <v>14096</v>
      </c>
      <c r="TPH1" s="3" t="s">
        <v>14097</v>
      </c>
      <c r="TPI1" s="3" t="s">
        <v>14098</v>
      </c>
      <c r="TPJ1" s="3" t="s">
        <v>14099</v>
      </c>
      <c r="TPK1" s="3" t="s">
        <v>14100</v>
      </c>
      <c r="TPL1" s="3" t="s">
        <v>14101</v>
      </c>
      <c r="TPM1" s="3" t="s">
        <v>14102</v>
      </c>
      <c r="TPN1" s="3" t="s">
        <v>14103</v>
      </c>
      <c r="TPO1" s="3" t="s">
        <v>14104</v>
      </c>
      <c r="TPP1" s="3" t="s">
        <v>14105</v>
      </c>
      <c r="TPQ1" s="3" t="s">
        <v>14106</v>
      </c>
      <c r="TPR1" s="3" t="s">
        <v>14107</v>
      </c>
      <c r="TPS1" s="3" t="s">
        <v>14108</v>
      </c>
      <c r="TPT1" s="3" t="s">
        <v>14109</v>
      </c>
      <c r="TPU1" s="3" t="s">
        <v>14110</v>
      </c>
      <c r="TPV1" s="3" t="s">
        <v>14111</v>
      </c>
      <c r="TPW1" s="3" t="s">
        <v>14112</v>
      </c>
      <c r="TPX1" s="3" t="s">
        <v>14113</v>
      </c>
      <c r="TPY1" s="3" t="s">
        <v>14114</v>
      </c>
      <c r="TPZ1" s="3" t="s">
        <v>14115</v>
      </c>
      <c r="TQA1" s="3" t="s">
        <v>14116</v>
      </c>
      <c r="TQB1" s="3" t="s">
        <v>14117</v>
      </c>
      <c r="TQC1" s="3" t="s">
        <v>14118</v>
      </c>
      <c r="TQD1" s="3" t="s">
        <v>14119</v>
      </c>
      <c r="TQE1" s="3" t="s">
        <v>14120</v>
      </c>
      <c r="TQF1" s="3" t="s">
        <v>14121</v>
      </c>
      <c r="TQG1" s="3" t="s">
        <v>14122</v>
      </c>
      <c r="TQH1" s="3" t="s">
        <v>14123</v>
      </c>
      <c r="TQI1" s="3" t="s">
        <v>14124</v>
      </c>
      <c r="TQJ1" s="3" t="s">
        <v>14125</v>
      </c>
      <c r="TQK1" s="3" t="s">
        <v>14126</v>
      </c>
      <c r="TQL1" s="3" t="s">
        <v>14127</v>
      </c>
      <c r="TQM1" s="3" t="s">
        <v>14128</v>
      </c>
      <c r="TQN1" s="3" t="s">
        <v>14129</v>
      </c>
      <c r="TQO1" s="3" t="s">
        <v>14130</v>
      </c>
      <c r="TQP1" s="3" t="s">
        <v>14131</v>
      </c>
      <c r="TQQ1" s="3" t="s">
        <v>14132</v>
      </c>
      <c r="TQR1" s="3" t="s">
        <v>14133</v>
      </c>
      <c r="TQS1" s="3" t="s">
        <v>14134</v>
      </c>
      <c r="TQT1" s="3" t="s">
        <v>14135</v>
      </c>
      <c r="TQU1" s="3" t="s">
        <v>14136</v>
      </c>
      <c r="TQV1" s="3" t="s">
        <v>14137</v>
      </c>
      <c r="TQW1" s="3" t="s">
        <v>14138</v>
      </c>
      <c r="TQX1" s="3" t="s">
        <v>14139</v>
      </c>
      <c r="TQY1" s="3" t="s">
        <v>14140</v>
      </c>
      <c r="TQZ1" s="3" t="s">
        <v>14141</v>
      </c>
      <c r="TRA1" s="3" t="s">
        <v>14142</v>
      </c>
      <c r="TRB1" s="3" t="s">
        <v>14143</v>
      </c>
      <c r="TRC1" s="3" t="s">
        <v>14144</v>
      </c>
      <c r="TRD1" s="3" t="s">
        <v>14145</v>
      </c>
      <c r="TRE1" s="3" t="s">
        <v>14146</v>
      </c>
      <c r="TRF1" s="3" t="s">
        <v>14147</v>
      </c>
      <c r="TRG1" s="3" t="s">
        <v>14148</v>
      </c>
      <c r="TRH1" s="3" t="s">
        <v>14149</v>
      </c>
      <c r="TRI1" s="3" t="s">
        <v>14150</v>
      </c>
      <c r="TRJ1" s="3" t="s">
        <v>14151</v>
      </c>
      <c r="TRK1" s="3" t="s">
        <v>14152</v>
      </c>
      <c r="TRL1" s="3" t="s">
        <v>14153</v>
      </c>
      <c r="TRM1" s="3" t="s">
        <v>14154</v>
      </c>
      <c r="TRN1" s="3" t="s">
        <v>14155</v>
      </c>
      <c r="TRO1" s="3" t="s">
        <v>14156</v>
      </c>
      <c r="TRP1" s="3" t="s">
        <v>14157</v>
      </c>
      <c r="TRQ1" s="3" t="s">
        <v>14158</v>
      </c>
      <c r="TRR1" s="3" t="s">
        <v>14159</v>
      </c>
      <c r="TRS1" s="3" t="s">
        <v>14160</v>
      </c>
      <c r="TRT1" s="3" t="s">
        <v>14161</v>
      </c>
      <c r="TRU1" s="3" t="s">
        <v>14162</v>
      </c>
      <c r="TRV1" s="3" t="s">
        <v>14163</v>
      </c>
      <c r="TRW1" s="3" t="s">
        <v>14164</v>
      </c>
      <c r="TRX1" s="3" t="s">
        <v>14165</v>
      </c>
      <c r="TRY1" s="3" t="s">
        <v>14166</v>
      </c>
      <c r="TRZ1" s="3" t="s">
        <v>14167</v>
      </c>
      <c r="TSA1" s="3" t="s">
        <v>14168</v>
      </c>
      <c r="TSB1" s="3" t="s">
        <v>14169</v>
      </c>
      <c r="TSC1" s="3" t="s">
        <v>14170</v>
      </c>
      <c r="TSD1" s="3" t="s">
        <v>14171</v>
      </c>
      <c r="TSE1" s="3" t="s">
        <v>14172</v>
      </c>
      <c r="TSF1" s="3" t="s">
        <v>14173</v>
      </c>
      <c r="TSG1" s="3" t="s">
        <v>14174</v>
      </c>
      <c r="TSH1" s="3" t="s">
        <v>14175</v>
      </c>
      <c r="TSI1" s="3" t="s">
        <v>14176</v>
      </c>
      <c r="TSJ1" s="3" t="s">
        <v>14177</v>
      </c>
      <c r="TSK1" s="3" t="s">
        <v>14178</v>
      </c>
      <c r="TSL1" s="3" t="s">
        <v>14179</v>
      </c>
      <c r="TSM1" s="3" t="s">
        <v>14180</v>
      </c>
      <c r="TSN1" s="3" t="s">
        <v>14181</v>
      </c>
      <c r="TSO1" s="3" t="s">
        <v>14182</v>
      </c>
      <c r="TSP1" s="3" t="s">
        <v>14183</v>
      </c>
      <c r="TSQ1" s="3" t="s">
        <v>14184</v>
      </c>
      <c r="TSR1" s="3" t="s">
        <v>14185</v>
      </c>
      <c r="TSS1" s="3" t="s">
        <v>14186</v>
      </c>
      <c r="TST1" s="3" t="s">
        <v>14187</v>
      </c>
      <c r="TSU1" s="3" t="s">
        <v>14188</v>
      </c>
      <c r="TSV1" s="3" t="s">
        <v>14189</v>
      </c>
      <c r="TSW1" s="3" t="s">
        <v>14190</v>
      </c>
      <c r="TSX1" s="3" t="s">
        <v>14191</v>
      </c>
      <c r="TSY1" s="3" t="s">
        <v>14192</v>
      </c>
      <c r="TSZ1" s="3" t="s">
        <v>14193</v>
      </c>
      <c r="TTA1" s="3" t="s">
        <v>14194</v>
      </c>
      <c r="TTB1" s="3" t="s">
        <v>14195</v>
      </c>
      <c r="TTC1" s="3" t="s">
        <v>14196</v>
      </c>
      <c r="TTD1" s="3" t="s">
        <v>14197</v>
      </c>
      <c r="TTE1" s="3" t="s">
        <v>14198</v>
      </c>
      <c r="TTF1" s="3" t="s">
        <v>14199</v>
      </c>
      <c r="TTG1" s="3" t="s">
        <v>14200</v>
      </c>
      <c r="TTH1" s="3" t="s">
        <v>14201</v>
      </c>
      <c r="TTI1" s="3" t="s">
        <v>14202</v>
      </c>
      <c r="TTJ1" s="3" t="s">
        <v>14203</v>
      </c>
      <c r="TTK1" s="3" t="s">
        <v>14204</v>
      </c>
      <c r="TTL1" s="3" t="s">
        <v>14205</v>
      </c>
      <c r="TTM1" s="3" t="s">
        <v>14206</v>
      </c>
      <c r="TTN1" s="3" t="s">
        <v>14207</v>
      </c>
      <c r="TTO1" s="3" t="s">
        <v>14208</v>
      </c>
      <c r="TTP1" s="3" t="s">
        <v>14209</v>
      </c>
      <c r="TTQ1" s="3" t="s">
        <v>14210</v>
      </c>
      <c r="TTR1" s="3" t="s">
        <v>14211</v>
      </c>
      <c r="TTS1" s="3" t="s">
        <v>14212</v>
      </c>
      <c r="TTT1" s="3" t="s">
        <v>14213</v>
      </c>
      <c r="TTU1" s="3" t="s">
        <v>14214</v>
      </c>
      <c r="TTV1" s="3" t="s">
        <v>14215</v>
      </c>
      <c r="TTW1" s="3" t="s">
        <v>14216</v>
      </c>
      <c r="TTX1" s="3" t="s">
        <v>14217</v>
      </c>
      <c r="TTY1" s="3" t="s">
        <v>14218</v>
      </c>
      <c r="TTZ1" s="3" t="s">
        <v>14219</v>
      </c>
      <c r="TUA1" s="3" t="s">
        <v>14220</v>
      </c>
      <c r="TUB1" s="3" t="s">
        <v>14221</v>
      </c>
      <c r="TUC1" s="3" t="s">
        <v>14222</v>
      </c>
      <c r="TUD1" s="3" t="s">
        <v>14223</v>
      </c>
      <c r="TUE1" s="3" t="s">
        <v>14224</v>
      </c>
      <c r="TUF1" s="3" t="s">
        <v>14225</v>
      </c>
      <c r="TUG1" s="3" t="s">
        <v>14226</v>
      </c>
      <c r="TUH1" s="3" t="s">
        <v>14227</v>
      </c>
      <c r="TUI1" s="3" t="s">
        <v>14228</v>
      </c>
      <c r="TUJ1" s="3" t="s">
        <v>14229</v>
      </c>
      <c r="TUK1" s="3" t="s">
        <v>14230</v>
      </c>
      <c r="TUL1" s="3" t="s">
        <v>14231</v>
      </c>
      <c r="TUM1" s="3" t="s">
        <v>14232</v>
      </c>
      <c r="TUN1" s="3" t="s">
        <v>14233</v>
      </c>
      <c r="TUO1" s="3" t="s">
        <v>14234</v>
      </c>
      <c r="TUP1" s="3" t="s">
        <v>14235</v>
      </c>
      <c r="TUQ1" s="3" t="s">
        <v>14236</v>
      </c>
      <c r="TUR1" s="3" t="s">
        <v>14237</v>
      </c>
      <c r="TUS1" s="3" t="s">
        <v>14238</v>
      </c>
      <c r="TUT1" s="3" t="s">
        <v>14239</v>
      </c>
      <c r="TUU1" s="3" t="s">
        <v>14240</v>
      </c>
      <c r="TUV1" s="3" t="s">
        <v>14241</v>
      </c>
      <c r="TUW1" s="3" t="s">
        <v>14242</v>
      </c>
      <c r="TUX1" s="3" t="s">
        <v>14243</v>
      </c>
      <c r="TUY1" s="3" t="s">
        <v>14244</v>
      </c>
      <c r="TUZ1" s="3" t="s">
        <v>14245</v>
      </c>
      <c r="TVA1" s="3" t="s">
        <v>14246</v>
      </c>
      <c r="TVB1" s="3" t="s">
        <v>14247</v>
      </c>
      <c r="TVC1" s="3" t="s">
        <v>14248</v>
      </c>
      <c r="TVD1" s="3" t="s">
        <v>14249</v>
      </c>
      <c r="TVE1" s="3" t="s">
        <v>14250</v>
      </c>
      <c r="TVF1" s="3" t="s">
        <v>14251</v>
      </c>
      <c r="TVG1" s="3" t="s">
        <v>14252</v>
      </c>
      <c r="TVH1" s="3" t="s">
        <v>14253</v>
      </c>
      <c r="TVI1" s="3" t="s">
        <v>14254</v>
      </c>
      <c r="TVJ1" s="3" t="s">
        <v>14255</v>
      </c>
      <c r="TVK1" s="3" t="s">
        <v>14256</v>
      </c>
      <c r="TVL1" s="3" t="s">
        <v>14257</v>
      </c>
      <c r="TVM1" s="3" t="s">
        <v>14258</v>
      </c>
      <c r="TVN1" s="3" t="s">
        <v>14259</v>
      </c>
      <c r="TVO1" s="3" t="s">
        <v>14260</v>
      </c>
      <c r="TVP1" s="3" t="s">
        <v>14261</v>
      </c>
      <c r="TVQ1" s="3" t="s">
        <v>14262</v>
      </c>
      <c r="TVR1" s="3" t="s">
        <v>14263</v>
      </c>
      <c r="TVS1" s="3" t="s">
        <v>14264</v>
      </c>
      <c r="TVT1" s="3" t="s">
        <v>14265</v>
      </c>
      <c r="TVU1" s="3" t="s">
        <v>14266</v>
      </c>
      <c r="TVV1" s="3" t="s">
        <v>14267</v>
      </c>
      <c r="TVW1" s="3" t="s">
        <v>14268</v>
      </c>
      <c r="TVX1" s="3" t="s">
        <v>14269</v>
      </c>
      <c r="TVY1" s="3" t="s">
        <v>14270</v>
      </c>
      <c r="TVZ1" s="3" t="s">
        <v>14271</v>
      </c>
      <c r="TWA1" s="3" t="s">
        <v>14272</v>
      </c>
      <c r="TWB1" s="3" t="s">
        <v>14273</v>
      </c>
      <c r="TWC1" s="3" t="s">
        <v>14274</v>
      </c>
      <c r="TWD1" s="3" t="s">
        <v>14275</v>
      </c>
      <c r="TWE1" s="3" t="s">
        <v>14276</v>
      </c>
      <c r="TWF1" s="3" t="s">
        <v>14277</v>
      </c>
      <c r="TWG1" s="3" t="s">
        <v>14278</v>
      </c>
      <c r="TWH1" s="3" t="s">
        <v>14279</v>
      </c>
      <c r="TWI1" s="3" t="s">
        <v>14280</v>
      </c>
      <c r="TWJ1" s="3" t="s">
        <v>14281</v>
      </c>
      <c r="TWK1" s="3" t="s">
        <v>14282</v>
      </c>
      <c r="TWL1" s="3" t="s">
        <v>14283</v>
      </c>
      <c r="TWM1" s="3" t="s">
        <v>14284</v>
      </c>
      <c r="TWN1" s="3" t="s">
        <v>14285</v>
      </c>
      <c r="TWO1" s="3" t="s">
        <v>14286</v>
      </c>
      <c r="TWP1" s="3" t="s">
        <v>14287</v>
      </c>
      <c r="TWQ1" s="3" t="s">
        <v>14288</v>
      </c>
      <c r="TWR1" s="3" t="s">
        <v>14289</v>
      </c>
      <c r="TWS1" s="3" t="s">
        <v>14290</v>
      </c>
      <c r="TWT1" s="3" t="s">
        <v>14291</v>
      </c>
      <c r="TWU1" s="3" t="s">
        <v>14292</v>
      </c>
      <c r="TWV1" s="3" t="s">
        <v>14293</v>
      </c>
      <c r="TWW1" s="3" t="s">
        <v>14294</v>
      </c>
      <c r="TWX1" s="3" t="s">
        <v>14295</v>
      </c>
      <c r="TWY1" s="3" t="s">
        <v>14296</v>
      </c>
      <c r="TWZ1" s="3" t="s">
        <v>14297</v>
      </c>
      <c r="TXA1" s="3" t="s">
        <v>14298</v>
      </c>
      <c r="TXB1" s="3" t="s">
        <v>14299</v>
      </c>
      <c r="TXC1" s="3" t="s">
        <v>14300</v>
      </c>
      <c r="TXD1" s="3" t="s">
        <v>14301</v>
      </c>
      <c r="TXE1" s="3" t="s">
        <v>14302</v>
      </c>
      <c r="TXF1" s="3" t="s">
        <v>14303</v>
      </c>
      <c r="TXG1" s="3" t="s">
        <v>14304</v>
      </c>
      <c r="TXH1" s="3" t="s">
        <v>14305</v>
      </c>
      <c r="TXI1" s="3" t="s">
        <v>14306</v>
      </c>
      <c r="TXJ1" s="3" t="s">
        <v>14307</v>
      </c>
      <c r="TXK1" s="3" t="s">
        <v>14308</v>
      </c>
      <c r="TXL1" s="3" t="s">
        <v>14309</v>
      </c>
      <c r="TXM1" s="3" t="s">
        <v>14310</v>
      </c>
      <c r="TXN1" s="3" t="s">
        <v>14311</v>
      </c>
      <c r="TXO1" s="3" t="s">
        <v>14312</v>
      </c>
      <c r="TXP1" s="3" t="s">
        <v>14313</v>
      </c>
      <c r="TXQ1" s="3" t="s">
        <v>14314</v>
      </c>
      <c r="TXR1" s="3" t="s">
        <v>14315</v>
      </c>
      <c r="TXS1" s="3" t="s">
        <v>14316</v>
      </c>
      <c r="TXT1" s="3" t="s">
        <v>14317</v>
      </c>
      <c r="TXU1" s="3" t="s">
        <v>14318</v>
      </c>
      <c r="TXV1" s="3" t="s">
        <v>14319</v>
      </c>
      <c r="TXW1" s="3" t="s">
        <v>14320</v>
      </c>
      <c r="TXX1" s="3" t="s">
        <v>14321</v>
      </c>
      <c r="TXY1" s="3" t="s">
        <v>14322</v>
      </c>
      <c r="TXZ1" s="3" t="s">
        <v>14323</v>
      </c>
      <c r="TYA1" s="3" t="s">
        <v>14324</v>
      </c>
      <c r="TYB1" s="3" t="s">
        <v>14325</v>
      </c>
      <c r="TYC1" s="3" t="s">
        <v>14326</v>
      </c>
      <c r="TYD1" s="3" t="s">
        <v>14327</v>
      </c>
      <c r="TYE1" s="3" t="s">
        <v>14328</v>
      </c>
      <c r="TYF1" s="3" t="s">
        <v>14329</v>
      </c>
      <c r="TYG1" s="3" t="s">
        <v>14330</v>
      </c>
      <c r="TYH1" s="3" t="s">
        <v>14331</v>
      </c>
      <c r="TYI1" s="3" t="s">
        <v>14332</v>
      </c>
      <c r="TYJ1" s="3" t="s">
        <v>14333</v>
      </c>
      <c r="TYK1" s="3" t="s">
        <v>14334</v>
      </c>
      <c r="TYL1" s="3" t="s">
        <v>14335</v>
      </c>
      <c r="TYM1" s="3" t="s">
        <v>14336</v>
      </c>
      <c r="TYN1" s="3" t="s">
        <v>14337</v>
      </c>
      <c r="TYO1" s="3" t="s">
        <v>14338</v>
      </c>
      <c r="TYP1" s="3" t="s">
        <v>14339</v>
      </c>
      <c r="TYQ1" s="3" t="s">
        <v>14340</v>
      </c>
      <c r="TYR1" s="3" t="s">
        <v>14341</v>
      </c>
      <c r="TYS1" s="3" t="s">
        <v>14342</v>
      </c>
      <c r="TYT1" s="3" t="s">
        <v>14343</v>
      </c>
      <c r="TYU1" s="3" t="s">
        <v>14344</v>
      </c>
      <c r="TYV1" s="3" t="s">
        <v>14345</v>
      </c>
      <c r="TYW1" s="3" t="s">
        <v>14346</v>
      </c>
      <c r="TYX1" s="3" t="s">
        <v>14347</v>
      </c>
      <c r="TYY1" s="3" t="s">
        <v>14348</v>
      </c>
      <c r="TYZ1" s="3" t="s">
        <v>14349</v>
      </c>
      <c r="TZA1" s="3" t="s">
        <v>14350</v>
      </c>
      <c r="TZB1" s="3" t="s">
        <v>14351</v>
      </c>
      <c r="TZC1" s="3" t="s">
        <v>14352</v>
      </c>
      <c r="TZD1" s="3" t="s">
        <v>14353</v>
      </c>
      <c r="TZE1" s="3" t="s">
        <v>14354</v>
      </c>
      <c r="TZF1" s="3" t="s">
        <v>14355</v>
      </c>
      <c r="TZG1" s="3" t="s">
        <v>14356</v>
      </c>
      <c r="TZH1" s="3" t="s">
        <v>14357</v>
      </c>
      <c r="TZI1" s="3" t="s">
        <v>14358</v>
      </c>
      <c r="TZJ1" s="3" t="s">
        <v>14359</v>
      </c>
      <c r="TZK1" s="3" t="s">
        <v>14360</v>
      </c>
      <c r="TZL1" s="3" t="s">
        <v>14361</v>
      </c>
      <c r="TZM1" s="3" t="s">
        <v>14362</v>
      </c>
      <c r="TZN1" s="3" t="s">
        <v>14363</v>
      </c>
      <c r="TZO1" s="3" t="s">
        <v>14364</v>
      </c>
      <c r="TZP1" s="3" t="s">
        <v>14365</v>
      </c>
      <c r="TZQ1" s="3" t="s">
        <v>14366</v>
      </c>
      <c r="TZR1" s="3" t="s">
        <v>14367</v>
      </c>
      <c r="TZS1" s="3" t="s">
        <v>14368</v>
      </c>
      <c r="TZT1" s="3" t="s">
        <v>14369</v>
      </c>
      <c r="TZU1" s="3" t="s">
        <v>14370</v>
      </c>
      <c r="TZV1" s="3" t="s">
        <v>14371</v>
      </c>
      <c r="TZW1" s="3" t="s">
        <v>14372</v>
      </c>
      <c r="TZX1" s="3" t="s">
        <v>14373</v>
      </c>
      <c r="TZY1" s="3" t="s">
        <v>14374</v>
      </c>
      <c r="TZZ1" s="3" t="s">
        <v>14375</v>
      </c>
      <c r="UAA1" s="3" t="s">
        <v>14376</v>
      </c>
      <c r="UAB1" s="3" t="s">
        <v>14377</v>
      </c>
      <c r="UAC1" s="3" t="s">
        <v>14378</v>
      </c>
      <c r="UAD1" s="3" t="s">
        <v>14379</v>
      </c>
      <c r="UAE1" s="3" t="s">
        <v>14380</v>
      </c>
      <c r="UAF1" s="3" t="s">
        <v>14381</v>
      </c>
      <c r="UAG1" s="3" t="s">
        <v>14382</v>
      </c>
      <c r="UAH1" s="3" t="s">
        <v>14383</v>
      </c>
      <c r="UAI1" s="3" t="s">
        <v>14384</v>
      </c>
      <c r="UAJ1" s="3" t="s">
        <v>14385</v>
      </c>
      <c r="UAK1" s="3" t="s">
        <v>14386</v>
      </c>
      <c r="UAL1" s="3" t="s">
        <v>14387</v>
      </c>
      <c r="UAM1" s="3" t="s">
        <v>14388</v>
      </c>
      <c r="UAN1" s="3" t="s">
        <v>14389</v>
      </c>
      <c r="UAO1" s="3" t="s">
        <v>14390</v>
      </c>
      <c r="UAP1" s="3" t="s">
        <v>14391</v>
      </c>
      <c r="UAQ1" s="3" t="s">
        <v>14392</v>
      </c>
      <c r="UAR1" s="3" t="s">
        <v>14393</v>
      </c>
      <c r="UAS1" s="3" t="s">
        <v>14394</v>
      </c>
      <c r="UAT1" s="3" t="s">
        <v>14395</v>
      </c>
      <c r="UAU1" s="3" t="s">
        <v>14396</v>
      </c>
      <c r="UAV1" s="3" t="s">
        <v>14397</v>
      </c>
      <c r="UAW1" s="3" t="s">
        <v>14398</v>
      </c>
      <c r="UAX1" s="3" t="s">
        <v>14399</v>
      </c>
      <c r="UAY1" s="3" t="s">
        <v>14400</v>
      </c>
      <c r="UAZ1" s="3" t="s">
        <v>14401</v>
      </c>
      <c r="UBA1" s="3" t="s">
        <v>14402</v>
      </c>
      <c r="UBB1" s="3" t="s">
        <v>14403</v>
      </c>
      <c r="UBC1" s="3" t="s">
        <v>14404</v>
      </c>
      <c r="UBD1" s="3" t="s">
        <v>14405</v>
      </c>
      <c r="UBE1" s="3" t="s">
        <v>14406</v>
      </c>
      <c r="UBF1" s="3" t="s">
        <v>14407</v>
      </c>
      <c r="UBG1" s="3" t="s">
        <v>14408</v>
      </c>
      <c r="UBH1" s="3" t="s">
        <v>14409</v>
      </c>
      <c r="UBI1" s="3" t="s">
        <v>14410</v>
      </c>
      <c r="UBJ1" s="3" t="s">
        <v>14411</v>
      </c>
      <c r="UBK1" s="3" t="s">
        <v>14412</v>
      </c>
      <c r="UBL1" s="3" t="s">
        <v>14413</v>
      </c>
      <c r="UBM1" s="3" t="s">
        <v>14414</v>
      </c>
      <c r="UBN1" s="3" t="s">
        <v>14415</v>
      </c>
      <c r="UBO1" s="3" t="s">
        <v>14416</v>
      </c>
      <c r="UBP1" s="3" t="s">
        <v>14417</v>
      </c>
      <c r="UBQ1" s="3" t="s">
        <v>14418</v>
      </c>
      <c r="UBR1" s="3" t="s">
        <v>14419</v>
      </c>
      <c r="UBS1" s="3" t="s">
        <v>14420</v>
      </c>
      <c r="UBT1" s="3" t="s">
        <v>14421</v>
      </c>
      <c r="UBU1" s="3" t="s">
        <v>14422</v>
      </c>
      <c r="UBV1" s="3" t="s">
        <v>14423</v>
      </c>
      <c r="UBW1" s="3" t="s">
        <v>14424</v>
      </c>
      <c r="UBX1" s="3" t="s">
        <v>14425</v>
      </c>
      <c r="UBY1" s="3" t="s">
        <v>14426</v>
      </c>
      <c r="UBZ1" s="3" t="s">
        <v>14427</v>
      </c>
      <c r="UCA1" s="3" t="s">
        <v>14428</v>
      </c>
      <c r="UCB1" s="3" t="s">
        <v>14429</v>
      </c>
      <c r="UCC1" s="3" t="s">
        <v>14430</v>
      </c>
      <c r="UCD1" s="3" t="s">
        <v>14431</v>
      </c>
      <c r="UCE1" s="3" t="s">
        <v>14432</v>
      </c>
      <c r="UCF1" s="3" t="s">
        <v>14433</v>
      </c>
      <c r="UCG1" s="3" t="s">
        <v>14434</v>
      </c>
      <c r="UCH1" s="3" t="s">
        <v>14435</v>
      </c>
      <c r="UCI1" s="3" t="s">
        <v>14436</v>
      </c>
      <c r="UCJ1" s="3" t="s">
        <v>14437</v>
      </c>
      <c r="UCK1" s="3" t="s">
        <v>14438</v>
      </c>
      <c r="UCL1" s="3" t="s">
        <v>14439</v>
      </c>
      <c r="UCM1" s="3" t="s">
        <v>14440</v>
      </c>
      <c r="UCN1" s="3" t="s">
        <v>14441</v>
      </c>
      <c r="UCO1" s="3" t="s">
        <v>14442</v>
      </c>
      <c r="UCP1" s="3" t="s">
        <v>14443</v>
      </c>
      <c r="UCQ1" s="3" t="s">
        <v>14444</v>
      </c>
      <c r="UCR1" s="3" t="s">
        <v>14445</v>
      </c>
      <c r="UCS1" s="3" t="s">
        <v>14446</v>
      </c>
      <c r="UCT1" s="3" t="s">
        <v>14447</v>
      </c>
      <c r="UCU1" s="3" t="s">
        <v>14448</v>
      </c>
      <c r="UCV1" s="3" t="s">
        <v>14449</v>
      </c>
      <c r="UCW1" s="3" t="s">
        <v>14450</v>
      </c>
      <c r="UCX1" s="3" t="s">
        <v>14451</v>
      </c>
      <c r="UCY1" s="3" t="s">
        <v>14452</v>
      </c>
      <c r="UCZ1" s="3" t="s">
        <v>14453</v>
      </c>
      <c r="UDA1" s="3" t="s">
        <v>14454</v>
      </c>
      <c r="UDB1" s="3" t="s">
        <v>14455</v>
      </c>
      <c r="UDC1" s="3" t="s">
        <v>14456</v>
      </c>
      <c r="UDD1" s="3" t="s">
        <v>14457</v>
      </c>
      <c r="UDE1" s="3" t="s">
        <v>14458</v>
      </c>
      <c r="UDF1" s="3" t="s">
        <v>14459</v>
      </c>
      <c r="UDG1" s="3" t="s">
        <v>14460</v>
      </c>
      <c r="UDH1" s="3" t="s">
        <v>14461</v>
      </c>
      <c r="UDI1" s="3" t="s">
        <v>14462</v>
      </c>
      <c r="UDJ1" s="3" t="s">
        <v>14463</v>
      </c>
      <c r="UDK1" s="3" t="s">
        <v>14464</v>
      </c>
      <c r="UDL1" s="3" t="s">
        <v>14465</v>
      </c>
      <c r="UDM1" s="3" t="s">
        <v>14466</v>
      </c>
      <c r="UDN1" s="3" t="s">
        <v>14467</v>
      </c>
      <c r="UDO1" s="3" t="s">
        <v>14468</v>
      </c>
      <c r="UDP1" s="3" t="s">
        <v>14469</v>
      </c>
      <c r="UDQ1" s="3" t="s">
        <v>14470</v>
      </c>
      <c r="UDR1" s="3" t="s">
        <v>14471</v>
      </c>
      <c r="UDS1" s="3" t="s">
        <v>14472</v>
      </c>
      <c r="UDT1" s="3" t="s">
        <v>14473</v>
      </c>
      <c r="UDU1" s="3" t="s">
        <v>14474</v>
      </c>
      <c r="UDV1" s="3" t="s">
        <v>14475</v>
      </c>
      <c r="UDW1" s="3" t="s">
        <v>14476</v>
      </c>
      <c r="UDX1" s="3" t="s">
        <v>14477</v>
      </c>
      <c r="UDY1" s="3" t="s">
        <v>14478</v>
      </c>
      <c r="UDZ1" s="3" t="s">
        <v>14479</v>
      </c>
      <c r="UEA1" s="3" t="s">
        <v>14480</v>
      </c>
      <c r="UEB1" s="3" t="s">
        <v>14481</v>
      </c>
      <c r="UEC1" s="3" t="s">
        <v>14482</v>
      </c>
      <c r="UED1" s="3" t="s">
        <v>14483</v>
      </c>
      <c r="UEE1" s="3" t="s">
        <v>14484</v>
      </c>
      <c r="UEF1" s="3" t="s">
        <v>14485</v>
      </c>
      <c r="UEG1" s="3" t="s">
        <v>14486</v>
      </c>
      <c r="UEH1" s="3" t="s">
        <v>14487</v>
      </c>
      <c r="UEI1" s="3" t="s">
        <v>14488</v>
      </c>
      <c r="UEJ1" s="3" t="s">
        <v>14489</v>
      </c>
      <c r="UEK1" s="3" t="s">
        <v>14490</v>
      </c>
      <c r="UEL1" s="3" t="s">
        <v>14491</v>
      </c>
      <c r="UEM1" s="3" t="s">
        <v>14492</v>
      </c>
      <c r="UEN1" s="3" t="s">
        <v>14493</v>
      </c>
      <c r="UEO1" s="3" t="s">
        <v>14494</v>
      </c>
      <c r="UEP1" s="3" t="s">
        <v>14495</v>
      </c>
      <c r="UEQ1" s="3" t="s">
        <v>14496</v>
      </c>
      <c r="UER1" s="3" t="s">
        <v>14497</v>
      </c>
      <c r="UES1" s="3" t="s">
        <v>14498</v>
      </c>
      <c r="UET1" s="3" t="s">
        <v>14499</v>
      </c>
      <c r="UEU1" s="3" t="s">
        <v>14500</v>
      </c>
      <c r="UEV1" s="3" t="s">
        <v>14501</v>
      </c>
      <c r="UEW1" s="3" t="s">
        <v>14502</v>
      </c>
      <c r="UEX1" s="3" t="s">
        <v>14503</v>
      </c>
      <c r="UEY1" s="3" t="s">
        <v>14504</v>
      </c>
      <c r="UEZ1" s="3" t="s">
        <v>14505</v>
      </c>
      <c r="UFA1" s="3" t="s">
        <v>14506</v>
      </c>
      <c r="UFB1" s="3" t="s">
        <v>14507</v>
      </c>
      <c r="UFC1" s="3" t="s">
        <v>14508</v>
      </c>
      <c r="UFD1" s="3" t="s">
        <v>14509</v>
      </c>
      <c r="UFE1" s="3" t="s">
        <v>14510</v>
      </c>
      <c r="UFF1" s="3" t="s">
        <v>14511</v>
      </c>
      <c r="UFG1" s="3" t="s">
        <v>14512</v>
      </c>
      <c r="UFH1" s="3" t="s">
        <v>14513</v>
      </c>
      <c r="UFI1" s="3" t="s">
        <v>14514</v>
      </c>
      <c r="UFJ1" s="3" t="s">
        <v>14515</v>
      </c>
      <c r="UFK1" s="3" t="s">
        <v>14516</v>
      </c>
      <c r="UFL1" s="3" t="s">
        <v>14517</v>
      </c>
      <c r="UFM1" s="3" t="s">
        <v>14518</v>
      </c>
      <c r="UFN1" s="3" t="s">
        <v>14519</v>
      </c>
      <c r="UFO1" s="3" t="s">
        <v>14520</v>
      </c>
      <c r="UFP1" s="3" t="s">
        <v>14521</v>
      </c>
      <c r="UFQ1" s="3" t="s">
        <v>14522</v>
      </c>
      <c r="UFR1" s="3" t="s">
        <v>14523</v>
      </c>
      <c r="UFS1" s="3" t="s">
        <v>14524</v>
      </c>
      <c r="UFT1" s="3" t="s">
        <v>14525</v>
      </c>
      <c r="UFU1" s="3" t="s">
        <v>14526</v>
      </c>
      <c r="UFV1" s="3" t="s">
        <v>14527</v>
      </c>
      <c r="UFW1" s="3" t="s">
        <v>14528</v>
      </c>
      <c r="UFX1" s="3" t="s">
        <v>14529</v>
      </c>
      <c r="UFY1" s="3" t="s">
        <v>14530</v>
      </c>
      <c r="UFZ1" s="3" t="s">
        <v>14531</v>
      </c>
      <c r="UGA1" s="3" t="s">
        <v>14532</v>
      </c>
      <c r="UGB1" s="3" t="s">
        <v>14533</v>
      </c>
      <c r="UGC1" s="3" t="s">
        <v>14534</v>
      </c>
      <c r="UGD1" s="3" t="s">
        <v>14535</v>
      </c>
      <c r="UGE1" s="3" t="s">
        <v>14536</v>
      </c>
      <c r="UGF1" s="3" t="s">
        <v>14537</v>
      </c>
      <c r="UGG1" s="3" t="s">
        <v>14538</v>
      </c>
      <c r="UGH1" s="3" t="s">
        <v>14539</v>
      </c>
      <c r="UGI1" s="3" t="s">
        <v>14540</v>
      </c>
      <c r="UGJ1" s="3" t="s">
        <v>14541</v>
      </c>
      <c r="UGK1" s="3" t="s">
        <v>14542</v>
      </c>
      <c r="UGL1" s="3" t="s">
        <v>14543</v>
      </c>
      <c r="UGM1" s="3" t="s">
        <v>14544</v>
      </c>
      <c r="UGN1" s="3" t="s">
        <v>14545</v>
      </c>
      <c r="UGO1" s="3" t="s">
        <v>14546</v>
      </c>
      <c r="UGP1" s="3" t="s">
        <v>14547</v>
      </c>
      <c r="UGQ1" s="3" t="s">
        <v>14548</v>
      </c>
      <c r="UGR1" s="3" t="s">
        <v>14549</v>
      </c>
      <c r="UGS1" s="3" t="s">
        <v>14550</v>
      </c>
      <c r="UGT1" s="3" t="s">
        <v>14551</v>
      </c>
      <c r="UGU1" s="3" t="s">
        <v>14552</v>
      </c>
      <c r="UGV1" s="3" t="s">
        <v>14553</v>
      </c>
      <c r="UGW1" s="3" t="s">
        <v>14554</v>
      </c>
      <c r="UGX1" s="3" t="s">
        <v>14555</v>
      </c>
      <c r="UGY1" s="3" t="s">
        <v>14556</v>
      </c>
      <c r="UGZ1" s="3" t="s">
        <v>14557</v>
      </c>
      <c r="UHA1" s="3" t="s">
        <v>14558</v>
      </c>
      <c r="UHB1" s="3" t="s">
        <v>14559</v>
      </c>
      <c r="UHC1" s="3" t="s">
        <v>14560</v>
      </c>
      <c r="UHD1" s="3" t="s">
        <v>14561</v>
      </c>
      <c r="UHE1" s="3" t="s">
        <v>14562</v>
      </c>
      <c r="UHF1" s="3" t="s">
        <v>14563</v>
      </c>
      <c r="UHG1" s="3" t="s">
        <v>14564</v>
      </c>
      <c r="UHH1" s="3" t="s">
        <v>14565</v>
      </c>
      <c r="UHI1" s="3" t="s">
        <v>14566</v>
      </c>
      <c r="UHJ1" s="3" t="s">
        <v>14567</v>
      </c>
      <c r="UHK1" s="3" t="s">
        <v>14568</v>
      </c>
      <c r="UHL1" s="3" t="s">
        <v>14569</v>
      </c>
      <c r="UHM1" s="3" t="s">
        <v>14570</v>
      </c>
      <c r="UHN1" s="3" t="s">
        <v>14571</v>
      </c>
      <c r="UHO1" s="3" t="s">
        <v>14572</v>
      </c>
      <c r="UHP1" s="3" t="s">
        <v>14573</v>
      </c>
      <c r="UHQ1" s="3" t="s">
        <v>14574</v>
      </c>
      <c r="UHR1" s="3" t="s">
        <v>14575</v>
      </c>
      <c r="UHS1" s="3" t="s">
        <v>14576</v>
      </c>
      <c r="UHT1" s="3" t="s">
        <v>14577</v>
      </c>
      <c r="UHU1" s="3" t="s">
        <v>14578</v>
      </c>
      <c r="UHV1" s="3" t="s">
        <v>14579</v>
      </c>
      <c r="UHW1" s="3" t="s">
        <v>14580</v>
      </c>
      <c r="UHX1" s="3" t="s">
        <v>14581</v>
      </c>
      <c r="UHY1" s="3" t="s">
        <v>14582</v>
      </c>
      <c r="UHZ1" s="3" t="s">
        <v>14583</v>
      </c>
      <c r="UIA1" s="3" t="s">
        <v>14584</v>
      </c>
      <c r="UIB1" s="3" t="s">
        <v>14585</v>
      </c>
      <c r="UIC1" s="3" t="s">
        <v>14586</v>
      </c>
      <c r="UID1" s="3" t="s">
        <v>14587</v>
      </c>
      <c r="UIE1" s="3" t="s">
        <v>14588</v>
      </c>
      <c r="UIF1" s="3" t="s">
        <v>14589</v>
      </c>
      <c r="UIG1" s="3" t="s">
        <v>14590</v>
      </c>
      <c r="UIH1" s="3" t="s">
        <v>14591</v>
      </c>
      <c r="UII1" s="3" t="s">
        <v>14592</v>
      </c>
      <c r="UIJ1" s="3" t="s">
        <v>14593</v>
      </c>
      <c r="UIK1" s="3" t="s">
        <v>14594</v>
      </c>
      <c r="UIL1" s="3" t="s">
        <v>14595</v>
      </c>
      <c r="UIM1" s="3" t="s">
        <v>14596</v>
      </c>
      <c r="UIN1" s="3" t="s">
        <v>14597</v>
      </c>
      <c r="UIO1" s="3" t="s">
        <v>14598</v>
      </c>
      <c r="UIP1" s="3" t="s">
        <v>14599</v>
      </c>
      <c r="UIQ1" s="3" t="s">
        <v>14600</v>
      </c>
      <c r="UIR1" s="3" t="s">
        <v>14601</v>
      </c>
      <c r="UIS1" s="3" t="s">
        <v>14602</v>
      </c>
      <c r="UIT1" s="3" t="s">
        <v>14603</v>
      </c>
      <c r="UIU1" s="3" t="s">
        <v>14604</v>
      </c>
      <c r="UIV1" s="3" t="s">
        <v>14605</v>
      </c>
      <c r="UIW1" s="3" t="s">
        <v>14606</v>
      </c>
      <c r="UIX1" s="3" t="s">
        <v>14607</v>
      </c>
      <c r="UIY1" s="3" t="s">
        <v>14608</v>
      </c>
      <c r="UIZ1" s="3" t="s">
        <v>14609</v>
      </c>
      <c r="UJA1" s="3" t="s">
        <v>14610</v>
      </c>
      <c r="UJB1" s="3" t="s">
        <v>14611</v>
      </c>
      <c r="UJC1" s="3" t="s">
        <v>14612</v>
      </c>
      <c r="UJD1" s="3" t="s">
        <v>14613</v>
      </c>
      <c r="UJE1" s="3" t="s">
        <v>14614</v>
      </c>
      <c r="UJF1" s="3" t="s">
        <v>14615</v>
      </c>
      <c r="UJG1" s="3" t="s">
        <v>14616</v>
      </c>
      <c r="UJH1" s="3" t="s">
        <v>14617</v>
      </c>
      <c r="UJI1" s="3" t="s">
        <v>14618</v>
      </c>
      <c r="UJJ1" s="3" t="s">
        <v>14619</v>
      </c>
      <c r="UJK1" s="3" t="s">
        <v>14620</v>
      </c>
      <c r="UJL1" s="3" t="s">
        <v>14621</v>
      </c>
      <c r="UJM1" s="3" t="s">
        <v>14622</v>
      </c>
      <c r="UJN1" s="3" t="s">
        <v>14623</v>
      </c>
      <c r="UJO1" s="3" t="s">
        <v>14624</v>
      </c>
      <c r="UJP1" s="3" t="s">
        <v>14625</v>
      </c>
      <c r="UJQ1" s="3" t="s">
        <v>14626</v>
      </c>
      <c r="UJR1" s="3" t="s">
        <v>14627</v>
      </c>
      <c r="UJS1" s="3" t="s">
        <v>14628</v>
      </c>
      <c r="UJT1" s="3" t="s">
        <v>14629</v>
      </c>
      <c r="UJU1" s="3" t="s">
        <v>14630</v>
      </c>
      <c r="UJV1" s="3" t="s">
        <v>14631</v>
      </c>
      <c r="UJW1" s="3" t="s">
        <v>14632</v>
      </c>
      <c r="UJX1" s="3" t="s">
        <v>14633</v>
      </c>
      <c r="UJY1" s="3" t="s">
        <v>14634</v>
      </c>
      <c r="UJZ1" s="3" t="s">
        <v>14635</v>
      </c>
      <c r="UKA1" s="3" t="s">
        <v>14636</v>
      </c>
      <c r="UKB1" s="3" t="s">
        <v>14637</v>
      </c>
      <c r="UKC1" s="3" t="s">
        <v>14638</v>
      </c>
      <c r="UKD1" s="3" t="s">
        <v>14639</v>
      </c>
      <c r="UKE1" s="3" t="s">
        <v>14640</v>
      </c>
      <c r="UKF1" s="3" t="s">
        <v>14641</v>
      </c>
      <c r="UKG1" s="3" t="s">
        <v>14642</v>
      </c>
      <c r="UKH1" s="3" t="s">
        <v>14643</v>
      </c>
      <c r="UKI1" s="3" t="s">
        <v>14644</v>
      </c>
      <c r="UKJ1" s="3" t="s">
        <v>14645</v>
      </c>
      <c r="UKK1" s="3" t="s">
        <v>14646</v>
      </c>
      <c r="UKL1" s="3" t="s">
        <v>14647</v>
      </c>
      <c r="UKM1" s="3" t="s">
        <v>14648</v>
      </c>
      <c r="UKN1" s="3" t="s">
        <v>14649</v>
      </c>
      <c r="UKO1" s="3" t="s">
        <v>14650</v>
      </c>
      <c r="UKP1" s="3" t="s">
        <v>14651</v>
      </c>
      <c r="UKQ1" s="3" t="s">
        <v>14652</v>
      </c>
      <c r="UKR1" s="3" t="s">
        <v>14653</v>
      </c>
      <c r="UKS1" s="3" t="s">
        <v>14654</v>
      </c>
      <c r="UKT1" s="3" t="s">
        <v>14655</v>
      </c>
      <c r="UKU1" s="3" t="s">
        <v>14656</v>
      </c>
      <c r="UKV1" s="3" t="s">
        <v>14657</v>
      </c>
      <c r="UKW1" s="3" t="s">
        <v>14658</v>
      </c>
      <c r="UKX1" s="3" t="s">
        <v>14659</v>
      </c>
      <c r="UKY1" s="3" t="s">
        <v>14660</v>
      </c>
      <c r="UKZ1" s="3" t="s">
        <v>14661</v>
      </c>
      <c r="ULA1" s="3" t="s">
        <v>14662</v>
      </c>
      <c r="ULB1" s="3" t="s">
        <v>14663</v>
      </c>
      <c r="ULC1" s="3" t="s">
        <v>14664</v>
      </c>
      <c r="ULD1" s="3" t="s">
        <v>14665</v>
      </c>
      <c r="ULE1" s="3" t="s">
        <v>14666</v>
      </c>
      <c r="ULF1" s="3" t="s">
        <v>14667</v>
      </c>
      <c r="ULG1" s="3" t="s">
        <v>14668</v>
      </c>
      <c r="ULH1" s="3" t="s">
        <v>14669</v>
      </c>
      <c r="ULI1" s="3" t="s">
        <v>14670</v>
      </c>
      <c r="ULJ1" s="3" t="s">
        <v>14671</v>
      </c>
      <c r="ULK1" s="3" t="s">
        <v>14672</v>
      </c>
      <c r="ULL1" s="3" t="s">
        <v>14673</v>
      </c>
      <c r="ULM1" s="3" t="s">
        <v>14674</v>
      </c>
      <c r="ULN1" s="3" t="s">
        <v>14675</v>
      </c>
      <c r="ULO1" s="3" t="s">
        <v>14676</v>
      </c>
      <c r="ULP1" s="3" t="s">
        <v>14677</v>
      </c>
      <c r="ULQ1" s="3" t="s">
        <v>14678</v>
      </c>
      <c r="ULR1" s="3" t="s">
        <v>14679</v>
      </c>
      <c r="ULS1" s="3" t="s">
        <v>14680</v>
      </c>
      <c r="ULT1" s="3" t="s">
        <v>14681</v>
      </c>
      <c r="ULU1" s="3" t="s">
        <v>14682</v>
      </c>
      <c r="ULV1" s="3" t="s">
        <v>14683</v>
      </c>
      <c r="ULW1" s="3" t="s">
        <v>14684</v>
      </c>
      <c r="ULX1" s="3" t="s">
        <v>14685</v>
      </c>
      <c r="ULY1" s="3" t="s">
        <v>14686</v>
      </c>
      <c r="ULZ1" s="3" t="s">
        <v>14687</v>
      </c>
      <c r="UMA1" s="3" t="s">
        <v>14688</v>
      </c>
      <c r="UMB1" s="3" t="s">
        <v>14689</v>
      </c>
      <c r="UMC1" s="3" t="s">
        <v>14690</v>
      </c>
      <c r="UMD1" s="3" t="s">
        <v>14691</v>
      </c>
      <c r="UME1" s="3" t="s">
        <v>14692</v>
      </c>
      <c r="UMF1" s="3" t="s">
        <v>14693</v>
      </c>
      <c r="UMG1" s="3" t="s">
        <v>14694</v>
      </c>
      <c r="UMH1" s="3" t="s">
        <v>14695</v>
      </c>
      <c r="UMI1" s="3" t="s">
        <v>14696</v>
      </c>
      <c r="UMJ1" s="3" t="s">
        <v>14697</v>
      </c>
      <c r="UMK1" s="3" t="s">
        <v>14698</v>
      </c>
      <c r="UML1" s="3" t="s">
        <v>14699</v>
      </c>
      <c r="UMM1" s="3" t="s">
        <v>14700</v>
      </c>
      <c r="UMN1" s="3" t="s">
        <v>14701</v>
      </c>
      <c r="UMO1" s="3" t="s">
        <v>14702</v>
      </c>
      <c r="UMP1" s="3" t="s">
        <v>14703</v>
      </c>
      <c r="UMQ1" s="3" t="s">
        <v>14704</v>
      </c>
      <c r="UMR1" s="3" t="s">
        <v>14705</v>
      </c>
      <c r="UMS1" s="3" t="s">
        <v>14706</v>
      </c>
      <c r="UMT1" s="3" t="s">
        <v>14707</v>
      </c>
      <c r="UMU1" s="3" t="s">
        <v>14708</v>
      </c>
      <c r="UMV1" s="3" t="s">
        <v>14709</v>
      </c>
      <c r="UMW1" s="3" t="s">
        <v>14710</v>
      </c>
      <c r="UMX1" s="3" t="s">
        <v>14711</v>
      </c>
      <c r="UMY1" s="3" t="s">
        <v>14712</v>
      </c>
      <c r="UMZ1" s="3" t="s">
        <v>14713</v>
      </c>
      <c r="UNA1" s="3" t="s">
        <v>14714</v>
      </c>
      <c r="UNB1" s="3" t="s">
        <v>14715</v>
      </c>
      <c r="UNC1" s="3" t="s">
        <v>14716</v>
      </c>
      <c r="UND1" s="3" t="s">
        <v>14717</v>
      </c>
      <c r="UNE1" s="3" t="s">
        <v>14718</v>
      </c>
      <c r="UNF1" s="3" t="s">
        <v>14719</v>
      </c>
      <c r="UNG1" s="3" t="s">
        <v>14720</v>
      </c>
      <c r="UNH1" s="3" t="s">
        <v>14721</v>
      </c>
      <c r="UNI1" s="3" t="s">
        <v>14722</v>
      </c>
      <c r="UNJ1" s="3" t="s">
        <v>14723</v>
      </c>
      <c r="UNK1" s="3" t="s">
        <v>14724</v>
      </c>
      <c r="UNL1" s="3" t="s">
        <v>14725</v>
      </c>
      <c r="UNM1" s="3" t="s">
        <v>14726</v>
      </c>
      <c r="UNN1" s="3" t="s">
        <v>14727</v>
      </c>
      <c r="UNO1" s="3" t="s">
        <v>14728</v>
      </c>
      <c r="UNP1" s="3" t="s">
        <v>14729</v>
      </c>
      <c r="UNQ1" s="3" t="s">
        <v>14730</v>
      </c>
      <c r="UNR1" s="3" t="s">
        <v>14731</v>
      </c>
      <c r="UNS1" s="3" t="s">
        <v>14732</v>
      </c>
      <c r="UNT1" s="3" t="s">
        <v>14733</v>
      </c>
      <c r="UNU1" s="3" t="s">
        <v>14734</v>
      </c>
      <c r="UNV1" s="3" t="s">
        <v>14735</v>
      </c>
      <c r="UNW1" s="3" t="s">
        <v>14736</v>
      </c>
      <c r="UNX1" s="3" t="s">
        <v>14737</v>
      </c>
      <c r="UNY1" s="3" t="s">
        <v>14738</v>
      </c>
      <c r="UNZ1" s="3" t="s">
        <v>14739</v>
      </c>
      <c r="UOA1" s="3" t="s">
        <v>14740</v>
      </c>
      <c r="UOB1" s="3" t="s">
        <v>14741</v>
      </c>
      <c r="UOC1" s="3" t="s">
        <v>14742</v>
      </c>
      <c r="UOD1" s="3" t="s">
        <v>14743</v>
      </c>
      <c r="UOE1" s="3" t="s">
        <v>14744</v>
      </c>
      <c r="UOF1" s="3" t="s">
        <v>14745</v>
      </c>
      <c r="UOG1" s="3" t="s">
        <v>14746</v>
      </c>
      <c r="UOH1" s="3" t="s">
        <v>14747</v>
      </c>
      <c r="UOI1" s="3" t="s">
        <v>14748</v>
      </c>
      <c r="UOJ1" s="3" t="s">
        <v>14749</v>
      </c>
      <c r="UOK1" s="3" t="s">
        <v>14750</v>
      </c>
      <c r="UOL1" s="3" t="s">
        <v>14751</v>
      </c>
      <c r="UOM1" s="3" t="s">
        <v>14752</v>
      </c>
      <c r="UON1" s="3" t="s">
        <v>14753</v>
      </c>
      <c r="UOO1" s="3" t="s">
        <v>14754</v>
      </c>
      <c r="UOP1" s="3" t="s">
        <v>14755</v>
      </c>
      <c r="UOQ1" s="3" t="s">
        <v>14756</v>
      </c>
      <c r="UOR1" s="3" t="s">
        <v>14757</v>
      </c>
      <c r="UOS1" s="3" t="s">
        <v>14758</v>
      </c>
      <c r="UOT1" s="3" t="s">
        <v>14759</v>
      </c>
      <c r="UOU1" s="3" t="s">
        <v>14760</v>
      </c>
      <c r="UOV1" s="3" t="s">
        <v>14761</v>
      </c>
      <c r="UOW1" s="3" t="s">
        <v>14762</v>
      </c>
      <c r="UOX1" s="3" t="s">
        <v>14763</v>
      </c>
      <c r="UOY1" s="3" t="s">
        <v>14764</v>
      </c>
      <c r="UOZ1" s="3" t="s">
        <v>14765</v>
      </c>
      <c r="UPA1" s="3" t="s">
        <v>14766</v>
      </c>
      <c r="UPB1" s="3" t="s">
        <v>14767</v>
      </c>
      <c r="UPC1" s="3" t="s">
        <v>14768</v>
      </c>
      <c r="UPD1" s="3" t="s">
        <v>14769</v>
      </c>
      <c r="UPE1" s="3" t="s">
        <v>14770</v>
      </c>
      <c r="UPF1" s="3" t="s">
        <v>14771</v>
      </c>
      <c r="UPG1" s="3" t="s">
        <v>14772</v>
      </c>
      <c r="UPH1" s="3" t="s">
        <v>14773</v>
      </c>
      <c r="UPI1" s="3" t="s">
        <v>14774</v>
      </c>
      <c r="UPJ1" s="3" t="s">
        <v>14775</v>
      </c>
      <c r="UPK1" s="3" t="s">
        <v>14776</v>
      </c>
      <c r="UPL1" s="3" t="s">
        <v>14777</v>
      </c>
      <c r="UPM1" s="3" t="s">
        <v>14778</v>
      </c>
      <c r="UPN1" s="3" t="s">
        <v>14779</v>
      </c>
      <c r="UPO1" s="3" t="s">
        <v>14780</v>
      </c>
      <c r="UPP1" s="3" t="s">
        <v>14781</v>
      </c>
      <c r="UPQ1" s="3" t="s">
        <v>14782</v>
      </c>
      <c r="UPR1" s="3" t="s">
        <v>14783</v>
      </c>
      <c r="UPS1" s="3" t="s">
        <v>14784</v>
      </c>
      <c r="UPT1" s="3" t="s">
        <v>14785</v>
      </c>
      <c r="UPU1" s="3" t="s">
        <v>14786</v>
      </c>
      <c r="UPV1" s="3" t="s">
        <v>14787</v>
      </c>
      <c r="UPW1" s="3" t="s">
        <v>14788</v>
      </c>
      <c r="UPX1" s="3" t="s">
        <v>14789</v>
      </c>
      <c r="UPY1" s="3" t="s">
        <v>14790</v>
      </c>
      <c r="UPZ1" s="3" t="s">
        <v>14791</v>
      </c>
      <c r="UQA1" s="3" t="s">
        <v>14792</v>
      </c>
      <c r="UQB1" s="3" t="s">
        <v>14793</v>
      </c>
      <c r="UQC1" s="3" t="s">
        <v>14794</v>
      </c>
      <c r="UQD1" s="3" t="s">
        <v>14795</v>
      </c>
      <c r="UQE1" s="3" t="s">
        <v>14796</v>
      </c>
      <c r="UQF1" s="3" t="s">
        <v>14797</v>
      </c>
      <c r="UQG1" s="3" t="s">
        <v>14798</v>
      </c>
      <c r="UQH1" s="3" t="s">
        <v>14799</v>
      </c>
      <c r="UQI1" s="3" t="s">
        <v>14800</v>
      </c>
      <c r="UQJ1" s="3" t="s">
        <v>14801</v>
      </c>
      <c r="UQK1" s="3" t="s">
        <v>14802</v>
      </c>
      <c r="UQL1" s="3" t="s">
        <v>14803</v>
      </c>
      <c r="UQM1" s="3" t="s">
        <v>14804</v>
      </c>
      <c r="UQN1" s="3" t="s">
        <v>14805</v>
      </c>
      <c r="UQO1" s="3" t="s">
        <v>14806</v>
      </c>
      <c r="UQP1" s="3" t="s">
        <v>14807</v>
      </c>
      <c r="UQQ1" s="3" t="s">
        <v>14808</v>
      </c>
      <c r="UQR1" s="3" t="s">
        <v>14809</v>
      </c>
      <c r="UQS1" s="3" t="s">
        <v>14810</v>
      </c>
      <c r="UQT1" s="3" t="s">
        <v>14811</v>
      </c>
      <c r="UQU1" s="3" t="s">
        <v>14812</v>
      </c>
      <c r="UQV1" s="3" t="s">
        <v>14813</v>
      </c>
      <c r="UQW1" s="3" t="s">
        <v>14814</v>
      </c>
      <c r="UQX1" s="3" t="s">
        <v>14815</v>
      </c>
      <c r="UQY1" s="3" t="s">
        <v>14816</v>
      </c>
      <c r="UQZ1" s="3" t="s">
        <v>14817</v>
      </c>
      <c r="URA1" s="3" t="s">
        <v>14818</v>
      </c>
      <c r="URB1" s="3" t="s">
        <v>14819</v>
      </c>
      <c r="URC1" s="3" t="s">
        <v>14820</v>
      </c>
      <c r="URD1" s="3" t="s">
        <v>14821</v>
      </c>
      <c r="URE1" s="3" t="s">
        <v>14822</v>
      </c>
      <c r="URF1" s="3" t="s">
        <v>14823</v>
      </c>
      <c r="URG1" s="3" t="s">
        <v>14824</v>
      </c>
      <c r="URH1" s="3" t="s">
        <v>14825</v>
      </c>
      <c r="URI1" s="3" t="s">
        <v>14826</v>
      </c>
      <c r="URJ1" s="3" t="s">
        <v>14827</v>
      </c>
      <c r="URK1" s="3" t="s">
        <v>14828</v>
      </c>
      <c r="URL1" s="3" t="s">
        <v>14829</v>
      </c>
      <c r="URM1" s="3" t="s">
        <v>14830</v>
      </c>
      <c r="URN1" s="3" t="s">
        <v>14831</v>
      </c>
      <c r="URO1" s="3" t="s">
        <v>14832</v>
      </c>
      <c r="URP1" s="3" t="s">
        <v>14833</v>
      </c>
      <c r="URQ1" s="3" t="s">
        <v>14834</v>
      </c>
      <c r="URR1" s="3" t="s">
        <v>14835</v>
      </c>
      <c r="URS1" s="3" t="s">
        <v>14836</v>
      </c>
      <c r="URT1" s="3" t="s">
        <v>14837</v>
      </c>
      <c r="URU1" s="3" t="s">
        <v>14838</v>
      </c>
      <c r="URV1" s="3" t="s">
        <v>14839</v>
      </c>
      <c r="URW1" s="3" t="s">
        <v>14840</v>
      </c>
      <c r="URX1" s="3" t="s">
        <v>14841</v>
      </c>
      <c r="URY1" s="3" t="s">
        <v>14842</v>
      </c>
      <c r="URZ1" s="3" t="s">
        <v>14843</v>
      </c>
      <c r="USA1" s="3" t="s">
        <v>14844</v>
      </c>
      <c r="USB1" s="3" t="s">
        <v>14845</v>
      </c>
      <c r="USC1" s="3" t="s">
        <v>14846</v>
      </c>
      <c r="USD1" s="3" t="s">
        <v>14847</v>
      </c>
      <c r="USE1" s="3" t="s">
        <v>14848</v>
      </c>
      <c r="USF1" s="3" t="s">
        <v>14849</v>
      </c>
      <c r="USG1" s="3" t="s">
        <v>14850</v>
      </c>
      <c r="USH1" s="3" t="s">
        <v>14851</v>
      </c>
      <c r="USI1" s="3" t="s">
        <v>14852</v>
      </c>
      <c r="USJ1" s="3" t="s">
        <v>14853</v>
      </c>
      <c r="USK1" s="3" t="s">
        <v>14854</v>
      </c>
      <c r="USL1" s="3" t="s">
        <v>14855</v>
      </c>
      <c r="USM1" s="3" t="s">
        <v>14856</v>
      </c>
      <c r="USN1" s="3" t="s">
        <v>14857</v>
      </c>
      <c r="USO1" s="3" t="s">
        <v>14858</v>
      </c>
      <c r="USP1" s="3" t="s">
        <v>14859</v>
      </c>
      <c r="USQ1" s="3" t="s">
        <v>14860</v>
      </c>
      <c r="USR1" s="3" t="s">
        <v>14861</v>
      </c>
      <c r="USS1" s="3" t="s">
        <v>14862</v>
      </c>
      <c r="UST1" s="3" t="s">
        <v>14863</v>
      </c>
      <c r="USU1" s="3" t="s">
        <v>14864</v>
      </c>
      <c r="USV1" s="3" t="s">
        <v>14865</v>
      </c>
      <c r="USW1" s="3" t="s">
        <v>14866</v>
      </c>
      <c r="USX1" s="3" t="s">
        <v>14867</v>
      </c>
      <c r="USY1" s="3" t="s">
        <v>14868</v>
      </c>
      <c r="USZ1" s="3" t="s">
        <v>14869</v>
      </c>
      <c r="UTA1" s="3" t="s">
        <v>14870</v>
      </c>
      <c r="UTB1" s="3" t="s">
        <v>14871</v>
      </c>
      <c r="UTC1" s="3" t="s">
        <v>14872</v>
      </c>
      <c r="UTD1" s="3" t="s">
        <v>14873</v>
      </c>
      <c r="UTE1" s="3" t="s">
        <v>14874</v>
      </c>
      <c r="UTF1" s="3" t="s">
        <v>14875</v>
      </c>
      <c r="UTG1" s="3" t="s">
        <v>14876</v>
      </c>
      <c r="UTH1" s="3" t="s">
        <v>14877</v>
      </c>
      <c r="UTI1" s="3" t="s">
        <v>14878</v>
      </c>
      <c r="UTJ1" s="3" t="s">
        <v>14879</v>
      </c>
      <c r="UTK1" s="3" t="s">
        <v>14880</v>
      </c>
      <c r="UTL1" s="3" t="s">
        <v>14881</v>
      </c>
      <c r="UTM1" s="3" t="s">
        <v>14882</v>
      </c>
      <c r="UTN1" s="3" t="s">
        <v>14883</v>
      </c>
      <c r="UTO1" s="3" t="s">
        <v>14884</v>
      </c>
      <c r="UTP1" s="3" t="s">
        <v>14885</v>
      </c>
      <c r="UTQ1" s="3" t="s">
        <v>14886</v>
      </c>
      <c r="UTR1" s="3" t="s">
        <v>14887</v>
      </c>
      <c r="UTS1" s="3" t="s">
        <v>14888</v>
      </c>
      <c r="UTT1" s="3" t="s">
        <v>14889</v>
      </c>
      <c r="UTU1" s="3" t="s">
        <v>14890</v>
      </c>
      <c r="UTV1" s="3" t="s">
        <v>14891</v>
      </c>
      <c r="UTW1" s="3" t="s">
        <v>14892</v>
      </c>
      <c r="UTX1" s="3" t="s">
        <v>14893</v>
      </c>
      <c r="UTY1" s="3" t="s">
        <v>14894</v>
      </c>
      <c r="UTZ1" s="3" t="s">
        <v>14895</v>
      </c>
      <c r="UUA1" s="3" t="s">
        <v>14896</v>
      </c>
      <c r="UUB1" s="3" t="s">
        <v>14897</v>
      </c>
      <c r="UUC1" s="3" t="s">
        <v>14898</v>
      </c>
      <c r="UUD1" s="3" t="s">
        <v>14899</v>
      </c>
      <c r="UUE1" s="3" t="s">
        <v>14900</v>
      </c>
      <c r="UUF1" s="3" t="s">
        <v>14901</v>
      </c>
      <c r="UUG1" s="3" t="s">
        <v>14902</v>
      </c>
      <c r="UUH1" s="3" t="s">
        <v>14903</v>
      </c>
      <c r="UUI1" s="3" t="s">
        <v>14904</v>
      </c>
      <c r="UUJ1" s="3" t="s">
        <v>14905</v>
      </c>
      <c r="UUK1" s="3" t="s">
        <v>14906</v>
      </c>
      <c r="UUL1" s="3" t="s">
        <v>14907</v>
      </c>
      <c r="UUM1" s="3" t="s">
        <v>14908</v>
      </c>
      <c r="UUN1" s="3" t="s">
        <v>14909</v>
      </c>
      <c r="UUO1" s="3" t="s">
        <v>14910</v>
      </c>
      <c r="UUP1" s="3" t="s">
        <v>14911</v>
      </c>
      <c r="UUQ1" s="3" t="s">
        <v>14912</v>
      </c>
      <c r="UUR1" s="3" t="s">
        <v>14913</v>
      </c>
      <c r="UUS1" s="3" t="s">
        <v>14914</v>
      </c>
      <c r="UUT1" s="3" t="s">
        <v>14915</v>
      </c>
      <c r="UUU1" s="3" t="s">
        <v>14916</v>
      </c>
      <c r="UUV1" s="3" t="s">
        <v>14917</v>
      </c>
      <c r="UUW1" s="3" t="s">
        <v>14918</v>
      </c>
      <c r="UUX1" s="3" t="s">
        <v>14919</v>
      </c>
      <c r="UUY1" s="3" t="s">
        <v>14920</v>
      </c>
      <c r="UUZ1" s="3" t="s">
        <v>14921</v>
      </c>
      <c r="UVA1" s="3" t="s">
        <v>14922</v>
      </c>
      <c r="UVB1" s="3" t="s">
        <v>14923</v>
      </c>
      <c r="UVC1" s="3" t="s">
        <v>14924</v>
      </c>
      <c r="UVD1" s="3" t="s">
        <v>14925</v>
      </c>
      <c r="UVE1" s="3" t="s">
        <v>14926</v>
      </c>
      <c r="UVF1" s="3" t="s">
        <v>14927</v>
      </c>
      <c r="UVG1" s="3" t="s">
        <v>14928</v>
      </c>
      <c r="UVH1" s="3" t="s">
        <v>14929</v>
      </c>
      <c r="UVI1" s="3" t="s">
        <v>14930</v>
      </c>
      <c r="UVJ1" s="3" t="s">
        <v>14931</v>
      </c>
      <c r="UVK1" s="3" t="s">
        <v>14932</v>
      </c>
      <c r="UVL1" s="3" t="s">
        <v>14933</v>
      </c>
      <c r="UVM1" s="3" t="s">
        <v>14934</v>
      </c>
      <c r="UVN1" s="3" t="s">
        <v>14935</v>
      </c>
      <c r="UVO1" s="3" t="s">
        <v>14936</v>
      </c>
      <c r="UVP1" s="3" t="s">
        <v>14937</v>
      </c>
      <c r="UVQ1" s="3" t="s">
        <v>14938</v>
      </c>
      <c r="UVR1" s="3" t="s">
        <v>14939</v>
      </c>
      <c r="UVS1" s="3" t="s">
        <v>14940</v>
      </c>
      <c r="UVT1" s="3" t="s">
        <v>14941</v>
      </c>
      <c r="UVU1" s="3" t="s">
        <v>14942</v>
      </c>
      <c r="UVV1" s="3" t="s">
        <v>14943</v>
      </c>
      <c r="UVW1" s="3" t="s">
        <v>14944</v>
      </c>
      <c r="UVX1" s="3" t="s">
        <v>14945</v>
      </c>
      <c r="UVY1" s="3" t="s">
        <v>14946</v>
      </c>
      <c r="UVZ1" s="3" t="s">
        <v>14947</v>
      </c>
      <c r="UWA1" s="3" t="s">
        <v>14948</v>
      </c>
      <c r="UWB1" s="3" t="s">
        <v>14949</v>
      </c>
      <c r="UWC1" s="3" t="s">
        <v>14950</v>
      </c>
      <c r="UWD1" s="3" t="s">
        <v>14951</v>
      </c>
      <c r="UWE1" s="3" t="s">
        <v>14952</v>
      </c>
      <c r="UWF1" s="3" t="s">
        <v>14953</v>
      </c>
      <c r="UWG1" s="3" t="s">
        <v>14954</v>
      </c>
      <c r="UWH1" s="3" t="s">
        <v>14955</v>
      </c>
      <c r="UWI1" s="3" t="s">
        <v>14956</v>
      </c>
      <c r="UWJ1" s="3" t="s">
        <v>14957</v>
      </c>
      <c r="UWK1" s="3" t="s">
        <v>14958</v>
      </c>
      <c r="UWL1" s="3" t="s">
        <v>14959</v>
      </c>
      <c r="UWM1" s="3" t="s">
        <v>14960</v>
      </c>
      <c r="UWN1" s="3" t="s">
        <v>14961</v>
      </c>
      <c r="UWO1" s="3" t="s">
        <v>14962</v>
      </c>
      <c r="UWP1" s="3" t="s">
        <v>14963</v>
      </c>
      <c r="UWQ1" s="3" t="s">
        <v>14964</v>
      </c>
      <c r="UWR1" s="3" t="s">
        <v>14965</v>
      </c>
      <c r="UWS1" s="3" t="s">
        <v>14966</v>
      </c>
      <c r="UWT1" s="3" t="s">
        <v>14967</v>
      </c>
      <c r="UWU1" s="3" t="s">
        <v>14968</v>
      </c>
      <c r="UWV1" s="3" t="s">
        <v>14969</v>
      </c>
      <c r="UWW1" s="3" t="s">
        <v>14970</v>
      </c>
      <c r="UWX1" s="3" t="s">
        <v>14971</v>
      </c>
      <c r="UWY1" s="3" t="s">
        <v>14972</v>
      </c>
      <c r="UWZ1" s="3" t="s">
        <v>14973</v>
      </c>
      <c r="UXA1" s="3" t="s">
        <v>14974</v>
      </c>
      <c r="UXB1" s="3" t="s">
        <v>14975</v>
      </c>
      <c r="UXC1" s="3" t="s">
        <v>14976</v>
      </c>
      <c r="UXD1" s="3" t="s">
        <v>14977</v>
      </c>
      <c r="UXE1" s="3" t="s">
        <v>14978</v>
      </c>
      <c r="UXF1" s="3" t="s">
        <v>14979</v>
      </c>
      <c r="UXG1" s="3" t="s">
        <v>14980</v>
      </c>
      <c r="UXH1" s="3" t="s">
        <v>14981</v>
      </c>
      <c r="UXI1" s="3" t="s">
        <v>14982</v>
      </c>
      <c r="UXJ1" s="3" t="s">
        <v>14983</v>
      </c>
      <c r="UXK1" s="3" t="s">
        <v>14984</v>
      </c>
      <c r="UXL1" s="3" t="s">
        <v>14985</v>
      </c>
      <c r="UXM1" s="3" t="s">
        <v>14986</v>
      </c>
      <c r="UXN1" s="3" t="s">
        <v>14987</v>
      </c>
      <c r="UXO1" s="3" t="s">
        <v>14988</v>
      </c>
      <c r="UXP1" s="3" t="s">
        <v>14989</v>
      </c>
      <c r="UXQ1" s="3" t="s">
        <v>14990</v>
      </c>
      <c r="UXR1" s="3" t="s">
        <v>14991</v>
      </c>
      <c r="UXS1" s="3" t="s">
        <v>14992</v>
      </c>
      <c r="UXT1" s="3" t="s">
        <v>14993</v>
      </c>
      <c r="UXU1" s="3" t="s">
        <v>14994</v>
      </c>
      <c r="UXV1" s="3" t="s">
        <v>14995</v>
      </c>
      <c r="UXW1" s="3" t="s">
        <v>14996</v>
      </c>
      <c r="UXX1" s="3" t="s">
        <v>14997</v>
      </c>
      <c r="UXY1" s="3" t="s">
        <v>14998</v>
      </c>
      <c r="UXZ1" s="3" t="s">
        <v>14999</v>
      </c>
      <c r="UYA1" s="3" t="s">
        <v>15000</v>
      </c>
      <c r="UYB1" s="3" t="s">
        <v>15001</v>
      </c>
      <c r="UYC1" s="3" t="s">
        <v>15002</v>
      </c>
      <c r="UYD1" s="3" t="s">
        <v>15003</v>
      </c>
      <c r="UYE1" s="3" t="s">
        <v>15004</v>
      </c>
      <c r="UYF1" s="3" t="s">
        <v>15005</v>
      </c>
      <c r="UYG1" s="3" t="s">
        <v>15006</v>
      </c>
      <c r="UYH1" s="3" t="s">
        <v>15007</v>
      </c>
      <c r="UYI1" s="3" t="s">
        <v>15008</v>
      </c>
      <c r="UYJ1" s="3" t="s">
        <v>15009</v>
      </c>
      <c r="UYK1" s="3" t="s">
        <v>15010</v>
      </c>
      <c r="UYL1" s="3" t="s">
        <v>15011</v>
      </c>
      <c r="UYM1" s="3" t="s">
        <v>15012</v>
      </c>
      <c r="UYN1" s="3" t="s">
        <v>15013</v>
      </c>
      <c r="UYO1" s="3" t="s">
        <v>15014</v>
      </c>
      <c r="UYP1" s="3" t="s">
        <v>15015</v>
      </c>
      <c r="UYQ1" s="3" t="s">
        <v>15016</v>
      </c>
      <c r="UYR1" s="3" t="s">
        <v>15017</v>
      </c>
      <c r="UYS1" s="3" t="s">
        <v>15018</v>
      </c>
      <c r="UYT1" s="3" t="s">
        <v>15019</v>
      </c>
      <c r="UYU1" s="3" t="s">
        <v>15020</v>
      </c>
      <c r="UYV1" s="3" t="s">
        <v>15021</v>
      </c>
      <c r="UYW1" s="3" t="s">
        <v>15022</v>
      </c>
      <c r="UYX1" s="3" t="s">
        <v>15023</v>
      </c>
      <c r="UYY1" s="3" t="s">
        <v>15024</v>
      </c>
      <c r="UYZ1" s="3" t="s">
        <v>15025</v>
      </c>
      <c r="UZA1" s="3" t="s">
        <v>15026</v>
      </c>
      <c r="UZB1" s="3" t="s">
        <v>15027</v>
      </c>
      <c r="UZC1" s="3" t="s">
        <v>15028</v>
      </c>
      <c r="UZD1" s="3" t="s">
        <v>15029</v>
      </c>
      <c r="UZE1" s="3" t="s">
        <v>15030</v>
      </c>
      <c r="UZF1" s="3" t="s">
        <v>15031</v>
      </c>
      <c r="UZG1" s="3" t="s">
        <v>15032</v>
      </c>
      <c r="UZH1" s="3" t="s">
        <v>15033</v>
      </c>
      <c r="UZI1" s="3" t="s">
        <v>15034</v>
      </c>
      <c r="UZJ1" s="3" t="s">
        <v>15035</v>
      </c>
      <c r="UZK1" s="3" t="s">
        <v>15036</v>
      </c>
      <c r="UZL1" s="3" t="s">
        <v>15037</v>
      </c>
      <c r="UZM1" s="3" t="s">
        <v>15038</v>
      </c>
      <c r="UZN1" s="3" t="s">
        <v>15039</v>
      </c>
      <c r="UZO1" s="3" t="s">
        <v>15040</v>
      </c>
      <c r="UZP1" s="3" t="s">
        <v>15041</v>
      </c>
      <c r="UZQ1" s="3" t="s">
        <v>15042</v>
      </c>
      <c r="UZR1" s="3" t="s">
        <v>15043</v>
      </c>
      <c r="UZS1" s="3" t="s">
        <v>15044</v>
      </c>
      <c r="UZT1" s="3" t="s">
        <v>15045</v>
      </c>
      <c r="UZU1" s="3" t="s">
        <v>15046</v>
      </c>
      <c r="UZV1" s="3" t="s">
        <v>15047</v>
      </c>
      <c r="UZW1" s="3" t="s">
        <v>15048</v>
      </c>
      <c r="UZX1" s="3" t="s">
        <v>15049</v>
      </c>
      <c r="UZY1" s="3" t="s">
        <v>15050</v>
      </c>
      <c r="UZZ1" s="3" t="s">
        <v>15051</v>
      </c>
      <c r="VAA1" s="3" t="s">
        <v>15052</v>
      </c>
      <c r="VAB1" s="3" t="s">
        <v>15053</v>
      </c>
      <c r="VAC1" s="3" t="s">
        <v>15054</v>
      </c>
      <c r="VAD1" s="3" t="s">
        <v>15055</v>
      </c>
      <c r="VAE1" s="3" t="s">
        <v>15056</v>
      </c>
      <c r="VAF1" s="3" t="s">
        <v>15057</v>
      </c>
      <c r="VAG1" s="3" t="s">
        <v>15058</v>
      </c>
      <c r="VAH1" s="3" t="s">
        <v>15059</v>
      </c>
      <c r="VAI1" s="3" t="s">
        <v>15060</v>
      </c>
      <c r="VAJ1" s="3" t="s">
        <v>15061</v>
      </c>
      <c r="VAK1" s="3" t="s">
        <v>15062</v>
      </c>
      <c r="VAL1" s="3" t="s">
        <v>15063</v>
      </c>
      <c r="VAM1" s="3" t="s">
        <v>15064</v>
      </c>
      <c r="VAN1" s="3" t="s">
        <v>15065</v>
      </c>
      <c r="VAO1" s="3" t="s">
        <v>15066</v>
      </c>
      <c r="VAP1" s="3" t="s">
        <v>15067</v>
      </c>
      <c r="VAQ1" s="3" t="s">
        <v>15068</v>
      </c>
      <c r="VAR1" s="3" t="s">
        <v>15069</v>
      </c>
      <c r="VAS1" s="3" t="s">
        <v>15070</v>
      </c>
      <c r="VAT1" s="3" t="s">
        <v>15071</v>
      </c>
      <c r="VAU1" s="3" t="s">
        <v>15072</v>
      </c>
      <c r="VAV1" s="3" t="s">
        <v>15073</v>
      </c>
      <c r="VAW1" s="3" t="s">
        <v>15074</v>
      </c>
      <c r="VAX1" s="3" t="s">
        <v>15075</v>
      </c>
      <c r="VAY1" s="3" t="s">
        <v>15076</v>
      </c>
      <c r="VAZ1" s="3" t="s">
        <v>15077</v>
      </c>
      <c r="VBA1" s="3" t="s">
        <v>15078</v>
      </c>
      <c r="VBB1" s="3" t="s">
        <v>15079</v>
      </c>
      <c r="VBC1" s="3" t="s">
        <v>15080</v>
      </c>
      <c r="VBD1" s="3" t="s">
        <v>15081</v>
      </c>
      <c r="VBE1" s="3" t="s">
        <v>15082</v>
      </c>
      <c r="VBF1" s="3" t="s">
        <v>15083</v>
      </c>
      <c r="VBG1" s="3" t="s">
        <v>15084</v>
      </c>
      <c r="VBH1" s="3" t="s">
        <v>15085</v>
      </c>
      <c r="VBI1" s="3" t="s">
        <v>15086</v>
      </c>
      <c r="VBJ1" s="3" t="s">
        <v>15087</v>
      </c>
      <c r="VBK1" s="3" t="s">
        <v>15088</v>
      </c>
      <c r="VBL1" s="3" t="s">
        <v>15089</v>
      </c>
      <c r="VBM1" s="3" t="s">
        <v>15090</v>
      </c>
      <c r="VBN1" s="3" t="s">
        <v>15091</v>
      </c>
      <c r="VBO1" s="3" t="s">
        <v>15092</v>
      </c>
      <c r="VBP1" s="3" t="s">
        <v>15093</v>
      </c>
      <c r="VBQ1" s="3" t="s">
        <v>15094</v>
      </c>
      <c r="VBR1" s="3" t="s">
        <v>15095</v>
      </c>
      <c r="VBS1" s="3" t="s">
        <v>15096</v>
      </c>
      <c r="VBT1" s="3" t="s">
        <v>15097</v>
      </c>
      <c r="VBU1" s="3" t="s">
        <v>15098</v>
      </c>
      <c r="VBV1" s="3" t="s">
        <v>15099</v>
      </c>
      <c r="VBW1" s="3" t="s">
        <v>15100</v>
      </c>
      <c r="VBX1" s="3" t="s">
        <v>15101</v>
      </c>
      <c r="VBY1" s="3" t="s">
        <v>15102</v>
      </c>
      <c r="VBZ1" s="3" t="s">
        <v>15103</v>
      </c>
      <c r="VCA1" s="3" t="s">
        <v>15104</v>
      </c>
      <c r="VCB1" s="3" t="s">
        <v>15105</v>
      </c>
      <c r="VCC1" s="3" t="s">
        <v>15106</v>
      </c>
      <c r="VCD1" s="3" t="s">
        <v>15107</v>
      </c>
      <c r="VCE1" s="3" t="s">
        <v>15108</v>
      </c>
      <c r="VCF1" s="3" t="s">
        <v>15109</v>
      </c>
      <c r="VCG1" s="3" t="s">
        <v>15110</v>
      </c>
      <c r="VCH1" s="3" t="s">
        <v>15111</v>
      </c>
      <c r="VCI1" s="3" t="s">
        <v>15112</v>
      </c>
      <c r="VCJ1" s="3" t="s">
        <v>15113</v>
      </c>
      <c r="VCK1" s="3" t="s">
        <v>15114</v>
      </c>
      <c r="VCL1" s="3" t="s">
        <v>15115</v>
      </c>
      <c r="VCM1" s="3" t="s">
        <v>15116</v>
      </c>
      <c r="VCN1" s="3" t="s">
        <v>15117</v>
      </c>
      <c r="VCO1" s="3" t="s">
        <v>15118</v>
      </c>
      <c r="VCP1" s="3" t="s">
        <v>15119</v>
      </c>
      <c r="VCQ1" s="3" t="s">
        <v>15120</v>
      </c>
      <c r="VCR1" s="3" t="s">
        <v>15121</v>
      </c>
      <c r="VCS1" s="3" t="s">
        <v>15122</v>
      </c>
      <c r="VCT1" s="3" t="s">
        <v>15123</v>
      </c>
      <c r="VCU1" s="3" t="s">
        <v>15124</v>
      </c>
      <c r="VCV1" s="3" t="s">
        <v>15125</v>
      </c>
      <c r="VCW1" s="3" t="s">
        <v>15126</v>
      </c>
      <c r="VCX1" s="3" t="s">
        <v>15127</v>
      </c>
      <c r="VCY1" s="3" t="s">
        <v>15128</v>
      </c>
      <c r="VCZ1" s="3" t="s">
        <v>15129</v>
      </c>
      <c r="VDA1" s="3" t="s">
        <v>15130</v>
      </c>
      <c r="VDB1" s="3" t="s">
        <v>15131</v>
      </c>
      <c r="VDC1" s="3" t="s">
        <v>15132</v>
      </c>
      <c r="VDD1" s="3" t="s">
        <v>15133</v>
      </c>
      <c r="VDE1" s="3" t="s">
        <v>15134</v>
      </c>
      <c r="VDF1" s="3" t="s">
        <v>15135</v>
      </c>
      <c r="VDG1" s="3" t="s">
        <v>15136</v>
      </c>
      <c r="VDH1" s="3" t="s">
        <v>15137</v>
      </c>
      <c r="VDI1" s="3" t="s">
        <v>15138</v>
      </c>
      <c r="VDJ1" s="3" t="s">
        <v>15139</v>
      </c>
      <c r="VDK1" s="3" t="s">
        <v>15140</v>
      </c>
      <c r="VDL1" s="3" t="s">
        <v>15141</v>
      </c>
      <c r="VDM1" s="3" t="s">
        <v>15142</v>
      </c>
      <c r="VDN1" s="3" t="s">
        <v>15143</v>
      </c>
      <c r="VDO1" s="3" t="s">
        <v>15144</v>
      </c>
      <c r="VDP1" s="3" t="s">
        <v>15145</v>
      </c>
      <c r="VDQ1" s="3" t="s">
        <v>15146</v>
      </c>
      <c r="VDR1" s="3" t="s">
        <v>15147</v>
      </c>
      <c r="VDS1" s="3" t="s">
        <v>15148</v>
      </c>
      <c r="VDT1" s="3" t="s">
        <v>15149</v>
      </c>
      <c r="VDU1" s="3" t="s">
        <v>15150</v>
      </c>
      <c r="VDV1" s="3" t="s">
        <v>15151</v>
      </c>
      <c r="VDW1" s="3" t="s">
        <v>15152</v>
      </c>
      <c r="VDX1" s="3" t="s">
        <v>15153</v>
      </c>
      <c r="VDY1" s="3" t="s">
        <v>15154</v>
      </c>
      <c r="VDZ1" s="3" t="s">
        <v>15155</v>
      </c>
      <c r="VEA1" s="3" t="s">
        <v>15156</v>
      </c>
      <c r="VEB1" s="3" t="s">
        <v>15157</v>
      </c>
      <c r="VEC1" s="3" t="s">
        <v>15158</v>
      </c>
      <c r="VED1" s="3" t="s">
        <v>15159</v>
      </c>
      <c r="VEE1" s="3" t="s">
        <v>15160</v>
      </c>
      <c r="VEF1" s="3" t="s">
        <v>15161</v>
      </c>
      <c r="VEG1" s="3" t="s">
        <v>15162</v>
      </c>
      <c r="VEH1" s="3" t="s">
        <v>15163</v>
      </c>
      <c r="VEI1" s="3" t="s">
        <v>15164</v>
      </c>
      <c r="VEJ1" s="3" t="s">
        <v>15165</v>
      </c>
      <c r="VEK1" s="3" t="s">
        <v>15166</v>
      </c>
      <c r="VEL1" s="3" t="s">
        <v>15167</v>
      </c>
      <c r="VEM1" s="3" t="s">
        <v>15168</v>
      </c>
      <c r="VEN1" s="3" t="s">
        <v>15169</v>
      </c>
      <c r="VEO1" s="3" t="s">
        <v>15170</v>
      </c>
      <c r="VEP1" s="3" t="s">
        <v>15171</v>
      </c>
      <c r="VEQ1" s="3" t="s">
        <v>15172</v>
      </c>
      <c r="VER1" s="3" t="s">
        <v>15173</v>
      </c>
      <c r="VES1" s="3" t="s">
        <v>15174</v>
      </c>
      <c r="VET1" s="3" t="s">
        <v>15175</v>
      </c>
      <c r="VEU1" s="3" t="s">
        <v>15176</v>
      </c>
      <c r="VEV1" s="3" t="s">
        <v>15177</v>
      </c>
      <c r="VEW1" s="3" t="s">
        <v>15178</v>
      </c>
      <c r="VEX1" s="3" t="s">
        <v>15179</v>
      </c>
      <c r="VEY1" s="3" t="s">
        <v>15180</v>
      </c>
      <c r="VEZ1" s="3" t="s">
        <v>15181</v>
      </c>
      <c r="VFA1" s="3" t="s">
        <v>15182</v>
      </c>
      <c r="VFB1" s="3" t="s">
        <v>15183</v>
      </c>
      <c r="VFC1" s="3" t="s">
        <v>15184</v>
      </c>
      <c r="VFD1" s="3" t="s">
        <v>15185</v>
      </c>
      <c r="VFE1" s="3" t="s">
        <v>15186</v>
      </c>
      <c r="VFF1" s="3" t="s">
        <v>15187</v>
      </c>
      <c r="VFG1" s="3" t="s">
        <v>15188</v>
      </c>
      <c r="VFH1" s="3" t="s">
        <v>15189</v>
      </c>
      <c r="VFI1" s="3" t="s">
        <v>15190</v>
      </c>
      <c r="VFJ1" s="3" t="s">
        <v>15191</v>
      </c>
      <c r="VFK1" s="3" t="s">
        <v>15192</v>
      </c>
      <c r="VFL1" s="3" t="s">
        <v>15193</v>
      </c>
      <c r="VFM1" s="3" t="s">
        <v>15194</v>
      </c>
      <c r="VFN1" s="3" t="s">
        <v>15195</v>
      </c>
      <c r="VFO1" s="3" t="s">
        <v>15196</v>
      </c>
      <c r="VFP1" s="3" t="s">
        <v>15197</v>
      </c>
      <c r="VFQ1" s="3" t="s">
        <v>15198</v>
      </c>
      <c r="VFR1" s="3" t="s">
        <v>15199</v>
      </c>
      <c r="VFS1" s="3" t="s">
        <v>15200</v>
      </c>
      <c r="VFT1" s="3" t="s">
        <v>15201</v>
      </c>
      <c r="VFU1" s="3" t="s">
        <v>15202</v>
      </c>
      <c r="VFV1" s="3" t="s">
        <v>15203</v>
      </c>
      <c r="VFW1" s="3" t="s">
        <v>15204</v>
      </c>
      <c r="VFX1" s="3" t="s">
        <v>15205</v>
      </c>
      <c r="VFY1" s="3" t="s">
        <v>15206</v>
      </c>
      <c r="VFZ1" s="3" t="s">
        <v>15207</v>
      </c>
      <c r="VGA1" s="3" t="s">
        <v>15208</v>
      </c>
      <c r="VGB1" s="3" t="s">
        <v>15209</v>
      </c>
      <c r="VGC1" s="3" t="s">
        <v>15210</v>
      </c>
      <c r="VGD1" s="3" t="s">
        <v>15211</v>
      </c>
      <c r="VGE1" s="3" t="s">
        <v>15212</v>
      </c>
      <c r="VGF1" s="3" t="s">
        <v>15213</v>
      </c>
      <c r="VGG1" s="3" t="s">
        <v>15214</v>
      </c>
      <c r="VGH1" s="3" t="s">
        <v>15215</v>
      </c>
      <c r="VGI1" s="3" t="s">
        <v>15216</v>
      </c>
      <c r="VGJ1" s="3" t="s">
        <v>15217</v>
      </c>
      <c r="VGK1" s="3" t="s">
        <v>15218</v>
      </c>
      <c r="VGL1" s="3" t="s">
        <v>15219</v>
      </c>
      <c r="VGM1" s="3" t="s">
        <v>15220</v>
      </c>
      <c r="VGN1" s="3" t="s">
        <v>15221</v>
      </c>
      <c r="VGO1" s="3" t="s">
        <v>15222</v>
      </c>
      <c r="VGP1" s="3" t="s">
        <v>15223</v>
      </c>
      <c r="VGQ1" s="3" t="s">
        <v>15224</v>
      </c>
      <c r="VGR1" s="3" t="s">
        <v>15225</v>
      </c>
      <c r="VGS1" s="3" t="s">
        <v>15226</v>
      </c>
      <c r="VGT1" s="3" t="s">
        <v>15227</v>
      </c>
      <c r="VGU1" s="3" t="s">
        <v>15228</v>
      </c>
      <c r="VGV1" s="3" t="s">
        <v>15229</v>
      </c>
      <c r="VGW1" s="3" t="s">
        <v>15230</v>
      </c>
      <c r="VGX1" s="3" t="s">
        <v>15231</v>
      </c>
      <c r="VGY1" s="3" t="s">
        <v>15232</v>
      </c>
      <c r="VGZ1" s="3" t="s">
        <v>15233</v>
      </c>
      <c r="VHA1" s="3" t="s">
        <v>15234</v>
      </c>
      <c r="VHB1" s="3" t="s">
        <v>15235</v>
      </c>
      <c r="VHC1" s="3" t="s">
        <v>15236</v>
      </c>
      <c r="VHD1" s="3" t="s">
        <v>15237</v>
      </c>
      <c r="VHE1" s="3" t="s">
        <v>15238</v>
      </c>
      <c r="VHF1" s="3" t="s">
        <v>15239</v>
      </c>
      <c r="VHG1" s="3" t="s">
        <v>15240</v>
      </c>
      <c r="VHH1" s="3" t="s">
        <v>15241</v>
      </c>
      <c r="VHI1" s="3" t="s">
        <v>15242</v>
      </c>
      <c r="VHJ1" s="3" t="s">
        <v>15243</v>
      </c>
      <c r="VHK1" s="3" t="s">
        <v>15244</v>
      </c>
      <c r="VHL1" s="3" t="s">
        <v>15245</v>
      </c>
      <c r="VHM1" s="3" t="s">
        <v>15246</v>
      </c>
      <c r="VHN1" s="3" t="s">
        <v>15247</v>
      </c>
      <c r="VHO1" s="3" t="s">
        <v>15248</v>
      </c>
      <c r="VHP1" s="3" t="s">
        <v>15249</v>
      </c>
      <c r="VHQ1" s="3" t="s">
        <v>15250</v>
      </c>
      <c r="VHR1" s="3" t="s">
        <v>15251</v>
      </c>
      <c r="VHS1" s="3" t="s">
        <v>15252</v>
      </c>
      <c r="VHT1" s="3" t="s">
        <v>15253</v>
      </c>
      <c r="VHU1" s="3" t="s">
        <v>15254</v>
      </c>
      <c r="VHV1" s="3" t="s">
        <v>15255</v>
      </c>
      <c r="VHW1" s="3" t="s">
        <v>15256</v>
      </c>
      <c r="VHX1" s="3" t="s">
        <v>15257</v>
      </c>
      <c r="VHY1" s="3" t="s">
        <v>15258</v>
      </c>
      <c r="VHZ1" s="3" t="s">
        <v>15259</v>
      </c>
      <c r="VIA1" s="3" t="s">
        <v>15260</v>
      </c>
      <c r="VIB1" s="3" t="s">
        <v>15261</v>
      </c>
      <c r="VIC1" s="3" t="s">
        <v>15262</v>
      </c>
      <c r="VID1" s="3" t="s">
        <v>15263</v>
      </c>
      <c r="VIE1" s="3" t="s">
        <v>15264</v>
      </c>
      <c r="VIF1" s="3" t="s">
        <v>15265</v>
      </c>
      <c r="VIG1" s="3" t="s">
        <v>15266</v>
      </c>
      <c r="VIH1" s="3" t="s">
        <v>15267</v>
      </c>
      <c r="VII1" s="3" t="s">
        <v>15268</v>
      </c>
      <c r="VIJ1" s="3" t="s">
        <v>15269</v>
      </c>
      <c r="VIK1" s="3" t="s">
        <v>15270</v>
      </c>
      <c r="VIL1" s="3" t="s">
        <v>15271</v>
      </c>
      <c r="VIM1" s="3" t="s">
        <v>15272</v>
      </c>
      <c r="VIN1" s="3" t="s">
        <v>15273</v>
      </c>
      <c r="VIO1" s="3" t="s">
        <v>15274</v>
      </c>
      <c r="VIP1" s="3" t="s">
        <v>15275</v>
      </c>
      <c r="VIQ1" s="3" t="s">
        <v>15276</v>
      </c>
      <c r="VIR1" s="3" t="s">
        <v>15277</v>
      </c>
      <c r="VIS1" s="3" t="s">
        <v>15278</v>
      </c>
      <c r="VIT1" s="3" t="s">
        <v>15279</v>
      </c>
      <c r="VIU1" s="3" t="s">
        <v>15280</v>
      </c>
      <c r="VIV1" s="3" t="s">
        <v>15281</v>
      </c>
      <c r="VIW1" s="3" t="s">
        <v>15282</v>
      </c>
      <c r="VIX1" s="3" t="s">
        <v>15283</v>
      </c>
      <c r="VIY1" s="3" t="s">
        <v>15284</v>
      </c>
      <c r="VIZ1" s="3" t="s">
        <v>15285</v>
      </c>
      <c r="VJA1" s="3" t="s">
        <v>15286</v>
      </c>
      <c r="VJB1" s="3" t="s">
        <v>15287</v>
      </c>
      <c r="VJC1" s="3" t="s">
        <v>15288</v>
      </c>
      <c r="VJD1" s="3" t="s">
        <v>15289</v>
      </c>
      <c r="VJE1" s="3" t="s">
        <v>15290</v>
      </c>
      <c r="VJF1" s="3" t="s">
        <v>15291</v>
      </c>
      <c r="VJG1" s="3" t="s">
        <v>15292</v>
      </c>
      <c r="VJH1" s="3" t="s">
        <v>15293</v>
      </c>
      <c r="VJI1" s="3" t="s">
        <v>15294</v>
      </c>
      <c r="VJJ1" s="3" t="s">
        <v>15295</v>
      </c>
      <c r="VJK1" s="3" t="s">
        <v>15296</v>
      </c>
      <c r="VJL1" s="3" t="s">
        <v>15297</v>
      </c>
      <c r="VJM1" s="3" t="s">
        <v>15298</v>
      </c>
      <c r="VJN1" s="3" t="s">
        <v>15299</v>
      </c>
      <c r="VJO1" s="3" t="s">
        <v>15300</v>
      </c>
      <c r="VJP1" s="3" t="s">
        <v>15301</v>
      </c>
      <c r="VJQ1" s="3" t="s">
        <v>15302</v>
      </c>
      <c r="VJR1" s="3" t="s">
        <v>15303</v>
      </c>
      <c r="VJS1" s="3" t="s">
        <v>15304</v>
      </c>
      <c r="VJT1" s="3" t="s">
        <v>15305</v>
      </c>
      <c r="VJU1" s="3" t="s">
        <v>15306</v>
      </c>
      <c r="VJV1" s="3" t="s">
        <v>15307</v>
      </c>
      <c r="VJW1" s="3" t="s">
        <v>15308</v>
      </c>
      <c r="VJX1" s="3" t="s">
        <v>15309</v>
      </c>
      <c r="VJY1" s="3" t="s">
        <v>15310</v>
      </c>
      <c r="VJZ1" s="3" t="s">
        <v>15311</v>
      </c>
      <c r="VKA1" s="3" t="s">
        <v>15312</v>
      </c>
      <c r="VKB1" s="3" t="s">
        <v>15313</v>
      </c>
      <c r="VKC1" s="3" t="s">
        <v>15314</v>
      </c>
      <c r="VKD1" s="3" t="s">
        <v>15315</v>
      </c>
      <c r="VKE1" s="3" t="s">
        <v>15316</v>
      </c>
      <c r="VKF1" s="3" t="s">
        <v>15317</v>
      </c>
      <c r="VKG1" s="3" t="s">
        <v>15318</v>
      </c>
      <c r="VKH1" s="3" t="s">
        <v>15319</v>
      </c>
      <c r="VKI1" s="3" t="s">
        <v>15320</v>
      </c>
      <c r="VKJ1" s="3" t="s">
        <v>15321</v>
      </c>
      <c r="VKK1" s="3" t="s">
        <v>15322</v>
      </c>
      <c r="VKL1" s="3" t="s">
        <v>15323</v>
      </c>
      <c r="VKM1" s="3" t="s">
        <v>15324</v>
      </c>
      <c r="VKN1" s="3" t="s">
        <v>15325</v>
      </c>
      <c r="VKO1" s="3" t="s">
        <v>15326</v>
      </c>
      <c r="VKP1" s="3" t="s">
        <v>15327</v>
      </c>
      <c r="VKQ1" s="3" t="s">
        <v>15328</v>
      </c>
      <c r="VKR1" s="3" t="s">
        <v>15329</v>
      </c>
      <c r="VKS1" s="3" t="s">
        <v>15330</v>
      </c>
      <c r="VKT1" s="3" t="s">
        <v>15331</v>
      </c>
      <c r="VKU1" s="3" t="s">
        <v>15332</v>
      </c>
      <c r="VKV1" s="3" t="s">
        <v>15333</v>
      </c>
      <c r="VKW1" s="3" t="s">
        <v>15334</v>
      </c>
      <c r="VKX1" s="3" t="s">
        <v>15335</v>
      </c>
      <c r="VKY1" s="3" t="s">
        <v>15336</v>
      </c>
      <c r="VKZ1" s="3" t="s">
        <v>15337</v>
      </c>
      <c r="VLA1" s="3" t="s">
        <v>15338</v>
      </c>
      <c r="VLB1" s="3" t="s">
        <v>15339</v>
      </c>
      <c r="VLC1" s="3" t="s">
        <v>15340</v>
      </c>
      <c r="VLD1" s="3" t="s">
        <v>15341</v>
      </c>
      <c r="VLE1" s="3" t="s">
        <v>15342</v>
      </c>
      <c r="VLF1" s="3" t="s">
        <v>15343</v>
      </c>
      <c r="VLG1" s="3" t="s">
        <v>15344</v>
      </c>
      <c r="VLH1" s="3" t="s">
        <v>15345</v>
      </c>
      <c r="VLI1" s="3" t="s">
        <v>15346</v>
      </c>
      <c r="VLJ1" s="3" t="s">
        <v>15347</v>
      </c>
      <c r="VLK1" s="3" t="s">
        <v>15348</v>
      </c>
      <c r="VLL1" s="3" t="s">
        <v>15349</v>
      </c>
      <c r="VLM1" s="3" t="s">
        <v>15350</v>
      </c>
      <c r="VLN1" s="3" t="s">
        <v>15351</v>
      </c>
      <c r="VLO1" s="3" t="s">
        <v>15352</v>
      </c>
      <c r="VLP1" s="3" t="s">
        <v>15353</v>
      </c>
      <c r="VLQ1" s="3" t="s">
        <v>15354</v>
      </c>
      <c r="VLR1" s="3" t="s">
        <v>15355</v>
      </c>
      <c r="VLS1" s="3" t="s">
        <v>15356</v>
      </c>
      <c r="VLT1" s="3" t="s">
        <v>15357</v>
      </c>
      <c r="VLU1" s="3" t="s">
        <v>15358</v>
      </c>
      <c r="VLV1" s="3" t="s">
        <v>15359</v>
      </c>
      <c r="VLW1" s="3" t="s">
        <v>15360</v>
      </c>
      <c r="VLX1" s="3" t="s">
        <v>15361</v>
      </c>
      <c r="VLY1" s="3" t="s">
        <v>15362</v>
      </c>
      <c r="VLZ1" s="3" t="s">
        <v>15363</v>
      </c>
      <c r="VMA1" s="3" t="s">
        <v>15364</v>
      </c>
      <c r="VMB1" s="3" t="s">
        <v>15365</v>
      </c>
      <c r="VMC1" s="3" t="s">
        <v>15366</v>
      </c>
      <c r="VMD1" s="3" t="s">
        <v>15367</v>
      </c>
      <c r="VME1" s="3" t="s">
        <v>15368</v>
      </c>
      <c r="VMF1" s="3" t="s">
        <v>15369</v>
      </c>
      <c r="VMG1" s="3" t="s">
        <v>15370</v>
      </c>
      <c r="VMH1" s="3" t="s">
        <v>15371</v>
      </c>
      <c r="VMI1" s="3" t="s">
        <v>15372</v>
      </c>
      <c r="VMJ1" s="3" t="s">
        <v>15373</v>
      </c>
      <c r="VMK1" s="3" t="s">
        <v>15374</v>
      </c>
      <c r="VML1" s="3" t="s">
        <v>15375</v>
      </c>
      <c r="VMM1" s="3" t="s">
        <v>15376</v>
      </c>
      <c r="VMN1" s="3" t="s">
        <v>15377</v>
      </c>
      <c r="VMO1" s="3" t="s">
        <v>15378</v>
      </c>
      <c r="VMP1" s="3" t="s">
        <v>15379</v>
      </c>
      <c r="VMQ1" s="3" t="s">
        <v>15380</v>
      </c>
      <c r="VMR1" s="3" t="s">
        <v>15381</v>
      </c>
      <c r="VMS1" s="3" t="s">
        <v>15382</v>
      </c>
      <c r="VMT1" s="3" t="s">
        <v>15383</v>
      </c>
      <c r="VMU1" s="3" t="s">
        <v>15384</v>
      </c>
      <c r="VMV1" s="3" t="s">
        <v>15385</v>
      </c>
      <c r="VMW1" s="3" t="s">
        <v>15386</v>
      </c>
      <c r="VMX1" s="3" t="s">
        <v>15387</v>
      </c>
      <c r="VMY1" s="3" t="s">
        <v>15388</v>
      </c>
      <c r="VMZ1" s="3" t="s">
        <v>15389</v>
      </c>
      <c r="VNA1" s="3" t="s">
        <v>15390</v>
      </c>
      <c r="VNB1" s="3" t="s">
        <v>15391</v>
      </c>
      <c r="VNC1" s="3" t="s">
        <v>15392</v>
      </c>
      <c r="VND1" s="3" t="s">
        <v>15393</v>
      </c>
      <c r="VNE1" s="3" t="s">
        <v>15394</v>
      </c>
      <c r="VNF1" s="3" t="s">
        <v>15395</v>
      </c>
      <c r="VNG1" s="3" t="s">
        <v>15396</v>
      </c>
      <c r="VNH1" s="3" t="s">
        <v>15397</v>
      </c>
      <c r="VNI1" s="3" t="s">
        <v>15398</v>
      </c>
      <c r="VNJ1" s="3" t="s">
        <v>15399</v>
      </c>
      <c r="VNK1" s="3" t="s">
        <v>15400</v>
      </c>
      <c r="VNL1" s="3" t="s">
        <v>15401</v>
      </c>
      <c r="VNM1" s="3" t="s">
        <v>15402</v>
      </c>
      <c r="VNN1" s="3" t="s">
        <v>15403</v>
      </c>
      <c r="VNO1" s="3" t="s">
        <v>15404</v>
      </c>
      <c r="VNP1" s="3" t="s">
        <v>15405</v>
      </c>
      <c r="VNQ1" s="3" t="s">
        <v>15406</v>
      </c>
      <c r="VNR1" s="3" t="s">
        <v>15407</v>
      </c>
      <c r="VNS1" s="3" t="s">
        <v>15408</v>
      </c>
      <c r="VNT1" s="3" t="s">
        <v>15409</v>
      </c>
      <c r="VNU1" s="3" t="s">
        <v>15410</v>
      </c>
      <c r="VNV1" s="3" t="s">
        <v>15411</v>
      </c>
      <c r="VNW1" s="3" t="s">
        <v>15412</v>
      </c>
      <c r="VNX1" s="3" t="s">
        <v>15413</v>
      </c>
      <c r="VNY1" s="3" t="s">
        <v>15414</v>
      </c>
      <c r="VNZ1" s="3" t="s">
        <v>15415</v>
      </c>
      <c r="VOA1" s="3" t="s">
        <v>15416</v>
      </c>
      <c r="VOB1" s="3" t="s">
        <v>15417</v>
      </c>
      <c r="VOC1" s="3" t="s">
        <v>15418</v>
      </c>
      <c r="VOD1" s="3" t="s">
        <v>15419</v>
      </c>
      <c r="VOE1" s="3" t="s">
        <v>15420</v>
      </c>
      <c r="VOF1" s="3" t="s">
        <v>15421</v>
      </c>
      <c r="VOG1" s="3" t="s">
        <v>15422</v>
      </c>
      <c r="VOH1" s="3" t="s">
        <v>15423</v>
      </c>
      <c r="VOI1" s="3" t="s">
        <v>15424</v>
      </c>
      <c r="VOJ1" s="3" t="s">
        <v>15425</v>
      </c>
      <c r="VOK1" s="3" t="s">
        <v>15426</v>
      </c>
      <c r="VOL1" s="3" t="s">
        <v>15427</v>
      </c>
      <c r="VOM1" s="3" t="s">
        <v>15428</v>
      </c>
      <c r="VON1" s="3" t="s">
        <v>15429</v>
      </c>
      <c r="VOO1" s="3" t="s">
        <v>15430</v>
      </c>
      <c r="VOP1" s="3" t="s">
        <v>15431</v>
      </c>
      <c r="VOQ1" s="3" t="s">
        <v>15432</v>
      </c>
      <c r="VOR1" s="3" t="s">
        <v>15433</v>
      </c>
      <c r="VOS1" s="3" t="s">
        <v>15434</v>
      </c>
      <c r="VOT1" s="3" t="s">
        <v>15435</v>
      </c>
      <c r="VOU1" s="3" t="s">
        <v>15436</v>
      </c>
      <c r="VOV1" s="3" t="s">
        <v>15437</v>
      </c>
      <c r="VOW1" s="3" t="s">
        <v>15438</v>
      </c>
      <c r="VOX1" s="3" t="s">
        <v>15439</v>
      </c>
      <c r="VOY1" s="3" t="s">
        <v>15440</v>
      </c>
      <c r="VOZ1" s="3" t="s">
        <v>15441</v>
      </c>
      <c r="VPA1" s="3" t="s">
        <v>15442</v>
      </c>
      <c r="VPB1" s="3" t="s">
        <v>15443</v>
      </c>
      <c r="VPC1" s="3" t="s">
        <v>15444</v>
      </c>
      <c r="VPD1" s="3" t="s">
        <v>15445</v>
      </c>
      <c r="VPE1" s="3" t="s">
        <v>15446</v>
      </c>
      <c r="VPF1" s="3" t="s">
        <v>15447</v>
      </c>
      <c r="VPG1" s="3" t="s">
        <v>15448</v>
      </c>
      <c r="VPH1" s="3" t="s">
        <v>15449</v>
      </c>
      <c r="VPI1" s="3" t="s">
        <v>15450</v>
      </c>
      <c r="VPJ1" s="3" t="s">
        <v>15451</v>
      </c>
      <c r="VPK1" s="3" t="s">
        <v>15452</v>
      </c>
      <c r="VPL1" s="3" t="s">
        <v>15453</v>
      </c>
      <c r="VPM1" s="3" t="s">
        <v>15454</v>
      </c>
      <c r="VPN1" s="3" t="s">
        <v>15455</v>
      </c>
      <c r="VPO1" s="3" t="s">
        <v>15456</v>
      </c>
      <c r="VPP1" s="3" t="s">
        <v>15457</v>
      </c>
      <c r="VPQ1" s="3" t="s">
        <v>15458</v>
      </c>
      <c r="VPR1" s="3" t="s">
        <v>15459</v>
      </c>
      <c r="VPS1" s="3" t="s">
        <v>15460</v>
      </c>
      <c r="VPT1" s="3" t="s">
        <v>15461</v>
      </c>
      <c r="VPU1" s="3" t="s">
        <v>15462</v>
      </c>
      <c r="VPV1" s="3" t="s">
        <v>15463</v>
      </c>
      <c r="VPW1" s="3" t="s">
        <v>15464</v>
      </c>
      <c r="VPX1" s="3" t="s">
        <v>15465</v>
      </c>
      <c r="VPY1" s="3" t="s">
        <v>15466</v>
      </c>
      <c r="VPZ1" s="3" t="s">
        <v>15467</v>
      </c>
      <c r="VQA1" s="3" t="s">
        <v>15468</v>
      </c>
      <c r="VQB1" s="3" t="s">
        <v>15469</v>
      </c>
      <c r="VQC1" s="3" t="s">
        <v>15470</v>
      </c>
      <c r="VQD1" s="3" t="s">
        <v>15471</v>
      </c>
      <c r="VQE1" s="3" t="s">
        <v>15472</v>
      </c>
      <c r="VQF1" s="3" t="s">
        <v>15473</v>
      </c>
      <c r="VQG1" s="3" t="s">
        <v>15474</v>
      </c>
      <c r="VQH1" s="3" t="s">
        <v>15475</v>
      </c>
      <c r="VQI1" s="3" t="s">
        <v>15476</v>
      </c>
      <c r="VQJ1" s="3" t="s">
        <v>15477</v>
      </c>
      <c r="VQK1" s="3" t="s">
        <v>15478</v>
      </c>
      <c r="VQL1" s="3" t="s">
        <v>15479</v>
      </c>
      <c r="VQM1" s="3" t="s">
        <v>15480</v>
      </c>
      <c r="VQN1" s="3" t="s">
        <v>15481</v>
      </c>
      <c r="VQO1" s="3" t="s">
        <v>15482</v>
      </c>
      <c r="VQP1" s="3" t="s">
        <v>15483</v>
      </c>
      <c r="VQQ1" s="3" t="s">
        <v>15484</v>
      </c>
      <c r="VQR1" s="3" t="s">
        <v>15485</v>
      </c>
      <c r="VQS1" s="3" t="s">
        <v>15486</v>
      </c>
      <c r="VQT1" s="3" t="s">
        <v>15487</v>
      </c>
      <c r="VQU1" s="3" t="s">
        <v>15488</v>
      </c>
      <c r="VQV1" s="3" t="s">
        <v>15489</v>
      </c>
      <c r="VQW1" s="3" t="s">
        <v>15490</v>
      </c>
      <c r="VQX1" s="3" t="s">
        <v>15491</v>
      </c>
      <c r="VQY1" s="3" t="s">
        <v>15492</v>
      </c>
      <c r="VQZ1" s="3" t="s">
        <v>15493</v>
      </c>
      <c r="VRA1" s="3" t="s">
        <v>15494</v>
      </c>
      <c r="VRB1" s="3" t="s">
        <v>15495</v>
      </c>
      <c r="VRC1" s="3" t="s">
        <v>15496</v>
      </c>
      <c r="VRD1" s="3" t="s">
        <v>15497</v>
      </c>
      <c r="VRE1" s="3" t="s">
        <v>15498</v>
      </c>
      <c r="VRF1" s="3" t="s">
        <v>15499</v>
      </c>
      <c r="VRG1" s="3" t="s">
        <v>15500</v>
      </c>
      <c r="VRH1" s="3" t="s">
        <v>15501</v>
      </c>
      <c r="VRI1" s="3" t="s">
        <v>15502</v>
      </c>
      <c r="VRJ1" s="3" t="s">
        <v>15503</v>
      </c>
      <c r="VRK1" s="3" t="s">
        <v>15504</v>
      </c>
      <c r="VRL1" s="3" t="s">
        <v>15505</v>
      </c>
      <c r="VRM1" s="3" t="s">
        <v>15506</v>
      </c>
      <c r="VRN1" s="3" t="s">
        <v>15507</v>
      </c>
      <c r="VRO1" s="3" t="s">
        <v>15508</v>
      </c>
      <c r="VRP1" s="3" t="s">
        <v>15509</v>
      </c>
      <c r="VRQ1" s="3" t="s">
        <v>15510</v>
      </c>
      <c r="VRR1" s="3" t="s">
        <v>15511</v>
      </c>
      <c r="VRS1" s="3" t="s">
        <v>15512</v>
      </c>
      <c r="VRT1" s="3" t="s">
        <v>15513</v>
      </c>
      <c r="VRU1" s="3" t="s">
        <v>15514</v>
      </c>
      <c r="VRV1" s="3" t="s">
        <v>15515</v>
      </c>
      <c r="VRW1" s="3" t="s">
        <v>15516</v>
      </c>
      <c r="VRX1" s="3" t="s">
        <v>15517</v>
      </c>
      <c r="VRY1" s="3" t="s">
        <v>15518</v>
      </c>
      <c r="VRZ1" s="3" t="s">
        <v>15519</v>
      </c>
      <c r="VSA1" s="3" t="s">
        <v>15520</v>
      </c>
      <c r="VSB1" s="3" t="s">
        <v>15521</v>
      </c>
      <c r="VSC1" s="3" t="s">
        <v>15522</v>
      </c>
      <c r="VSD1" s="3" t="s">
        <v>15523</v>
      </c>
      <c r="VSE1" s="3" t="s">
        <v>15524</v>
      </c>
      <c r="VSF1" s="3" t="s">
        <v>15525</v>
      </c>
      <c r="VSG1" s="3" t="s">
        <v>15526</v>
      </c>
      <c r="VSH1" s="3" t="s">
        <v>15527</v>
      </c>
      <c r="VSI1" s="3" t="s">
        <v>15528</v>
      </c>
      <c r="VSJ1" s="3" t="s">
        <v>15529</v>
      </c>
      <c r="VSK1" s="3" t="s">
        <v>15530</v>
      </c>
      <c r="VSL1" s="3" t="s">
        <v>15531</v>
      </c>
      <c r="VSM1" s="3" t="s">
        <v>15532</v>
      </c>
      <c r="VSN1" s="3" t="s">
        <v>15533</v>
      </c>
      <c r="VSO1" s="3" t="s">
        <v>15534</v>
      </c>
      <c r="VSP1" s="3" t="s">
        <v>15535</v>
      </c>
      <c r="VSQ1" s="3" t="s">
        <v>15536</v>
      </c>
      <c r="VSR1" s="3" t="s">
        <v>15537</v>
      </c>
      <c r="VSS1" s="3" t="s">
        <v>15538</v>
      </c>
      <c r="VST1" s="3" t="s">
        <v>15539</v>
      </c>
      <c r="VSU1" s="3" t="s">
        <v>15540</v>
      </c>
      <c r="VSV1" s="3" t="s">
        <v>15541</v>
      </c>
      <c r="VSW1" s="3" t="s">
        <v>15542</v>
      </c>
      <c r="VSX1" s="3" t="s">
        <v>15543</v>
      </c>
      <c r="VSY1" s="3" t="s">
        <v>15544</v>
      </c>
      <c r="VSZ1" s="3" t="s">
        <v>15545</v>
      </c>
      <c r="VTA1" s="3" t="s">
        <v>15546</v>
      </c>
      <c r="VTB1" s="3" t="s">
        <v>15547</v>
      </c>
      <c r="VTC1" s="3" t="s">
        <v>15548</v>
      </c>
      <c r="VTD1" s="3" t="s">
        <v>15549</v>
      </c>
      <c r="VTE1" s="3" t="s">
        <v>15550</v>
      </c>
      <c r="VTF1" s="3" t="s">
        <v>15551</v>
      </c>
      <c r="VTG1" s="3" t="s">
        <v>15552</v>
      </c>
      <c r="VTH1" s="3" t="s">
        <v>15553</v>
      </c>
      <c r="VTI1" s="3" t="s">
        <v>15554</v>
      </c>
      <c r="VTJ1" s="3" t="s">
        <v>15555</v>
      </c>
      <c r="VTK1" s="3" t="s">
        <v>15556</v>
      </c>
      <c r="VTL1" s="3" t="s">
        <v>15557</v>
      </c>
      <c r="VTM1" s="3" t="s">
        <v>15558</v>
      </c>
      <c r="VTN1" s="3" t="s">
        <v>15559</v>
      </c>
      <c r="VTO1" s="3" t="s">
        <v>15560</v>
      </c>
      <c r="VTP1" s="3" t="s">
        <v>15561</v>
      </c>
      <c r="VTQ1" s="3" t="s">
        <v>15562</v>
      </c>
      <c r="VTR1" s="3" t="s">
        <v>15563</v>
      </c>
      <c r="VTS1" s="3" t="s">
        <v>15564</v>
      </c>
      <c r="VTT1" s="3" t="s">
        <v>15565</v>
      </c>
      <c r="VTU1" s="3" t="s">
        <v>15566</v>
      </c>
      <c r="VTV1" s="3" t="s">
        <v>15567</v>
      </c>
      <c r="VTW1" s="3" t="s">
        <v>15568</v>
      </c>
      <c r="VTX1" s="3" t="s">
        <v>15569</v>
      </c>
      <c r="VTY1" s="3" t="s">
        <v>15570</v>
      </c>
      <c r="VTZ1" s="3" t="s">
        <v>15571</v>
      </c>
      <c r="VUA1" s="3" t="s">
        <v>15572</v>
      </c>
      <c r="VUB1" s="3" t="s">
        <v>15573</v>
      </c>
      <c r="VUC1" s="3" t="s">
        <v>15574</v>
      </c>
      <c r="VUD1" s="3" t="s">
        <v>15575</v>
      </c>
      <c r="VUE1" s="3" t="s">
        <v>15576</v>
      </c>
      <c r="VUF1" s="3" t="s">
        <v>15577</v>
      </c>
      <c r="VUG1" s="3" t="s">
        <v>15578</v>
      </c>
      <c r="VUH1" s="3" t="s">
        <v>15579</v>
      </c>
      <c r="VUI1" s="3" t="s">
        <v>15580</v>
      </c>
      <c r="VUJ1" s="3" t="s">
        <v>15581</v>
      </c>
      <c r="VUK1" s="3" t="s">
        <v>15582</v>
      </c>
      <c r="VUL1" s="3" t="s">
        <v>15583</v>
      </c>
      <c r="VUM1" s="3" t="s">
        <v>15584</v>
      </c>
      <c r="VUN1" s="3" t="s">
        <v>15585</v>
      </c>
      <c r="VUO1" s="3" t="s">
        <v>15586</v>
      </c>
      <c r="VUP1" s="3" t="s">
        <v>15587</v>
      </c>
      <c r="VUQ1" s="3" t="s">
        <v>15588</v>
      </c>
      <c r="VUR1" s="3" t="s">
        <v>15589</v>
      </c>
      <c r="VUS1" s="3" t="s">
        <v>15590</v>
      </c>
      <c r="VUT1" s="3" t="s">
        <v>15591</v>
      </c>
      <c r="VUU1" s="3" t="s">
        <v>15592</v>
      </c>
      <c r="VUV1" s="3" t="s">
        <v>15593</v>
      </c>
      <c r="VUW1" s="3" t="s">
        <v>15594</v>
      </c>
      <c r="VUX1" s="3" t="s">
        <v>15595</v>
      </c>
      <c r="VUY1" s="3" t="s">
        <v>15596</v>
      </c>
      <c r="VUZ1" s="3" t="s">
        <v>15597</v>
      </c>
      <c r="VVA1" s="3" t="s">
        <v>15598</v>
      </c>
      <c r="VVB1" s="3" t="s">
        <v>15599</v>
      </c>
      <c r="VVC1" s="3" t="s">
        <v>15600</v>
      </c>
      <c r="VVD1" s="3" t="s">
        <v>15601</v>
      </c>
      <c r="VVE1" s="3" t="s">
        <v>15602</v>
      </c>
      <c r="VVF1" s="3" t="s">
        <v>15603</v>
      </c>
      <c r="VVG1" s="3" t="s">
        <v>15604</v>
      </c>
      <c r="VVH1" s="3" t="s">
        <v>15605</v>
      </c>
      <c r="VVI1" s="3" t="s">
        <v>15606</v>
      </c>
      <c r="VVJ1" s="3" t="s">
        <v>15607</v>
      </c>
      <c r="VVK1" s="3" t="s">
        <v>15608</v>
      </c>
      <c r="VVL1" s="3" t="s">
        <v>15609</v>
      </c>
      <c r="VVM1" s="3" t="s">
        <v>15610</v>
      </c>
      <c r="VVN1" s="3" t="s">
        <v>15611</v>
      </c>
      <c r="VVO1" s="3" t="s">
        <v>15612</v>
      </c>
      <c r="VVP1" s="3" t="s">
        <v>15613</v>
      </c>
      <c r="VVQ1" s="3" t="s">
        <v>15614</v>
      </c>
      <c r="VVR1" s="3" t="s">
        <v>15615</v>
      </c>
      <c r="VVS1" s="3" t="s">
        <v>15616</v>
      </c>
      <c r="VVT1" s="3" t="s">
        <v>15617</v>
      </c>
      <c r="VVU1" s="3" t="s">
        <v>15618</v>
      </c>
      <c r="VVV1" s="3" t="s">
        <v>15619</v>
      </c>
      <c r="VVW1" s="3" t="s">
        <v>15620</v>
      </c>
      <c r="VVX1" s="3" t="s">
        <v>15621</v>
      </c>
      <c r="VVY1" s="3" t="s">
        <v>15622</v>
      </c>
      <c r="VVZ1" s="3" t="s">
        <v>15623</v>
      </c>
      <c r="VWA1" s="3" t="s">
        <v>15624</v>
      </c>
      <c r="VWB1" s="3" t="s">
        <v>15625</v>
      </c>
      <c r="VWC1" s="3" t="s">
        <v>15626</v>
      </c>
      <c r="VWD1" s="3" t="s">
        <v>15627</v>
      </c>
      <c r="VWE1" s="3" t="s">
        <v>15628</v>
      </c>
      <c r="VWF1" s="3" t="s">
        <v>15629</v>
      </c>
      <c r="VWG1" s="3" t="s">
        <v>15630</v>
      </c>
      <c r="VWH1" s="3" t="s">
        <v>15631</v>
      </c>
      <c r="VWI1" s="3" t="s">
        <v>15632</v>
      </c>
      <c r="VWJ1" s="3" t="s">
        <v>15633</v>
      </c>
      <c r="VWK1" s="3" t="s">
        <v>15634</v>
      </c>
      <c r="VWL1" s="3" t="s">
        <v>15635</v>
      </c>
      <c r="VWM1" s="3" t="s">
        <v>15636</v>
      </c>
      <c r="VWN1" s="3" t="s">
        <v>15637</v>
      </c>
      <c r="VWO1" s="3" t="s">
        <v>15638</v>
      </c>
      <c r="VWP1" s="3" t="s">
        <v>15639</v>
      </c>
      <c r="VWQ1" s="3" t="s">
        <v>15640</v>
      </c>
      <c r="VWR1" s="3" t="s">
        <v>15641</v>
      </c>
      <c r="VWS1" s="3" t="s">
        <v>15642</v>
      </c>
      <c r="VWT1" s="3" t="s">
        <v>15643</v>
      </c>
      <c r="VWU1" s="3" t="s">
        <v>15644</v>
      </c>
      <c r="VWV1" s="3" t="s">
        <v>15645</v>
      </c>
      <c r="VWW1" s="3" t="s">
        <v>15646</v>
      </c>
      <c r="VWX1" s="3" t="s">
        <v>15647</v>
      </c>
      <c r="VWY1" s="3" t="s">
        <v>15648</v>
      </c>
      <c r="VWZ1" s="3" t="s">
        <v>15649</v>
      </c>
      <c r="VXA1" s="3" t="s">
        <v>15650</v>
      </c>
      <c r="VXB1" s="3" t="s">
        <v>15651</v>
      </c>
      <c r="VXC1" s="3" t="s">
        <v>15652</v>
      </c>
      <c r="VXD1" s="3" t="s">
        <v>15653</v>
      </c>
      <c r="VXE1" s="3" t="s">
        <v>15654</v>
      </c>
      <c r="VXF1" s="3" t="s">
        <v>15655</v>
      </c>
      <c r="VXG1" s="3" t="s">
        <v>15656</v>
      </c>
      <c r="VXH1" s="3" t="s">
        <v>15657</v>
      </c>
      <c r="VXI1" s="3" t="s">
        <v>15658</v>
      </c>
      <c r="VXJ1" s="3" t="s">
        <v>15659</v>
      </c>
      <c r="VXK1" s="3" t="s">
        <v>15660</v>
      </c>
      <c r="VXL1" s="3" t="s">
        <v>15661</v>
      </c>
      <c r="VXM1" s="3" t="s">
        <v>15662</v>
      </c>
      <c r="VXN1" s="3" t="s">
        <v>15663</v>
      </c>
      <c r="VXO1" s="3" t="s">
        <v>15664</v>
      </c>
      <c r="VXP1" s="3" t="s">
        <v>15665</v>
      </c>
      <c r="VXQ1" s="3" t="s">
        <v>15666</v>
      </c>
      <c r="VXR1" s="3" t="s">
        <v>15667</v>
      </c>
      <c r="VXS1" s="3" t="s">
        <v>15668</v>
      </c>
      <c r="VXT1" s="3" t="s">
        <v>15669</v>
      </c>
      <c r="VXU1" s="3" t="s">
        <v>15670</v>
      </c>
      <c r="VXV1" s="3" t="s">
        <v>15671</v>
      </c>
      <c r="VXW1" s="3" t="s">
        <v>15672</v>
      </c>
      <c r="VXX1" s="3" t="s">
        <v>15673</v>
      </c>
      <c r="VXY1" s="3" t="s">
        <v>15674</v>
      </c>
      <c r="VXZ1" s="3" t="s">
        <v>15675</v>
      </c>
      <c r="VYA1" s="3" t="s">
        <v>15676</v>
      </c>
      <c r="VYB1" s="3" t="s">
        <v>15677</v>
      </c>
      <c r="VYC1" s="3" t="s">
        <v>15678</v>
      </c>
      <c r="VYD1" s="3" t="s">
        <v>15679</v>
      </c>
      <c r="VYE1" s="3" t="s">
        <v>15680</v>
      </c>
      <c r="VYF1" s="3" t="s">
        <v>15681</v>
      </c>
      <c r="VYG1" s="3" t="s">
        <v>15682</v>
      </c>
      <c r="VYH1" s="3" t="s">
        <v>15683</v>
      </c>
      <c r="VYI1" s="3" t="s">
        <v>15684</v>
      </c>
      <c r="VYJ1" s="3" t="s">
        <v>15685</v>
      </c>
      <c r="VYK1" s="3" t="s">
        <v>15686</v>
      </c>
      <c r="VYL1" s="3" t="s">
        <v>15687</v>
      </c>
      <c r="VYM1" s="3" t="s">
        <v>15688</v>
      </c>
      <c r="VYN1" s="3" t="s">
        <v>15689</v>
      </c>
      <c r="VYO1" s="3" t="s">
        <v>15690</v>
      </c>
      <c r="VYP1" s="3" t="s">
        <v>15691</v>
      </c>
      <c r="VYQ1" s="3" t="s">
        <v>15692</v>
      </c>
      <c r="VYR1" s="3" t="s">
        <v>15693</v>
      </c>
      <c r="VYS1" s="3" t="s">
        <v>15694</v>
      </c>
      <c r="VYT1" s="3" t="s">
        <v>15695</v>
      </c>
      <c r="VYU1" s="3" t="s">
        <v>15696</v>
      </c>
      <c r="VYV1" s="3" t="s">
        <v>15697</v>
      </c>
      <c r="VYW1" s="3" t="s">
        <v>15698</v>
      </c>
      <c r="VYX1" s="3" t="s">
        <v>15699</v>
      </c>
      <c r="VYY1" s="3" t="s">
        <v>15700</v>
      </c>
      <c r="VYZ1" s="3" t="s">
        <v>15701</v>
      </c>
      <c r="VZA1" s="3" t="s">
        <v>15702</v>
      </c>
      <c r="VZB1" s="3" t="s">
        <v>15703</v>
      </c>
      <c r="VZC1" s="3" t="s">
        <v>15704</v>
      </c>
      <c r="VZD1" s="3" t="s">
        <v>15705</v>
      </c>
      <c r="VZE1" s="3" t="s">
        <v>15706</v>
      </c>
      <c r="VZF1" s="3" t="s">
        <v>15707</v>
      </c>
      <c r="VZG1" s="3" t="s">
        <v>15708</v>
      </c>
      <c r="VZH1" s="3" t="s">
        <v>15709</v>
      </c>
      <c r="VZI1" s="3" t="s">
        <v>15710</v>
      </c>
      <c r="VZJ1" s="3" t="s">
        <v>15711</v>
      </c>
      <c r="VZK1" s="3" t="s">
        <v>15712</v>
      </c>
      <c r="VZL1" s="3" t="s">
        <v>15713</v>
      </c>
      <c r="VZM1" s="3" t="s">
        <v>15714</v>
      </c>
      <c r="VZN1" s="3" t="s">
        <v>15715</v>
      </c>
      <c r="VZO1" s="3" t="s">
        <v>15716</v>
      </c>
      <c r="VZP1" s="3" t="s">
        <v>15717</v>
      </c>
      <c r="VZQ1" s="3" t="s">
        <v>15718</v>
      </c>
      <c r="VZR1" s="3" t="s">
        <v>15719</v>
      </c>
      <c r="VZS1" s="3" t="s">
        <v>15720</v>
      </c>
      <c r="VZT1" s="3" t="s">
        <v>15721</v>
      </c>
      <c r="VZU1" s="3" t="s">
        <v>15722</v>
      </c>
      <c r="VZV1" s="3" t="s">
        <v>15723</v>
      </c>
      <c r="VZW1" s="3" t="s">
        <v>15724</v>
      </c>
      <c r="VZX1" s="3" t="s">
        <v>15725</v>
      </c>
      <c r="VZY1" s="3" t="s">
        <v>15726</v>
      </c>
      <c r="VZZ1" s="3" t="s">
        <v>15727</v>
      </c>
      <c r="WAA1" s="3" t="s">
        <v>15728</v>
      </c>
      <c r="WAB1" s="3" t="s">
        <v>15729</v>
      </c>
      <c r="WAC1" s="3" t="s">
        <v>15730</v>
      </c>
      <c r="WAD1" s="3" t="s">
        <v>15731</v>
      </c>
      <c r="WAE1" s="3" t="s">
        <v>15732</v>
      </c>
      <c r="WAF1" s="3" t="s">
        <v>15733</v>
      </c>
      <c r="WAG1" s="3" t="s">
        <v>15734</v>
      </c>
      <c r="WAH1" s="3" t="s">
        <v>15735</v>
      </c>
      <c r="WAI1" s="3" t="s">
        <v>15736</v>
      </c>
      <c r="WAJ1" s="3" t="s">
        <v>15737</v>
      </c>
      <c r="WAK1" s="3" t="s">
        <v>15738</v>
      </c>
      <c r="WAL1" s="3" t="s">
        <v>15739</v>
      </c>
      <c r="WAM1" s="3" t="s">
        <v>15740</v>
      </c>
      <c r="WAN1" s="3" t="s">
        <v>15741</v>
      </c>
      <c r="WAO1" s="3" t="s">
        <v>15742</v>
      </c>
      <c r="WAP1" s="3" t="s">
        <v>15743</v>
      </c>
      <c r="WAQ1" s="3" t="s">
        <v>15744</v>
      </c>
      <c r="WAR1" s="3" t="s">
        <v>15745</v>
      </c>
      <c r="WAS1" s="3" t="s">
        <v>15746</v>
      </c>
      <c r="WAT1" s="3" t="s">
        <v>15747</v>
      </c>
      <c r="WAU1" s="3" t="s">
        <v>15748</v>
      </c>
      <c r="WAV1" s="3" t="s">
        <v>15749</v>
      </c>
      <c r="WAW1" s="3" t="s">
        <v>15750</v>
      </c>
      <c r="WAX1" s="3" t="s">
        <v>15751</v>
      </c>
      <c r="WAY1" s="3" t="s">
        <v>15752</v>
      </c>
      <c r="WAZ1" s="3" t="s">
        <v>15753</v>
      </c>
      <c r="WBA1" s="3" t="s">
        <v>15754</v>
      </c>
      <c r="WBB1" s="3" t="s">
        <v>15755</v>
      </c>
      <c r="WBC1" s="3" t="s">
        <v>15756</v>
      </c>
      <c r="WBD1" s="3" t="s">
        <v>15757</v>
      </c>
      <c r="WBE1" s="3" t="s">
        <v>15758</v>
      </c>
      <c r="WBF1" s="3" t="s">
        <v>15759</v>
      </c>
      <c r="WBG1" s="3" t="s">
        <v>15760</v>
      </c>
      <c r="WBH1" s="3" t="s">
        <v>15761</v>
      </c>
      <c r="WBI1" s="3" t="s">
        <v>15762</v>
      </c>
      <c r="WBJ1" s="3" t="s">
        <v>15763</v>
      </c>
      <c r="WBK1" s="3" t="s">
        <v>15764</v>
      </c>
      <c r="WBL1" s="3" t="s">
        <v>15765</v>
      </c>
      <c r="WBM1" s="3" t="s">
        <v>15766</v>
      </c>
      <c r="WBN1" s="3" t="s">
        <v>15767</v>
      </c>
      <c r="WBO1" s="3" t="s">
        <v>15768</v>
      </c>
      <c r="WBP1" s="3" t="s">
        <v>15769</v>
      </c>
      <c r="WBQ1" s="3" t="s">
        <v>15770</v>
      </c>
      <c r="WBR1" s="3" t="s">
        <v>15771</v>
      </c>
      <c r="WBS1" s="3" t="s">
        <v>15772</v>
      </c>
      <c r="WBT1" s="3" t="s">
        <v>15773</v>
      </c>
      <c r="WBU1" s="3" t="s">
        <v>15774</v>
      </c>
      <c r="WBV1" s="3" t="s">
        <v>15775</v>
      </c>
      <c r="WBW1" s="3" t="s">
        <v>15776</v>
      </c>
      <c r="WBX1" s="3" t="s">
        <v>15777</v>
      </c>
      <c r="WBY1" s="3" t="s">
        <v>15778</v>
      </c>
      <c r="WBZ1" s="3" t="s">
        <v>15779</v>
      </c>
      <c r="WCA1" s="3" t="s">
        <v>15780</v>
      </c>
      <c r="WCB1" s="3" t="s">
        <v>15781</v>
      </c>
      <c r="WCC1" s="3" t="s">
        <v>15782</v>
      </c>
      <c r="WCD1" s="3" t="s">
        <v>15783</v>
      </c>
      <c r="WCE1" s="3" t="s">
        <v>15784</v>
      </c>
      <c r="WCF1" s="3" t="s">
        <v>15785</v>
      </c>
      <c r="WCG1" s="3" t="s">
        <v>15786</v>
      </c>
      <c r="WCH1" s="3" t="s">
        <v>15787</v>
      </c>
      <c r="WCI1" s="3" t="s">
        <v>15788</v>
      </c>
      <c r="WCJ1" s="3" t="s">
        <v>15789</v>
      </c>
      <c r="WCK1" s="3" t="s">
        <v>15790</v>
      </c>
      <c r="WCL1" s="3" t="s">
        <v>15791</v>
      </c>
      <c r="WCM1" s="3" t="s">
        <v>15792</v>
      </c>
      <c r="WCN1" s="3" t="s">
        <v>15793</v>
      </c>
      <c r="WCO1" s="3" t="s">
        <v>15794</v>
      </c>
      <c r="WCP1" s="3" t="s">
        <v>15795</v>
      </c>
      <c r="WCQ1" s="3" t="s">
        <v>15796</v>
      </c>
      <c r="WCR1" s="3" t="s">
        <v>15797</v>
      </c>
      <c r="WCS1" s="3" t="s">
        <v>15798</v>
      </c>
      <c r="WCT1" s="3" t="s">
        <v>15799</v>
      </c>
      <c r="WCU1" s="3" t="s">
        <v>15800</v>
      </c>
      <c r="WCV1" s="3" t="s">
        <v>15801</v>
      </c>
      <c r="WCW1" s="3" t="s">
        <v>15802</v>
      </c>
      <c r="WCX1" s="3" t="s">
        <v>15803</v>
      </c>
      <c r="WCY1" s="3" t="s">
        <v>15804</v>
      </c>
      <c r="WCZ1" s="3" t="s">
        <v>15805</v>
      </c>
      <c r="WDA1" s="3" t="s">
        <v>15806</v>
      </c>
      <c r="WDB1" s="3" t="s">
        <v>15807</v>
      </c>
      <c r="WDC1" s="3" t="s">
        <v>15808</v>
      </c>
      <c r="WDD1" s="3" t="s">
        <v>15809</v>
      </c>
      <c r="WDE1" s="3" t="s">
        <v>15810</v>
      </c>
      <c r="WDF1" s="3" t="s">
        <v>15811</v>
      </c>
      <c r="WDG1" s="3" t="s">
        <v>15812</v>
      </c>
      <c r="WDH1" s="3" t="s">
        <v>15813</v>
      </c>
      <c r="WDI1" s="3" t="s">
        <v>15814</v>
      </c>
      <c r="WDJ1" s="3" t="s">
        <v>15815</v>
      </c>
      <c r="WDK1" s="3" t="s">
        <v>15816</v>
      </c>
      <c r="WDL1" s="3" t="s">
        <v>15817</v>
      </c>
      <c r="WDM1" s="3" t="s">
        <v>15818</v>
      </c>
      <c r="WDN1" s="3" t="s">
        <v>15819</v>
      </c>
      <c r="WDO1" s="3" t="s">
        <v>15820</v>
      </c>
      <c r="WDP1" s="3" t="s">
        <v>15821</v>
      </c>
      <c r="WDQ1" s="3" t="s">
        <v>15822</v>
      </c>
      <c r="WDR1" s="3" t="s">
        <v>15823</v>
      </c>
      <c r="WDS1" s="3" t="s">
        <v>15824</v>
      </c>
      <c r="WDT1" s="3" t="s">
        <v>15825</v>
      </c>
      <c r="WDU1" s="3" t="s">
        <v>15826</v>
      </c>
      <c r="WDV1" s="3" t="s">
        <v>15827</v>
      </c>
      <c r="WDW1" s="3" t="s">
        <v>15828</v>
      </c>
      <c r="WDX1" s="3" t="s">
        <v>15829</v>
      </c>
      <c r="WDY1" s="3" t="s">
        <v>15830</v>
      </c>
      <c r="WDZ1" s="3" t="s">
        <v>15831</v>
      </c>
      <c r="WEA1" s="3" t="s">
        <v>15832</v>
      </c>
      <c r="WEB1" s="3" t="s">
        <v>15833</v>
      </c>
      <c r="WEC1" s="3" t="s">
        <v>15834</v>
      </c>
      <c r="WED1" s="3" t="s">
        <v>15835</v>
      </c>
      <c r="WEE1" s="3" t="s">
        <v>15836</v>
      </c>
      <c r="WEF1" s="3" t="s">
        <v>15837</v>
      </c>
      <c r="WEG1" s="3" t="s">
        <v>15838</v>
      </c>
      <c r="WEH1" s="3" t="s">
        <v>15839</v>
      </c>
      <c r="WEI1" s="3" t="s">
        <v>15840</v>
      </c>
      <c r="WEJ1" s="3" t="s">
        <v>15841</v>
      </c>
      <c r="WEK1" s="3" t="s">
        <v>15842</v>
      </c>
      <c r="WEL1" s="3" t="s">
        <v>15843</v>
      </c>
      <c r="WEM1" s="3" t="s">
        <v>15844</v>
      </c>
      <c r="WEN1" s="3" t="s">
        <v>15845</v>
      </c>
      <c r="WEO1" s="3" t="s">
        <v>15846</v>
      </c>
      <c r="WEP1" s="3" t="s">
        <v>15847</v>
      </c>
      <c r="WEQ1" s="3" t="s">
        <v>15848</v>
      </c>
      <c r="WER1" s="3" t="s">
        <v>15849</v>
      </c>
      <c r="WES1" s="3" t="s">
        <v>15850</v>
      </c>
      <c r="WET1" s="3" t="s">
        <v>15851</v>
      </c>
      <c r="WEU1" s="3" t="s">
        <v>15852</v>
      </c>
      <c r="WEV1" s="3" t="s">
        <v>15853</v>
      </c>
      <c r="WEW1" s="3" t="s">
        <v>15854</v>
      </c>
      <c r="WEX1" s="3" t="s">
        <v>15855</v>
      </c>
      <c r="WEY1" s="3" t="s">
        <v>15856</v>
      </c>
      <c r="WEZ1" s="3" t="s">
        <v>15857</v>
      </c>
      <c r="WFA1" s="3" t="s">
        <v>15858</v>
      </c>
      <c r="WFB1" s="3" t="s">
        <v>15859</v>
      </c>
      <c r="WFC1" s="3" t="s">
        <v>15860</v>
      </c>
      <c r="WFD1" s="3" t="s">
        <v>15861</v>
      </c>
      <c r="WFE1" s="3" t="s">
        <v>15862</v>
      </c>
      <c r="WFF1" s="3" t="s">
        <v>15863</v>
      </c>
      <c r="WFG1" s="3" t="s">
        <v>15864</v>
      </c>
      <c r="WFH1" s="3" t="s">
        <v>15865</v>
      </c>
      <c r="WFI1" s="3" t="s">
        <v>15866</v>
      </c>
      <c r="WFJ1" s="3" t="s">
        <v>15867</v>
      </c>
      <c r="WFK1" s="3" t="s">
        <v>15868</v>
      </c>
      <c r="WFL1" s="3" t="s">
        <v>15869</v>
      </c>
      <c r="WFM1" s="3" t="s">
        <v>15870</v>
      </c>
      <c r="WFN1" s="3" t="s">
        <v>15871</v>
      </c>
      <c r="WFO1" s="3" t="s">
        <v>15872</v>
      </c>
      <c r="WFP1" s="3" t="s">
        <v>15873</v>
      </c>
      <c r="WFQ1" s="3" t="s">
        <v>15874</v>
      </c>
      <c r="WFR1" s="3" t="s">
        <v>15875</v>
      </c>
      <c r="WFS1" s="3" t="s">
        <v>15876</v>
      </c>
      <c r="WFT1" s="3" t="s">
        <v>15877</v>
      </c>
      <c r="WFU1" s="3" t="s">
        <v>15878</v>
      </c>
      <c r="WFV1" s="3" t="s">
        <v>15879</v>
      </c>
      <c r="WFW1" s="3" t="s">
        <v>15880</v>
      </c>
      <c r="WFX1" s="3" t="s">
        <v>15881</v>
      </c>
      <c r="WFY1" s="3" t="s">
        <v>15882</v>
      </c>
      <c r="WFZ1" s="3" t="s">
        <v>15883</v>
      </c>
      <c r="WGA1" s="3" t="s">
        <v>15884</v>
      </c>
      <c r="WGB1" s="3" t="s">
        <v>15885</v>
      </c>
      <c r="WGC1" s="3" t="s">
        <v>15886</v>
      </c>
      <c r="WGD1" s="3" t="s">
        <v>15887</v>
      </c>
      <c r="WGE1" s="3" t="s">
        <v>15888</v>
      </c>
      <c r="WGF1" s="3" t="s">
        <v>15889</v>
      </c>
      <c r="WGG1" s="3" t="s">
        <v>15890</v>
      </c>
      <c r="WGH1" s="3" t="s">
        <v>15891</v>
      </c>
      <c r="WGI1" s="3" t="s">
        <v>15892</v>
      </c>
      <c r="WGJ1" s="3" t="s">
        <v>15893</v>
      </c>
      <c r="WGK1" s="3" t="s">
        <v>15894</v>
      </c>
      <c r="WGL1" s="3" t="s">
        <v>15895</v>
      </c>
      <c r="WGM1" s="3" t="s">
        <v>15896</v>
      </c>
      <c r="WGN1" s="3" t="s">
        <v>15897</v>
      </c>
      <c r="WGO1" s="3" t="s">
        <v>15898</v>
      </c>
      <c r="WGP1" s="3" t="s">
        <v>15899</v>
      </c>
      <c r="WGQ1" s="3" t="s">
        <v>15900</v>
      </c>
      <c r="WGR1" s="3" t="s">
        <v>15901</v>
      </c>
      <c r="WGS1" s="3" t="s">
        <v>15902</v>
      </c>
      <c r="WGT1" s="3" t="s">
        <v>15903</v>
      </c>
      <c r="WGU1" s="3" t="s">
        <v>15904</v>
      </c>
      <c r="WGV1" s="3" t="s">
        <v>15905</v>
      </c>
      <c r="WGW1" s="3" t="s">
        <v>15906</v>
      </c>
      <c r="WGX1" s="3" t="s">
        <v>15907</v>
      </c>
      <c r="WGY1" s="3" t="s">
        <v>15908</v>
      </c>
      <c r="WGZ1" s="3" t="s">
        <v>15909</v>
      </c>
      <c r="WHA1" s="3" t="s">
        <v>15910</v>
      </c>
      <c r="WHB1" s="3" t="s">
        <v>15911</v>
      </c>
      <c r="WHC1" s="3" t="s">
        <v>15912</v>
      </c>
      <c r="WHD1" s="3" t="s">
        <v>15913</v>
      </c>
      <c r="WHE1" s="3" t="s">
        <v>15914</v>
      </c>
      <c r="WHF1" s="3" t="s">
        <v>15915</v>
      </c>
      <c r="WHG1" s="3" t="s">
        <v>15916</v>
      </c>
      <c r="WHH1" s="3" t="s">
        <v>15917</v>
      </c>
      <c r="WHI1" s="3" t="s">
        <v>15918</v>
      </c>
      <c r="WHJ1" s="3" t="s">
        <v>15919</v>
      </c>
      <c r="WHK1" s="3" t="s">
        <v>15920</v>
      </c>
      <c r="WHL1" s="3" t="s">
        <v>15921</v>
      </c>
      <c r="WHM1" s="3" t="s">
        <v>15922</v>
      </c>
      <c r="WHN1" s="3" t="s">
        <v>15923</v>
      </c>
      <c r="WHO1" s="3" t="s">
        <v>15924</v>
      </c>
      <c r="WHP1" s="3" t="s">
        <v>15925</v>
      </c>
      <c r="WHQ1" s="3" t="s">
        <v>15926</v>
      </c>
      <c r="WHR1" s="3" t="s">
        <v>15927</v>
      </c>
      <c r="WHS1" s="3" t="s">
        <v>15928</v>
      </c>
      <c r="WHT1" s="3" t="s">
        <v>15929</v>
      </c>
      <c r="WHU1" s="3" t="s">
        <v>15930</v>
      </c>
      <c r="WHV1" s="3" t="s">
        <v>15931</v>
      </c>
      <c r="WHW1" s="3" t="s">
        <v>15932</v>
      </c>
      <c r="WHX1" s="3" t="s">
        <v>15933</v>
      </c>
      <c r="WHY1" s="3" t="s">
        <v>15934</v>
      </c>
      <c r="WHZ1" s="3" t="s">
        <v>15935</v>
      </c>
      <c r="WIA1" s="3" t="s">
        <v>15936</v>
      </c>
      <c r="WIB1" s="3" t="s">
        <v>15937</v>
      </c>
      <c r="WIC1" s="3" t="s">
        <v>15938</v>
      </c>
      <c r="WID1" s="3" t="s">
        <v>15939</v>
      </c>
      <c r="WIE1" s="3" t="s">
        <v>15940</v>
      </c>
      <c r="WIF1" s="3" t="s">
        <v>15941</v>
      </c>
      <c r="WIG1" s="3" t="s">
        <v>15942</v>
      </c>
      <c r="WIH1" s="3" t="s">
        <v>15943</v>
      </c>
      <c r="WII1" s="3" t="s">
        <v>15944</v>
      </c>
      <c r="WIJ1" s="3" t="s">
        <v>15945</v>
      </c>
      <c r="WIK1" s="3" t="s">
        <v>15946</v>
      </c>
      <c r="WIL1" s="3" t="s">
        <v>15947</v>
      </c>
      <c r="WIM1" s="3" t="s">
        <v>15948</v>
      </c>
      <c r="WIN1" s="3" t="s">
        <v>15949</v>
      </c>
      <c r="WIO1" s="3" t="s">
        <v>15950</v>
      </c>
      <c r="WIP1" s="3" t="s">
        <v>15951</v>
      </c>
      <c r="WIQ1" s="3" t="s">
        <v>15952</v>
      </c>
      <c r="WIR1" s="3" t="s">
        <v>15953</v>
      </c>
      <c r="WIS1" s="3" t="s">
        <v>15954</v>
      </c>
      <c r="WIT1" s="3" t="s">
        <v>15955</v>
      </c>
      <c r="WIU1" s="3" t="s">
        <v>15956</v>
      </c>
      <c r="WIV1" s="3" t="s">
        <v>15957</v>
      </c>
      <c r="WIW1" s="3" t="s">
        <v>15958</v>
      </c>
      <c r="WIX1" s="3" t="s">
        <v>15959</v>
      </c>
      <c r="WIY1" s="3" t="s">
        <v>15960</v>
      </c>
      <c r="WIZ1" s="3" t="s">
        <v>15961</v>
      </c>
      <c r="WJA1" s="3" t="s">
        <v>15962</v>
      </c>
      <c r="WJB1" s="3" t="s">
        <v>15963</v>
      </c>
      <c r="WJC1" s="3" t="s">
        <v>15964</v>
      </c>
      <c r="WJD1" s="3" t="s">
        <v>15965</v>
      </c>
      <c r="WJE1" s="3" t="s">
        <v>15966</v>
      </c>
      <c r="WJF1" s="3" t="s">
        <v>15967</v>
      </c>
      <c r="WJG1" s="3" t="s">
        <v>15968</v>
      </c>
      <c r="WJH1" s="3" t="s">
        <v>15969</v>
      </c>
      <c r="WJI1" s="3" t="s">
        <v>15970</v>
      </c>
      <c r="WJJ1" s="3" t="s">
        <v>15971</v>
      </c>
      <c r="WJK1" s="3" t="s">
        <v>15972</v>
      </c>
      <c r="WJL1" s="3" t="s">
        <v>15973</v>
      </c>
      <c r="WJM1" s="3" t="s">
        <v>15974</v>
      </c>
      <c r="WJN1" s="3" t="s">
        <v>15975</v>
      </c>
      <c r="WJO1" s="3" t="s">
        <v>15976</v>
      </c>
      <c r="WJP1" s="3" t="s">
        <v>15977</v>
      </c>
      <c r="WJQ1" s="3" t="s">
        <v>15978</v>
      </c>
      <c r="WJR1" s="3" t="s">
        <v>15979</v>
      </c>
      <c r="WJS1" s="3" t="s">
        <v>15980</v>
      </c>
      <c r="WJT1" s="3" t="s">
        <v>15981</v>
      </c>
      <c r="WJU1" s="3" t="s">
        <v>15982</v>
      </c>
      <c r="WJV1" s="3" t="s">
        <v>15983</v>
      </c>
      <c r="WJW1" s="3" t="s">
        <v>15984</v>
      </c>
      <c r="WJX1" s="3" t="s">
        <v>15985</v>
      </c>
      <c r="WJY1" s="3" t="s">
        <v>15986</v>
      </c>
      <c r="WJZ1" s="3" t="s">
        <v>15987</v>
      </c>
      <c r="WKA1" s="3" t="s">
        <v>15988</v>
      </c>
      <c r="WKB1" s="3" t="s">
        <v>15989</v>
      </c>
      <c r="WKC1" s="3" t="s">
        <v>15990</v>
      </c>
      <c r="WKD1" s="3" t="s">
        <v>15991</v>
      </c>
      <c r="WKE1" s="3" t="s">
        <v>15992</v>
      </c>
      <c r="WKF1" s="3" t="s">
        <v>15993</v>
      </c>
      <c r="WKG1" s="3" t="s">
        <v>15994</v>
      </c>
      <c r="WKH1" s="3" t="s">
        <v>15995</v>
      </c>
      <c r="WKI1" s="3" t="s">
        <v>15996</v>
      </c>
      <c r="WKJ1" s="3" t="s">
        <v>15997</v>
      </c>
      <c r="WKK1" s="3" t="s">
        <v>15998</v>
      </c>
      <c r="WKL1" s="3" t="s">
        <v>15999</v>
      </c>
      <c r="WKM1" s="3" t="s">
        <v>16000</v>
      </c>
      <c r="WKN1" s="3" t="s">
        <v>16001</v>
      </c>
      <c r="WKO1" s="3" t="s">
        <v>16002</v>
      </c>
      <c r="WKP1" s="3" t="s">
        <v>16003</v>
      </c>
      <c r="WKQ1" s="3" t="s">
        <v>16004</v>
      </c>
      <c r="WKR1" s="3" t="s">
        <v>16005</v>
      </c>
      <c r="WKS1" s="3" t="s">
        <v>16006</v>
      </c>
      <c r="WKT1" s="3" t="s">
        <v>16007</v>
      </c>
      <c r="WKU1" s="3" t="s">
        <v>16008</v>
      </c>
      <c r="WKV1" s="3" t="s">
        <v>16009</v>
      </c>
      <c r="WKW1" s="3" t="s">
        <v>16010</v>
      </c>
      <c r="WKX1" s="3" t="s">
        <v>16011</v>
      </c>
      <c r="WKY1" s="3" t="s">
        <v>16012</v>
      </c>
      <c r="WKZ1" s="3" t="s">
        <v>16013</v>
      </c>
      <c r="WLA1" s="3" t="s">
        <v>16014</v>
      </c>
      <c r="WLB1" s="3" t="s">
        <v>16015</v>
      </c>
      <c r="WLC1" s="3" t="s">
        <v>16016</v>
      </c>
      <c r="WLD1" s="3" t="s">
        <v>16017</v>
      </c>
      <c r="WLE1" s="3" t="s">
        <v>16018</v>
      </c>
      <c r="WLF1" s="3" t="s">
        <v>16019</v>
      </c>
      <c r="WLG1" s="3" t="s">
        <v>16020</v>
      </c>
      <c r="WLH1" s="3" t="s">
        <v>16021</v>
      </c>
      <c r="WLI1" s="3" t="s">
        <v>16022</v>
      </c>
      <c r="WLJ1" s="3" t="s">
        <v>16023</v>
      </c>
      <c r="WLK1" s="3" t="s">
        <v>16024</v>
      </c>
      <c r="WLL1" s="3" t="s">
        <v>16025</v>
      </c>
      <c r="WLM1" s="3" t="s">
        <v>16026</v>
      </c>
      <c r="WLN1" s="3" t="s">
        <v>16027</v>
      </c>
      <c r="WLO1" s="3" t="s">
        <v>16028</v>
      </c>
      <c r="WLP1" s="3" t="s">
        <v>16029</v>
      </c>
      <c r="WLQ1" s="3" t="s">
        <v>16030</v>
      </c>
      <c r="WLR1" s="3" t="s">
        <v>16031</v>
      </c>
      <c r="WLS1" s="3" t="s">
        <v>16032</v>
      </c>
      <c r="WLT1" s="3" t="s">
        <v>16033</v>
      </c>
      <c r="WLU1" s="3" t="s">
        <v>16034</v>
      </c>
      <c r="WLV1" s="3" t="s">
        <v>16035</v>
      </c>
      <c r="WLW1" s="3" t="s">
        <v>16036</v>
      </c>
      <c r="WLX1" s="3" t="s">
        <v>16037</v>
      </c>
      <c r="WLY1" s="3" t="s">
        <v>16038</v>
      </c>
      <c r="WLZ1" s="3" t="s">
        <v>16039</v>
      </c>
      <c r="WMA1" s="3" t="s">
        <v>16040</v>
      </c>
      <c r="WMB1" s="3" t="s">
        <v>16041</v>
      </c>
      <c r="WMC1" s="3" t="s">
        <v>16042</v>
      </c>
      <c r="WMD1" s="3" t="s">
        <v>16043</v>
      </c>
      <c r="WME1" s="3" t="s">
        <v>16044</v>
      </c>
      <c r="WMF1" s="3" t="s">
        <v>16045</v>
      </c>
      <c r="WMG1" s="3" t="s">
        <v>16046</v>
      </c>
      <c r="WMH1" s="3" t="s">
        <v>16047</v>
      </c>
      <c r="WMI1" s="3" t="s">
        <v>16048</v>
      </c>
      <c r="WMJ1" s="3" t="s">
        <v>16049</v>
      </c>
      <c r="WMK1" s="3" t="s">
        <v>16050</v>
      </c>
      <c r="WML1" s="3" t="s">
        <v>16051</v>
      </c>
      <c r="WMM1" s="3" t="s">
        <v>16052</v>
      </c>
      <c r="WMN1" s="3" t="s">
        <v>16053</v>
      </c>
      <c r="WMO1" s="3" t="s">
        <v>16054</v>
      </c>
      <c r="WMP1" s="3" t="s">
        <v>16055</v>
      </c>
      <c r="WMQ1" s="3" t="s">
        <v>16056</v>
      </c>
      <c r="WMR1" s="3" t="s">
        <v>16057</v>
      </c>
      <c r="WMS1" s="3" t="s">
        <v>16058</v>
      </c>
      <c r="WMT1" s="3" t="s">
        <v>16059</v>
      </c>
      <c r="WMU1" s="3" t="s">
        <v>16060</v>
      </c>
      <c r="WMV1" s="3" t="s">
        <v>16061</v>
      </c>
      <c r="WMW1" s="3" t="s">
        <v>16062</v>
      </c>
      <c r="WMX1" s="3" t="s">
        <v>16063</v>
      </c>
      <c r="WMY1" s="3" t="s">
        <v>16064</v>
      </c>
      <c r="WMZ1" s="3" t="s">
        <v>16065</v>
      </c>
      <c r="WNA1" s="3" t="s">
        <v>16066</v>
      </c>
      <c r="WNB1" s="3" t="s">
        <v>16067</v>
      </c>
      <c r="WNC1" s="3" t="s">
        <v>16068</v>
      </c>
      <c r="WND1" s="3" t="s">
        <v>16069</v>
      </c>
      <c r="WNE1" s="3" t="s">
        <v>16070</v>
      </c>
      <c r="WNF1" s="3" t="s">
        <v>16071</v>
      </c>
      <c r="WNG1" s="3" t="s">
        <v>16072</v>
      </c>
      <c r="WNH1" s="3" t="s">
        <v>16073</v>
      </c>
      <c r="WNI1" s="3" t="s">
        <v>16074</v>
      </c>
      <c r="WNJ1" s="3" t="s">
        <v>16075</v>
      </c>
      <c r="WNK1" s="3" t="s">
        <v>16076</v>
      </c>
      <c r="WNL1" s="3" t="s">
        <v>16077</v>
      </c>
      <c r="WNM1" s="3" t="s">
        <v>16078</v>
      </c>
      <c r="WNN1" s="3" t="s">
        <v>16079</v>
      </c>
      <c r="WNO1" s="3" t="s">
        <v>16080</v>
      </c>
      <c r="WNP1" s="3" t="s">
        <v>16081</v>
      </c>
      <c r="WNQ1" s="3" t="s">
        <v>16082</v>
      </c>
      <c r="WNR1" s="3" t="s">
        <v>16083</v>
      </c>
      <c r="WNS1" s="3" t="s">
        <v>16084</v>
      </c>
      <c r="WNT1" s="3" t="s">
        <v>16085</v>
      </c>
      <c r="WNU1" s="3" t="s">
        <v>16086</v>
      </c>
      <c r="WNV1" s="3" t="s">
        <v>16087</v>
      </c>
      <c r="WNW1" s="3" t="s">
        <v>16088</v>
      </c>
      <c r="WNX1" s="3" t="s">
        <v>16089</v>
      </c>
      <c r="WNY1" s="3" t="s">
        <v>16090</v>
      </c>
      <c r="WNZ1" s="3" t="s">
        <v>16091</v>
      </c>
      <c r="WOA1" s="3" t="s">
        <v>16092</v>
      </c>
      <c r="WOB1" s="3" t="s">
        <v>16093</v>
      </c>
      <c r="WOC1" s="3" t="s">
        <v>16094</v>
      </c>
      <c r="WOD1" s="3" t="s">
        <v>16095</v>
      </c>
      <c r="WOE1" s="3" t="s">
        <v>16096</v>
      </c>
      <c r="WOF1" s="3" t="s">
        <v>16097</v>
      </c>
      <c r="WOG1" s="3" t="s">
        <v>16098</v>
      </c>
      <c r="WOH1" s="3" t="s">
        <v>16099</v>
      </c>
      <c r="WOI1" s="3" t="s">
        <v>16100</v>
      </c>
      <c r="WOJ1" s="3" t="s">
        <v>16101</v>
      </c>
      <c r="WOK1" s="3" t="s">
        <v>16102</v>
      </c>
      <c r="WOL1" s="3" t="s">
        <v>16103</v>
      </c>
      <c r="WOM1" s="3" t="s">
        <v>16104</v>
      </c>
      <c r="WON1" s="3" t="s">
        <v>16105</v>
      </c>
      <c r="WOO1" s="3" t="s">
        <v>16106</v>
      </c>
      <c r="WOP1" s="3" t="s">
        <v>16107</v>
      </c>
      <c r="WOQ1" s="3" t="s">
        <v>16108</v>
      </c>
      <c r="WOR1" s="3" t="s">
        <v>16109</v>
      </c>
      <c r="WOS1" s="3" t="s">
        <v>16110</v>
      </c>
      <c r="WOT1" s="3" t="s">
        <v>16111</v>
      </c>
      <c r="WOU1" s="3" t="s">
        <v>16112</v>
      </c>
      <c r="WOV1" s="3" t="s">
        <v>16113</v>
      </c>
      <c r="WOW1" s="3" t="s">
        <v>16114</v>
      </c>
      <c r="WOX1" s="3" t="s">
        <v>16115</v>
      </c>
      <c r="WOY1" s="3" t="s">
        <v>16116</v>
      </c>
      <c r="WOZ1" s="3" t="s">
        <v>16117</v>
      </c>
      <c r="WPA1" s="3" t="s">
        <v>16118</v>
      </c>
      <c r="WPB1" s="3" t="s">
        <v>16119</v>
      </c>
      <c r="WPC1" s="3" t="s">
        <v>16120</v>
      </c>
      <c r="WPD1" s="3" t="s">
        <v>16121</v>
      </c>
      <c r="WPE1" s="3" t="s">
        <v>16122</v>
      </c>
      <c r="WPF1" s="3" t="s">
        <v>16123</v>
      </c>
      <c r="WPG1" s="3" t="s">
        <v>16124</v>
      </c>
      <c r="WPH1" s="3" t="s">
        <v>16125</v>
      </c>
      <c r="WPI1" s="3" t="s">
        <v>16126</v>
      </c>
      <c r="WPJ1" s="3" t="s">
        <v>16127</v>
      </c>
      <c r="WPK1" s="3" t="s">
        <v>16128</v>
      </c>
      <c r="WPL1" s="3" t="s">
        <v>16129</v>
      </c>
      <c r="WPM1" s="3" t="s">
        <v>16130</v>
      </c>
      <c r="WPN1" s="3" t="s">
        <v>16131</v>
      </c>
      <c r="WPO1" s="3" t="s">
        <v>16132</v>
      </c>
      <c r="WPP1" s="3" t="s">
        <v>16133</v>
      </c>
      <c r="WPQ1" s="3" t="s">
        <v>16134</v>
      </c>
      <c r="WPR1" s="3" t="s">
        <v>16135</v>
      </c>
      <c r="WPS1" s="3" t="s">
        <v>16136</v>
      </c>
      <c r="WPT1" s="3" t="s">
        <v>16137</v>
      </c>
      <c r="WPU1" s="3" t="s">
        <v>16138</v>
      </c>
      <c r="WPV1" s="3" t="s">
        <v>16139</v>
      </c>
      <c r="WPW1" s="3" t="s">
        <v>16140</v>
      </c>
      <c r="WPX1" s="3" t="s">
        <v>16141</v>
      </c>
      <c r="WPY1" s="3" t="s">
        <v>16142</v>
      </c>
      <c r="WPZ1" s="3" t="s">
        <v>16143</v>
      </c>
      <c r="WQA1" s="3" t="s">
        <v>16144</v>
      </c>
      <c r="WQB1" s="3" t="s">
        <v>16145</v>
      </c>
      <c r="WQC1" s="3" t="s">
        <v>16146</v>
      </c>
      <c r="WQD1" s="3" t="s">
        <v>16147</v>
      </c>
      <c r="WQE1" s="3" t="s">
        <v>16148</v>
      </c>
      <c r="WQF1" s="3" t="s">
        <v>16149</v>
      </c>
      <c r="WQG1" s="3" t="s">
        <v>16150</v>
      </c>
      <c r="WQH1" s="3" t="s">
        <v>16151</v>
      </c>
      <c r="WQI1" s="3" t="s">
        <v>16152</v>
      </c>
      <c r="WQJ1" s="3" t="s">
        <v>16153</v>
      </c>
      <c r="WQK1" s="3" t="s">
        <v>16154</v>
      </c>
      <c r="WQL1" s="3" t="s">
        <v>16155</v>
      </c>
      <c r="WQM1" s="3" t="s">
        <v>16156</v>
      </c>
      <c r="WQN1" s="3" t="s">
        <v>16157</v>
      </c>
      <c r="WQO1" s="3" t="s">
        <v>16158</v>
      </c>
      <c r="WQP1" s="3" t="s">
        <v>16159</v>
      </c>
      <c r="WQQ1" s="3" t="s">
        <v>16160</v>
      </c>
      <c r="WQR1" s="3" t="s">
        <v>16161</v>
      </c>
      <c r="WQS1" s="3" t="s">
        <v>16162</v>
      </c>
      <c r="WQT1" s="3" t="s">
        <v>16163</v>
      </c>
      <c r="WQU1" s="3" t="s">
        <v>16164</v>
      </c>
      <c r="WQV1" s="3" t="s">
        <v>16165</v>
      </c>
      <c r="WQW1" s="3" t="s">
        <v>16166</v>
      </c>
      <c r="WQX1" s="3" t="s">
        <v>16167</v>
      </c>
      <c r="WQY1" s="3" t="s">
        <v>16168</v>
      </c>
      <c r="WQZ1" s="3" t="s">
        <v>16169</v>
      </c>
      <c r="WRA1" s="3" t="s">
        <v>16170</v>
      </c>
      <c r="WRB1" s="3" t="s">
        <v>16171</v>
      </c>
      <c r="WRC1" s="3" t="s">
        <v>16172</v>
      </c>
      <c r="WRD1" s="3" t="s">
        <v>16173</v>
      </c>
      <c r="WRE1" s="3" t="s">
        <v>16174</v>
      </c>
      <c r="WRF1" s="3" t="s">
        <v>16175</v>
      </c>
      <c r="WRG1" s="3" t="s">
        <v>16176</v>
      </c>
      <c r="WRH1" s="3" t="s">
        <v>16177</v>
      </c>
      <c r="WRI1" s="3" t="s">
        <v>16178</v>
      </c>
      <c r="WRJ1" s="3" t="s">
        <v>16179</v>
      </c>
      <c r="WRK1" s="3" t="s">
        <v>16180</v>
      </c>
      <c r="WRL1" s="3" t="s">
        <v>16181</v>
      </c>
      <c r="WRM1" s="3" t="s">
        <v>16182</v>
      </c>
      <c r="WRN1" s="3" t="s">
        <v>16183</v>
      </c>
      <c r="WRO1" s="3" t="s">
        <v>16184</v>
      </c>
      <c r="WRP1" s="3" t="s">
        <v>16185</v>
      </c>
      <c r="WRQ1" s="3" t="s">
        <v>16186</v>
      </c>
      <c r="WRR1" s="3" t="s">
        <v>16187</v>
      </c>
      <c r="WRS1" s="3" t="s">
        <v>16188</v>
      </c>
      <c r="WRT1" s="3" t="s">
        <v>16189</v>
      </c>
      <c r="WRU1" s="3" t="s">
        <v>16190</v>
      </c>
      <c r="WRV1" s="3" t="s">
        <v>16191</v>
      </c>
      <c r="WRW1" s="3" t="s">
        <v>16192</v>
      </c>
      <c r="WRX1" s="3" t="s">
        <v>16193</v>
      </c>
      <c r="WRY1" s="3" t="s">
        <v>16194</v>
      </c>
      <c r="WRZ1" s="3" t="s">
        <v>16195</v>
      </c>
      <c r="WSA1" s="3" t="s">
        <v>16196</v>
      </c>
      <c r="WSB1" s="3" t="s">
        <v>16197</v>
      </c>
      <c r="WSC1" s="3" t="s">
        <v>16198</v>
      </c>
      <c r="WSD1" s="3" t="s">
        <v>16199</v>
      </c>
      <c r="WSE1" s="3" t="s">
        <v>16200</v>
      </c>
      <c r="WSF1" s="3" t="s">
        <v>16201</v>
      </c>
      <c r="WSG1" s="3" t="s">
        <v>16202</v>
      </c>
      <c r="WSH1" s="3" t="s">
        <v>16203</v>
      </c>
      <c r="WSI1" s="3" t="s">
        <v>16204</v>
      </c>
      <c r="WSJ1" s="3" t="s">
        <v>16205</v>
      </c>
      <c r="WSK1" s="3" t="s">
        <v>16206</v>
      </c>
      <c r="WSL1" s="3" t="s">
        <v>16207</v>
      </c>
      <c r="WSM1" s="3" t="s">
        <v>16208</v>
      </c>
      <c r="WSN1" s="3" t="s">
        <v>16209</v>
      </c>
      <c r="WSO1" s="3" t="s">
        <v>16210</v>
      </c>
      <c r="WSP1" s="3" t="s">
        <v>16211</v>
      </c>
      <c r="WSQ1" s="3" t="s">
        <v>16212</v>
      </c>
      <c r="WSR1" s="3" t="s">
        <v>16213</v>
      </c>
      <c r="WSS1" s="3" t="s">
        <v>16214</v>
      </c>
      <c r="WST1" s="3" t="s">
        <v>16215</v>
      </c>
      <c r="WSU1" s="3" t="s">
        <v>16216</v>
      </c>
      <c r="WSV1" s="3" t="s">
        <v>16217</v>
      </c>
      <c r="WSW1" s="3" t="s">
        <v>16218</v>
      </c>
      <c r="WSX1" s="3" t="s">
        <v>16219</v>
      </c>
      <c r="WSY1" s="3" t="s">
        <v>16220</v>
      </c>
      <c r="WSZ1" s="3" t="s">
        <v>16221</v>
      </c>
      <c r="WTA1" s="3" t="s">
        <v>16222</v>
      </c>
      <c r="WTB1" s="3" t="s">
        <v>16223</v>
      </c>
      <c r="WTC1" s="3" t="s">
        <v>16224</v>
      </c>
      <c r="WTD1" s="3" t="s">
        <v>16225</v>
      </c>
      <c r="WTE1" s="3" t="s">
        <v>16226</v>
      </c>
      <c r="WTF1" s="3" t="s">
        <v>16227</v>
      </c>
      <c r="WTG1" s="3" t="s">
        <v>16228</v>
      </c>
      <c r="WTH1" s="3" t="s">
        <v>16229</v>
      </c>
      <c r="WTI1" s="3" t="s">
        <v>16230</v>
      </c>
      <c r="WTJ1" s="3" t="s">
        <v>16231</v>
      </c>
      <c r="WTK1" s="3" t="s">
        <v>16232</v>
      </c>
      <c r="WTL1" s="3" t="s">
        <v>16233</v>
      </c>
      <c r="WTM1" s="3" t="s">
        <v>16234</v>
      </c>
      <c r="WTN1" s="3" t="s">
        <v>16235</v>
      </c>
      <c r="WTO1" s="3" t="s">
        <v>16236</v>
      </c>
      <c r="WTP1" s="3" t="s">
        <v>16237</v>
      </c>
      <c r="WTQ1" s="3" t="s">
        <v>16238</v>
      </c>
      <c r="WTR1" s="3" t="s">
        <v>16239</v>
      </c>
      <c r="WTS1" s="3" t="s">
        <v>16240</v>
      </c>
      <c r="WTT1" s="3" t="s">
        <v>16241</v>
      </c>
      <c r="WTU1" s="3" t="s">
        <v>16242</v>
      </c>
      <c r="WTV1" s="3" t="s">
        <v>16243</v>
      </c>
      <c r="WTW1" s="3" t="s">
        <v>16244</v>
      </c>
      <c r="WTX1" s="3" t="s">
        <v>16245</v>
      </c>
      <c r="WTY1" s="3" t="s">
        <v>16246</v>
      </c>
      <c r="WTZ1" s="3" t="s">
        <v>16247</v>
      </c>
      <c r="WUA1" s="3" t="s">
        <v>16248</v>
      </c>
      <c r="WUB1" s="3" t="s">
        <v>16249</v>
      </c>
      <c r="WUC1" s="3" t="s">
        <v>16250</v>
      </c>
      <c r="WUD1" s="3" t="s">
        <v>16251</v>
      </c>
      <c r="WUE1" s="3" t="s">
        <v>16252</v>
      </c>
      <c r="WUF1" s="3" t="s">
        <v>16253</v>
      </c>
      <c r="WUG1" s="3" t="s">
        <v>16254</v>
      </c>
      <c r="WUH1" s="3" t="s">
        <v>16255</v>
      </c>
      <c r="WUI1" s="3" t="s">
        <v>16256</v>
      </c>
      <c r="WUJ1" s="3" t="s">
        <v>16257</v>
      </c>
      <c r="WUK1" s="3" t="s">
        <v>16258</v>
      </c>
      <c r="WUL1" s="3" t="s">
        <v>16259</v>
      </c>
      <c r="WUM1" s="3" t="s">
        <v>16260</v>
      </c>
      <c r="WUN1" s="3" t="s">
        <v>16261</v>
      </c>
      <c r="WUO1" s="3" t="s">
        <v>16262</v>
      </c>
      <c r="WUP1" s="3" t="s">
        <v>16263</v>
      </c>
      <c r="WUQ1" s="3" t="s">
        <v>16264</v>
      </c>
      <c r="WUR1" s="3" t="s">
        <v>16265</v>
      </c>
      <c r="WUS1" s="3" t="s">
        <v>16266</v>
      </c>
      <c r="WUT1" s="3" t="s">
        <v>16267</v>
      </c>
      <c r="WUU1" s="3" t="s">
        <v>16268</v>
      </c>
      <c r="WUV1" s="3" t="s">
        <v>16269</v>
      </c>
      <c r="WUW1" s="3" t="s">
        <v>16270</v>
      </c>
      <c r="WUX1" s="3" t="s">
        <v>16271</v>
      </c>
      <c r="WUY1" s="3" t="s">
        <v>16272</v>
      </c>
      <c r="WUZ1" s="3" t="s">
        <v>16273</v>
      </c>
      <c r="WVA1" s="3" t="s">
        <v>16274</v>
      </c>
      <c r="WVB1" s="3" t="s">
        <v>16275</v>
      </c>
      <c r="WVC1" s="3" t="s">
        <v>16276</v>
      </c>
      <c r="WVD1" s="3" t="s">
        <v>16277</v>
      </c>
      <c r="WVE1" s="3" t="s">
        <v>16278</v>
      </c>
      <c r="WVF1" s="3" t="s">
        <v>16279</v>
      </c>
      <c r="WVG1" s="3" t="s">
        <v>16280</v>
      </c>
      <c r="WVH1" s="3" t="s">
        <v>16281</v>
      </c>
      <c r="WVI1" s="3" t="s">
        <v>16282</v>
      </c>
      <c r="WVJ1" s="3" t="s">
        <v>16283</v>
      </c>
      <c r="WVK1" s="3" t="s">
        <v>16284</v>
      </c>
      <c r="WVL1" s="3" t="s">
        <v>16285</v>
      </c>
      <c r="WVM1" s="3" t="s">
        <v>16286</v>
      </c>
      <c r="WVN1" s="3" t="s">
        <v>16287</v>
      </c>
      <c r="WVO1" s="3" t="s">
        <v>16288</v>
      </c>
      <c r="WVP1" s="3" t="s">
        <v>16289</v>
      </c>
      <c r="WVQ1" s="3" t="s">
        <v>16290</v>
      </c>
      <c r="WVR1" s="3" t="s">
        <v>16291</v>
      </c>
      <c r="WVS1" s="3" t="s">
        <v>16292</v>
      </c>
      <c r="WVT1" s="3" t="s">
        <v>16293</v>
      </c>
      <c r="WVU1" s="3" t="s">
        <v>16294</v>
      </c>
      <c r="WVV1" s="3" t="s">
        <v>16295</v>
      </c>
      <c r="WVW1" s="3" t="s">
        <v>16296</v>
      </c>
      <c r="WVX1" s="3" t="s">
        <v>16297</v>
      </c>
      <c r="WVY1" s="3" t="s">
        <v>16298</v>
      </c>
      <c r="WVZ1" s="3" t="s">
        <v>16299</v>
      </c>
      <c r="WWA1" s="3" t="s">
        <v>16300</v>
      </c>
      <c r="WWB1" s="3" t="s">
        <v>16301</v>
      </c>
      <c r="WWC1" s="3" t="s">
        <v>16302</v>
      </c>
      <c r="WWD1" s="3" t="s">
        <v>16303</v>
      </c>
      <c r="WWE1" s="3" t="s">
        <v>16304</v>
      </c>
      <c r="WWF1" s="3" t="s">
        <v>16305</v>
      </c>
      <c r="WWG1" s="3" t="s">
        <v>16306</v>
      </c>
      <c r="WWH1" s="3" t="s">
        <v>16307</v>
      </c>
      <c r="WWI1" s="3" t="s">
        <v>16308</v>
      </c>
      <c r="WWJ1" s="3" t="s">
        <v>16309</v>
      </c>
      <c r="WWK1" s="3" t="s">
        <v>16310</v>
      </c>
      <c r="WWL1" s="3" t="s">
        <v>16311</v>
      </c>
      <c r="WWM1" s="3" t="s">
        <v>16312</v>
      </c>
      <c r="WWN1" s="3" t="s">
        <v>16313</v>
      </c>
      <c r="WWO1" s="3" t="s">
        <v>16314</v>
      </c>
      <c r="WWP1" s="3" t="s">
        <v>16315</v>
      </c>
      <c r="WWQ1" s="3" t="s">
        <v>16316</v>
      </c>
      <c r="WWR1" s="3" t="s">
        <v>16317</v>
      </c>
      <c r="WWS1" s="3" t="s">
        <v>16318</v>
      </c>
      <c r="WWT1" s="3" t="s">
        <v>16319</v>
      </c>
      <c r="WWU1" s="3" t="s">
        <v>16320</v>
      </c>
      <c r="WWV1" s="3" t="s">
        <v>16321</v>
      </c>
      <c r="WWW1" s="3" t="s">
        <v>16322</v>
      </c>
      <c r="WWX1" s="3" t="s">
        <v>16323</v>
      </c>
      <c r="WWY1" s="3" t="s">
        <v>16324</v>
      </c>
      <c r="WWZ1" s="3" t="s">
        <v>16325</v>
      </c>
      <c r="WXA1" s="3" t="s">
        <v>16326</v>
      </c>
      <c r="WXB1" s="3" t="s">
        <v>16327</v>
      </c>
      <c r="WXC1" s="3" t="s">
        <v>16328</v>
      </c>
      <c r="WXD1" s="3" t="s">
        <v>16329</v>
      </c>
      <c r="WXE1" s="3" t="s">
        <v>16330</v>
      </c>
      <c r="WXF1" s="3" t="s">
        <v>16331</v>
      </c>
      <c r="WXG1" s="3" t="s">
        <v>16332</v>
      </c>
      <c r="WXH1" s="3" t="s">
        <v>16333</v>
      </c>
      <c r="WXI1" s="3" t="s">
        <v>16334</v>
      </c>
      <c r="WXJ1" s="3" t="s">
        <v>16335</v>
      </c>
      <c r="WXK1" s="3" t="s">
        <v>16336</v>
      </c>
      <c r="WXL1" s="3" t="s">
        <v>16337</v>
      </c>
      <c r="WXM1" s="3" t="s">
        <v>16338</v>
      </c>
      <c r="WXN1" s="3" t="s">
        <v>16339</v>
      </c>
      <c r="WXO1" s="3" t="s">
        <v>16340</v>
      </c>
      <c r="WXP1" s="3" t="s">
        <v>16341</v>
      </c>
      <c r="WXQ1" s="3" t="s">
        <v>16342</v>
      </c>
      <c r="WXR1" s="3" t="s">
        <v>16343</v>
      </c>
      <c r="WXS1" s="3" t="s">
        <v>16344</v>
      </c>
      <c r="WXT1" s="3" t="s">
        <v>16345</v>
      </c>
      <c r="WXU1" s="3" t="s">
        <v>16346</v>
      </c>
      <c r="WXV1" s="3" t="s">
        <v>16347</v>
      </c>
      <c r="WXW1" s="3" t="s">
        <v>16348</v>
      </c>
      <c r="WXX1" s="3" t="s">
        <v>16349</v>
      </c>
      <c r="WXY1" s="3" t="s">
        <v>16350</v>
      </c>
      <c r="WXZ1" s="3" t="s">
        <v>16351</v>
      </c>
      <c r="WYA1" s="3" t="s">
        <v>16352</v>
      </c>
      <c r="WYB1" s="3" t="s">
        <v>16353</v>
      </c>
      <c r="WYC1" s="3" t="s">
        <v>16354</v>
      </c>
      <c r="WYD1" s="3" t="s">
        <v>16355</v>
      </c>
      <c r="WYE1" s="3" t="s">
        <v>16356</v>
      </c>
      <c r="WYF1" s="3" t="s">
        <v>16357</v>
      </c>
      <c r="WYG1" s="3" t="s">
        <v>16358</v>
      </c>
      <c r="WYH1" s="3" t="s">
        <v>16359</v>
      </c>
      <c r="WYI1" s="3" t="s">
        <v>16360</v>
      </c>
      <c r="WYJ1" s="3" t="s">
        <v>16361</v>
      </c>
      <c r="WYK1" s="3" t="s">
        <v>16362</v>
      </c>
      <c r="WYL1" s="3" t="s">
        <v>16363</v>
      </c>
      <c r="WYM1" s="3" t="s">
        <v>16364</v>
      </c>
      <c r="WYN1" s="3" t="s">
        <v>16365</v>
      </c>
      <c r="WYO1" s="3" t="s">
        <v>16366</v>
      </c>
      <c r="WYP1" s="3" t="s">
        <v>16367</v>
      </c>
      <c r="WYQ1" s="3" t="s">
        <v>16368</v>
      </c>
      <c r="WYR1" s="3" t="s">
        <v>16369</v>
      </c>
      <c r="WYS1" s="3" t="s">
        <v>16370</v>
      </c>
      <c r="WYT1" s="3" t="s">
        <v>16371</v>
      </c>
      <c r="WYU1" s="3" t="s">
        <v>16372</v>
      </c>
      <c r="WYV1" s="3" t="s">
        <v>16373</v>
      </c>
      <c r="WYW1" s="3" t="s">
        <v>16374</v>
      </c>
      <c r="WYX1" s="3" t="s">
        <v>16375</v>
      </c>
      <c r="WYY1" s="3" t="s">
        <v>16376</v>
      </c>
      <c r="WYZ1" s="3" t="s">
        <v>16377</v>
      </c>
      <c r="WZA1" s="3" t="s">
        <v>16378</v>
      </c>
      <c r="WZB1" s="3" t="s">
        <v>16379</v>
      </c>
      <c r="WZC1" s="3" t="s">
        <v>16380</v>
      </c>
      <c r="WZD1" s="3" t="s">
        <v>16381</v>
      </c>
      <c r="WZE1" s="3" t="s">
        <v>16382</v>
      </c>
      <c r="WZF1" s="3" t="s">
        <v>16383</v>
      </c>
      <c r="WZG1" s="3" t="s">
        <v>16384</v>
      </c>
      <c r="WZH1" s="3" t="s">
        <v>16385</v>
      </c>
      <c r="WZI1" s="3" t="s">
        <v>16386</v>
      </c>
      <c r="WZJ1" s="3" t="s">
        <v>16387</v>
      </c>
      <c r="WZK1" s="3" t="s">
        <v>16388</v>
      </c>
      <c r="WZL1" s="3" t="s">
        <v>16389</v>
      </c>
      <c r="WZM1" s="3" t="s">
        <v>16390</v>
      </c>
      <c r="WZN1" s="3" t="s">
        <v>16391</v>
      </c>
      <c r="WZO1" s="3" t="s">
        <v>16392</v>
      </c>
      <c r="WZP1" s="3" t="s">
        <v>16393</v>
      </c>
      <c r="WZQ1" s="3" t="s">
        <v>16394</v>
      </c>
      <c r="WZR1" s="3" t="s">
        <v>16395</v>
      </c>
      <c r="WZS1" s="3" t="s">
        <v>16396</v>
      </c>
      <c r="WZT1" s="3" t="s">
        <v>16397</v>
      </c>
      <c r="WZU1" s="3" t="s">
        <v>16398</v>
      </c>
      <c r="WZV1" s="3" t="s">
        <v>16399</v>
      </c>
      <c r="WZW1" s="3" t="s">
        <v>16400</v>
      </c>
      <c r="WZX1" s="3" t="s">
        <v>16401</v>
      </c>
      <c r="WZY1" s="3" t="s">
        <v>16402</v>
      </c>
      <c r="WZZ1" s="3" t="s">
        <v>16403</v>
      </c>
      <c r="XAA1" s="3" t="s">
        <v>16404</v>
      </c>
      <c r="XAB1" s="3" t="s">
        <v>16405</v>
      </c>
      <c r="XAC1" s="3" t="s">
        <v>16406</v>
      </c>
      <c r="XAD1" s="3" t="s">
        <v>16407</v>
      </c>
      <c r="XAE1" s="3" t="s">
        <v>16408</v>
      </c>
      <c r="XAF1" s="3" t="s">
        <v>16409</v>
      </c>
      <c r="XAG1" s="3" t="s">
        <v>16410</v>
      </c>
      <c r="XAH1" s="3" t="s">
        <v>16411</v>
      </c>
      <c r="XAI1" s="3" t="s">
        <v>16412</v>
      </c>
      <c r="XAJ1" s="3" t="s">
        <v>16413</v>
      </c>
      <c r="XAK1" s="3" t="s">
        <v>16414</v>
      </c>
      <c r="XAL1" s="3" t="s">
        <v>16415</v>
      </c>
      <c r="XAM1" s="3" t="s">
        <v>16416</v>
      </c>
      <c r="XAN1" s="3" t="s">
        <v>16417</v>
      </c>
      <c r="XAO1" s="3" t="s">
        <v>16418</v>
      </c>
      <c r="XAP1" s="3" t="s">
        <v>16419</v>
      </c>
      <c r="XAQ1" s="3" t="s">
        <v>16420</v>
      </c>
      <c r="XAR1" s="3" t="s">
        <v>16421</v>
      </c>
      <c r="XAS1" s="3" t="s">
        <v>16422</v>
      </c>
      <c r="XAT1" s="3" t="s">
        <v>16423</v>
      </c>
      <c r="XAU1" s="3" t="s">
        <v>16424</v>
      </c>
      <c r="XAV1" s="3" t="s">
        <v>16425</v>
      </c>
      <c r="XAW1" s="3" t="s">
        <v>16426</v>
      </c>
      <c r="XAX1" s="3" t="s">
        <v>16427</v>
      </c>
      <c r="XAY1" s="3" t="s">
        <v>16428</v>
      </c>
      <c r="XAZ1" s="3" t="s">
        <v>16429</v>
      </c>
      <c r="XBA1" s="3" t="s">
        <v>16430</v>
      </c>
      <c r="XBB1" s="3" t="s">
        <v>16431</v>
      </c>
      <c r="XBC1" s="3" t="s">
        <v>16432</v>
      </c>
      <c r="XBD1" s="3" t="s">
        <v>16433</v>
      </c>
      <c r="XBE1" s="3" t="s">
        <v>16434</v>
      </c>
      <c r="XBF1" s="3" t="s">
        <v>16435</v>
      </c>
      <c r="XBG1" s="3" t="s">
        <v>16436</v>
      </c>
      <c r="XBH1" s="3" t="s">
        <v>16437</v>
      </c>
      <c r="XBI1" s="3" t="s">
        <v>16438</v>
      </c>
      <c r="XBJ1" s="3" t="s">
        <v>16439</v>
      </c>
      <c r="XBK1" s="3" t="s">
        <v>16440</v>
      </c>
      <c r="XBL1" s="3" t="s">
        <v>16441</v>
      </c>
      <c r="XBM1" s="3" t="s">
        <v>16442</v>
      </c>
      <c r="XBN1" s="3" t="s">
        <v>16443</v>
      </c>
      <c r="XBO1" s="3" t="s">
        <v>16444</v>
      </c>
      <c r="XBP1" s="3" t="s">
        <v>16445</v>
      </c>
      <c r="XBQ1" s="3" t="s">
        <v>16446</v>
      </c>
      <c r="XBR1" s="3" t="s">
        <v>16447</v>
      </c>
      <c r="XBS1" s="3" t="s">
        <v>16448</v>
      </c>
      <c r="XBT1" s="3" t="s">
        <v>16449</v>
      </c>
      <c r="XBU1" s="3" t="s">
        <v>16450</v>
      </c>
      <c r="XBV1" s="3" t="s">
        <v>16451</v>
      </c>
      <c r="XBW1" s="3" t="s">
        <v>16452</v>
      </c>
      <c r="XBX1" s="3" t="s">
        <v>16453</v>
      </c>
      <c r="XBY1" s="3" t="s">
        <v>16454</v>
      </c>
      <c r="XBZ1" s="3" t="s">
        <v>16455</v>
      </c>
      <c r="XCA1" s="3" t="s">
        <v>16456</v>
      </c>
      <c r="XCB1" s="3" t="s">
        <v>16457</v>
      </c>
      <c r="XCC1" s="3" t="s">
        <v>16458</v>
      </c>
      <c r="XCD1" s="3" t="s">
        <v>16459</v>
      </c>
      <c r="XCE1" s="3" t="s">
        <v>16460</v>
      </c>
      <c r="XCF1" s="3" t="s">
        <v>16461</v>
      </c>
      <c r="XCG1" s="3" t="s">
        <v>16462</v>
      </c>
      <c r="XCH1" s="3" t="s">
        <v>16463</v>
      </c>
      <c r="XCI1" s="3" t="s">
        <v>16464</v>
      </c>
      <c r="XCJ1" s="3" t="s">
        <v>16465</v>
      </c>
      <c r="XCK1" s="3" t="s">
        <v>16466</v>
      </c>
      <c r="XCL1" s="3" t="s">
        <v>16467</v>
      </c>
      <c r="XCM1" s="3" t="s">
        <v>16468</v>
      </c>
      <c r="XCN1" s="3" t="s">
        <v>16469</v>
      </c>
      <c r="XCO1" s="3" t="s">
        <v>16470</v>
      </c>
      <c r="XCP1" s="3" t="s">
        <v>16471</v>
      </c>
      <c r="XCQ1" s="3" t="s">
        <v>16472</v>
      </c>
      <c r="XCR1" s="3" t="s">
        <v>16473</v>
      </c>
      <c r="XCS1" s="3" t="s">
        <v>16474</v>
      </c>
      <c r="XCT1" s="3" t="s">
        <v>16475</v>
      </c>
      <c r="XCU1" s="3" t="s">
        <v>16476</v>
      </c>
      <c r="XCV1" s="3" t="s">
        <v>16477</v>
      </c>
      <c r="XCW1" s="3" t="s">
        <v>16478</v>
      </c>
      <c r="XCX1" s="3" t="s">
        <v>16479</v>
      </c>
      <c r="XCY1" s="3" t="s">
        <v>16480</v>
      </c>
      <c r="XCZ1" s="3" t="s">
        <v>16481</v>
      </c>
      <c r="XDA1" s="3" t="s">
        <v>16482</v>
      </c>
      <c r="XDB1" s="3" t="s">
        <v>16483</v>
      </c>
      <c r="XDC1" s="3" t="s">
        <v>16484</v>
      </c>
      <c r="XDD1" s="3" t="s">
        <v>16485</v>
      </c>
      <c r="XDE1" s="3" t="s">
        <v>16486</v>
      </c>
      <c r="XDF1" s="3" t="s">
        <v>16487</v>
      </c>
      <c r="XDG1" s="3" t="s">
        <v>16488</v>
      </c>
      <c r="XDH1" s="3" t="s">
        <v>16489</v>
      </c>
      <c r="XDI1" s="3" t="s">
        <v>16490</v>
      </c>
      <c r="XDJ1" s="3" t="s">
        <v>16491</v>
      </c>
      <c r="XDK1" s="3" t="s">
        <v>16492</v>
      </c>
      <c r="XDL1" s="3" t="s">
        <v>16493</v>
      </c>
      <c r="XDM1" s="3" t="s">
        <v>16494</v>
      </c>
      <c r="XDN1" s="3" t="s">
        <v>16495</v>
      </c>
      <c r="XDO1" s="3" t="s">
        <v>16496</v>
      </c>
      <c r="XDP1" s="3" t="s">
        <v>16497</v>
      </c>
      <c r="XDQ1" s="3" t="s">
        <v>16498</v>
      </c>
      <c r="XDR1" s="3" t="s">
        <v>16499</v>
      </c>
      <c r="XDS1" s="3" t="s">
        <v>16500</v>
      </c>
      <c r="XDT1" s="3" t="s">
        <v>16501</v>
      </c>
      <c r="XDU1" s="3" t="s">
        <v>16502</v>
      </c>
      <c r="XDV1" s="3" t="s">
        <v>16503</v>
      </c>
      <c r="XDW1" s="3" t="s">
        <v>16504</v>
      </c>
      <c r="XDX1" s="3" t="s">
        <v>16505</v>
      </c>
      <c r="XDY1" s="3" t="s">
        <v>16506</v>
      </c>
      <c r="XDZ1" s="3" t="s">
        <v>16507</v>
      </c>
      <c r="XEA1" s="3" t="s">
        <v>16508</v>
      </c>
      <c r="XEB1" s="3" t="s">
        <v>16509</v>
      </c>
      <c r="XEC1" s="3" t="s">
        <v>16510</v>
      </c>
      <c r="XED1" s="3" t="s">
        <v>16511</v>
      </c>
      <c r="XEE1" s="3" t="s">
        <v>16512</v>
      </c>
      <c r="XEF1" s="3" t="s">
        <v>16513</v>
      </c>
      <c r="XEG1" s="3" t="s">
        <v>16514</v>
      </c>
      <c r="XEH1" s="3" t="s">
        <v>16515</v>
      </c>
      <c r="XEI1" s="3" t="s">
        <v>16516</v>
      </c>
      <c r="XEJ1" s="3" t="s">
        <v>16517</v>
      </c>
      <c r="XEK1" s="3" t="s">
        <v>16518</v>
      </c>
      <c r="XEL1" s="3" t="s">
        <v>16519</v>
      </c>
      <c r="XEM1" s="3" t="s">
        <v>16520</v>
      </c>
      <c r="XEN1" s="3" t="s">
        <v>16521</v>
      </c>
      <c r="XEO1" s="3" t="s">
        <v>16522</v>
      </c>
      <c r="XEP1" s="3" t="s">
        <v>16523</v>
      </c>
      <c r="XEQ1" s="3" t="s">
        <v>16524</v>
      </c>
      <c r="XER1" s="3" t="s">
        <v>16525</v>
      </c>
      <c r="XES1" s="3" t="s">
        <v>16526</v>
      </c>
      <c r="XET1" s="3" t="s">
        <v>16527</v>
      </c>
      <c r="XEU1" s="3" t="s">
        <v>16528</v>
      </c>
      <c r="XEV1" s="3" t="s">
        <v>16529</v>
      </c>
      <c r="XEW1" s="3" t="s">
        <v>16530</v>
      </c>
      <c r="XEX1" s="3" t="s">
        <v>16531</v>
      </c>
      <c r="XEY1" s="3" t="s">
        <v>16532</v>
      </c>
      <c r="XEZ1" s="3" t="s">
        <v>16533</v>
      </c>
      <c r="XFA1" s="3" t="s">
        <v>16534</v>
      </c>
      <c r="XFB1" s="3" t="s">
        <v>16535</v>
      </c>
      <c r="XFC1" s="3" t="s">
        <v>16536</v>
      </c>
      <c r="XFD1" s="3" t="s">
        <v>16537</v>
      </c>
    </row>
    <row r="2" spans="1:16384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16384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16384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16384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16384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16384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16384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16384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16384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16384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16384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16384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16384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16384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16384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>
      <c r="F42" s="2" t="s">
        <v>104</v>
      </c>
      <c r="H42" s="1">
        <f>SUMIF(H2:H40,"&gt;20")</f>
        <v>1473.0000000000002</v>
      </c>
    </row>
  </sheetData>
  <conditionalFormatting sqref="A1:A1048576">
    <cfRule type="duplicateValues" dxfId="16414" priority="4"/>
  </conditionalFormatting>
  <conditionalFormatting sqref="B1:B1048576">
    <cfRule type="duplicateValues" dxfId="16413" priority="3"/>
  </conditionalFormatting>
  <conditionalFormatting sqref="G1:W40">
    <cfRule type="cellIs" dxfId="16412" priority="1" operator="equal">
      <formula>0</formula>
    </cfRule>
    <cfRule type="cellIs" dxfId="16411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1" t="s">
        <v>177</v>
      </c>
      <c r="D5" s="1">
        <v>1473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33" sqref="E33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>
      <c r="A1" s="39" t="s">
        <v>55</v>
      </c>
      <c r="B1" s="38" t="s">
        <v>164</v>
      </c>
    </row>
    <row r="2" spans="1:7" s="38" customFormat="1" ht="21">
      <c r="B2" s="38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6" t="s">
        <v>162</v>
      </c>
      <c r="B4" s="1"/>
      <c r="C4" s="1"/>
      <c r="D4" s="1"/>
      <c r="E4" s="1"/>
      <c r="F4" s="1"/>
      <c r="G4" s="1"/>
    </row>
    <row r="5" spans="1:7" ht="14.4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>
      <c r="A6" s="7" t="s">
        <v>40</v>
      </c>
      <c r="B6" s="11">
        <f>VLOOKUP(A6,Table1[],7,0)</f>
        <v>2.7</v>
      </c>
      <c r="C6" s="11">
        <f>VLOOKUP(A6,Table1[],8,0)</f>
        <v>3.6</v>
      </c>
      <c r="D6" s="11">
        <f>VLOOKUP(A6,Table1[],18,0)</f>
        <v>4.2</v>
      </c>
      <c r="E6" s="11">
        <f>VLOOKUP(A6,Table1[],20,0)</f>
        <v>8.9</v>
      </c>
      <c r="F6" s="11">
        <f>VLOOKUP(A6,Table1[],22,0)</f>
        <v>4.2</v>
      </c>
    </row>
    <row r="7" spans="1:7" ht="14.4">
      <c r="A7" s="7" t="s">
        <v>4</v>
      </c>
      <c r="B7" s="11">
        <f>VLOOKUP(A7,Table1[],7,0)</f>
        <v>2.7</v>
      </c>
      <c r="C7" s="11">
        <f>VLOOKUP(Task_2!A7,Table1[],8,0)</f>
        <v>3.6</v>
      </c>
      <c r="D7" s="11">
        <f>VLOOKUP(A7,Table1[],18,0)</f>
        <v>4.2</v>
      </c>
      <c r="E7" s="11">
        <f>VLOOKUP(A7,Table1[],20,0)</f>
        <v>8.9</v>
      </c>
      <c r="F7" s="11">
        <f>VLOOKUP(A7,Table1[],22,0)</f>
        <v>4.2</v>
      </c>
    </row>
    <row r="8" spans="1:7" ht="14.4">
      <c r="A8" s="7" t="s">
        <v>7</v>
      </c>
      <c r="B8" s="11">
        <f>VLOOKUP(A8,Table1[],7,0)</f>
        <v>3.6</v>
      </c>
      <c r="C8" s="11">
        <f>VLOOKUP(Task_2!A8,Table1[],8,0)</f>
        <v>5.4</v>
      </c>
      <c r="D8" s="11">
        <f>VLOOKUP(A8,Table1[],18,0)</f>
        <v>5.8</v>
      </c>
      <c r="E8" s="11">
        <f>VLOOKUP(A8,Table1[],20,0)</f>
        <v>12.2</v>
      </c>
      <c r="F8" s="11">
        <f>VLOOKUP(A8,Table1[],22,0)</f>
        <v>5.8</v>
      </c>
    </row>
    <row r="9" spans="1:7" ht="14.4">
      <c r="A9" s="7" t="s">
        <v>8</v>
      </c>
      <c r="B9" s="11">
        <f>VLOOKUP(A9,Table1[],7,0)</f>
        <v>4.9000000000000004</v>
      </c>
      <c r="C9" s="11">
        <f>VLOOKUP(Task_2!A9,Table1[],8,0)</f>
        <v>6.6</v>
      </c>
      <c r="D9" s="11">
        <f>VLOOKUP(A9,Table1[],18,0)</f>
        <v>8.1</v>
      </c>
      <c r="E9" s="11">
        <f>VLOOKUP(A9,Table1[],20,0)</f>
        <v>17</v>
      </c>
      <c r="F9" s="11">
        <f>VLOOKUP(A9,Table1[],22,0)</f>
        <v>8.1</v>
      </c>
    </row>
    <row r="10" spans="1:7" ht="14.4">
      <c r="A10" s="7" t="s">
        <v>11</v>
      </c>
      <c r="B10" s="11">
        <f>VLOOKUP(A10,Table1[],7,0)</f>
        <v>9.4</v>
      </c>
      <c r="C10" s="11">
        <f>VLOOKUP(Task_2!A10,Table1[],8,0)</f>
        <v>13.8</v>
      </c>
      <c r="D10" s="11">
        <f>VLOOKUP(A10,Table1[],18,0)</f>
        <v>16.100000000000001</v>
      </c>
      <c r="E10" s="11">
        <f>VLOOKUP(A10,Table1[],20,0)</f>
        <v>32.799999999999997</v>
      </c>
      <c r="F10" s="11">
        <f>VLOOKUP(A10,Table1[],22,0)</f>
        <v>16.100000000000001</v>
      </c>
    </row>
    <row r="11" spans="1:7" ht="14.4">
      <c r="A11" s="7" t="s">
        <v>12</v>
      </c>
      <c r="B11" s="11">
        <f>VLOOKUP(A11,Table1[],7,0)</f>
        <v>11.6</v>
      </c>
      <c r="C11" s="11">
        <f>VLOOKUP(Task_2!A11,Table1[],8,0)</f>
        <v>17.3</v>
      </c>
      <c r="D11" s="11">
        <f>VLOOKUP(A11,Table1[],18,0)</f>
        <v>21.3</v>
      </c>
      <c r="E11" s="11">
        <f>VLOOKUP(A11,Table1[],20,0)</f>
        <v>43</v>
      </c>
      <c r="F11" s="11">
        <f>VLOOKUP(A11,Table1[],22,0)</f>
        <v>21.3</v>
      </c>
    </row>
    <row r="12" spans="1:7" ht="14.4">
      <c r="A12" s="7" t="s">
        <v>14</v>
      </c>
      <c r="B12" s="11">
        <f>VLOOKUP(A12,Table1[],7,0)</f>
        <v>18.399999999999999</v>
      </c>
      <c r="C12" s="11">
        <f>VLOOKUP(Task_2!A12,Table1[],8,0)</f>
        <v>27.5</v>
      </c>
      <c r="D12" s="11">
        <f>VLOOKUP(A12,Table1[],18,0)</f>
        <v>33.799999999999997</v>
      </c>
      <c r="E12" s="11">
        <f>VLOOKUP(A12,Table1[],20,0)</f>
        <v>67.900000000000006</v>
      </c>
      <c r="F12" s="11">
        <f>VLOOKUP(A12,Table1[],22,0)</f>
        <v>33.799999999999997</v>
      </c>
    </row>
    <row r="13" spans="1:7" ht="14.4">
      <c r="A13" s="7" t="s">
        <v>15</v>
      </c>
      <c r="B13" s="11">
        <f>VLOOKUP(A13,Table1[],7,0)</f>
        <v>0</v>
      </c>
      <c r="C13" s="11">
        <f>VLOOKUP(Task_2!A13,Table1[],8,0)</f>
        <v>0</v>
      </c>
      <c r="D13" s="11">
        <f>VLOOKUP(A13,Table1[],18,0)</f>
        <v>0</v>
      </c>
      <c r="E13" s="11">
        <f>VLOOKUP(A13,Table1[],20,0)</f>
        <v>0</v>
      </c>
      <c r="F13" s="11">
        <f>VLOOKUP(A13,Table1[],22,0)</f>
        <v>0</v>
      </c>
    </row>
    <row r="14" spans="1:7" ht="14.4">
      <c r="A14" s="7" t="s">
        <v>16</v>
      </c>
      <c r="B14" s="11">
        <f>VLOOKUP(A14,Table1[],7,0)</f>
        <v>21.9</v>
      </c>
      <c r="C14" s="11">
        <f>VLOOKUP(Task_2!A14,Table1[],8,0)</f>
        <v>32.1</v>
      </c>
      <c r="D14" s="11">
        <f>VLOOKUP(A14,Table1[],18,0)</f>
        <v>40.1</v>
      </c>
      <c r="E14" s="11">
        <f>VLOOKUP(A14,Table1[],20,0)</f>
        <v>76.599999999999994</v>
      </c>
      <c r="F14" s="11">
        <f>VLOOKUP(A14,Table1[],22,0)</f>
        <v>40.1</v>
      </c>
    </row>
    <row r="15" spans="1:7" ht="14.4">
      <c r="A15" s="7" t="s">
        <v>18</v>
      </c>
      <c r="B15" s="11">
        <f>VLOOKUP(A15,Table1[],7,0)</f>
        <v>26.8</v>
      </c>
      <c r="C15" s="11">
        <f>VLOOKUP(Task_2!A15,Table1[],8,0)</f>
        <v>39.299999999999997</v>
      </c>
      <c r="D15" s="11">
        <f>VLOOKUP(A15,Table1[],18,0)</f>
        <v>47.9</v>
      </c>
      <c r="E15" s="11">
        <f>VLOOKUP(A15,Table1[],20,0)</f>
        <v>96.8</v>
      </c>
      <c r="F15" s="11">
        <f>VLOOKUP(A15,Table1[],22,0)</f>
        <v>47.9</v>
      </c>
    </row>
    <row r="16" spans="1:7" ht="14.4">
      <c r="A16" s="7" t="s">
        <v>20</v>
      </c>
      <c r="B16" s="11">
        <f>VLOOKUP(A16,Table1[],7,0)</f>
        <v>28.5</v>
      </c>
      <c r="C16" s="11">
        <f>VLOOKUP(Task_2!A16,Table1[],8,0)</f>
        <v>42.3</v>
      </c>
      <c r="D16" s="11">
        <f>VLOOKUP(A16,Table1[],18,0)</f>
        <v>52.3</v>
      </c>
      <c r="E16" s="11">
        <f>VLOOKUP(A16,Table1[],20,0)</f>
        <v>106.1</v>
      </c>
      <c r="F16" s="11">
        <f>VLOOKUP(A16,Table1[],22,0)</f>
        <v>52.3</v>
      </c>
    </row>
    <row r="17" spans="1:6" ht="14.4">
      <c r="A17" s="7" t="s">
        <v>22</v>
      </c>
      <c r="B17" s="11">
        <f>VLOOKUP(A17,Table1[],7,0)</f>
        <v>30.7</v>
      </c>
      <c r="C17" s="11">
        <f>VLOOKUP(Task_2!A17,Table1[],8,0)</f>
        <v>45.5</v>
      </c>
      <c r="D17" s="11">
        <f>VLOOKUP(A17,Table1[],18,0)</f>
        <v>57</v>
      </c>
      <c r="E17" s="11">
        <f>VLOOKUP(A17,Table1[],20,0)</f>
        <v>115.1</v>
      </c>
      <c r="F17" s="11">
        <f>VLOOKUP(A17,Table1[],22,0)</f>
        <v>57</v>
      </c>
    </row>
    <row r="18" spans="1:6" ht="14.4">
      <c r="A18" s="7" t="s">
        <v>23</v>
      </c>
      <c r="B18" s="11">
        <f>VLOOKUP(A18,Table1[],7,0)</f>
        <v>33.799999999999997</v>
      </c>
      <c r="C18" s="11">
        <f>VLOOKUP(Task_2!A18,Table1[],8,0)</f>
        <v>50.1</v>
      </c>
      <c r="D18" s="11">
        <f>VLOOKUP(A18,Table1[],18,0)</f>
        <v>61.4</v>
      </c>
      <c r="E18" s="11">
        <f>VLOOKUP(A18,Table1[],20,0)</f>
        <v>124.4</v>
      </c>
      <c r="F18" s="11">
        <f>VLOOKUP(A18,Table1[],22,0)</f>
        <v>61.4</v>
      </c>
    </row>
    <row r="19" spans="1:6" ht="14.4">
      <c r="A19" s="7" t="s">
        <v>24</v>
      </c>
      <c r="B19" s="11">
        <f>VLOOKUP(A19,Table1[],7,0)</f>
        <v>34.700000000000003</v>
      </c>
      <c r="C19" s="11">
        <f>VLOOKUP(Task_2!A19,Table1[],8,0)</f>
        <v>52.3</v>
      </c>
      <c r="D19" s="11">
        <f>VLOOKUP(A19,Table1[],18,0)</f>
        <v>63.6</v>
      </c>
      <c r="E19" s="11">
        <f>VLOOKUP(A19,Table1[],20,0)</f>
        <v>128.6</v>
      </c>
      <c r="F19" s="11">
        <f>VLOOKUP(A19,Table1[],22,0)</f>
        <v>63.6</v>
      </c>
    </row>
    <row r="20" spans="1:6" ht="14.4">
      <c r="A20" s="7" t="s">
        <v>28</v>
      </c>
      <c r="B20" s="11">
        <f>VLOOKUP(A20,Table1[],7,0)</f>
        <v>0</v>
      </c>
      <c r="C20" s="11">
        <f>VLOOKUP(Task_2!A20,Table1[],8,0)</f>
        <v>0</v>
      </c>
      <c r="D20" s="11">
        <f>VLOOKUP(A20,Table1[],18,0)</f>
        <v>0</v>
      </c>
      <c r="E20" s="11">
        <f>VLOOKUP(A20,Table1[],20,0)</f>
        <v>0</v>
      </c>
      <c r="F20" s="11">
        <f>VLOOKUP(A20,Table1[],22,0)</f>
        <v>0</v>
      </c>
    </row>
    <row r="21" spans="1:6" ht="14.4">
      <c r="A21" s="7" t="s">
        <v>57</v>
      </c>
      <c r="B21" s="11">
        <f>VLOOKUP(A21,Table1[],7,0)</f>
        <v>41.3</v>
      </c>
      <c r="C21" s="11">
        <f>VLOOKUP(Task_2!A21,Table1[],8,0)</f>
        <v>61.4</v>
      </c>
      <c r="D21" s="11">
        <f>VLOOKUP(A21,Table1[],18,0)</f>
        <v>75</v>
      </c>
      <c r="E21" s="11">
        <f>VLOOKUP(A21,Table1[],20,0)</f>
        <v>151.5</v>
      </c>
      <c r="F21" s="11">
        <f>VLOOKUP(A21,Table1[],22,0)</f>
        <v>75</v>
      </c>
    </row>
    <row r="22" spans="1:6" ht="14.4">
      <c r="A22" s="7" t="s">
        <v>58</v>
      </c>
      <c r="B22" s="11">
        <f>VLOOKUP(A22,Table1[],7,0)</f>
        <v>-1</v>
      </c>
      <c r="C22" s="11">
        <f>VLOOKUP(Task_2!A22,Table1[],8,0)</f>
        <v>-1</v>
      </c>
      <c r="D22" s="11">
        <f>VLOOKUP(A22,Table1[],18,0)</f>
        <v>-1</v>
      </c>
      <c r="E22" s="11">
        <f>VLOOKUP(A22,Table1[],20,0)</f>
        <v>-1</v>
      </c>
      <c r="F22" s="11">
        <f>VLOOKUP(A22,Table1[],22,0)</f>
        <v>-1</v>
      </c>
    </row>
    <row r="23" spans="1:6" ht="14.4">
      <c r="A23" s="7" t="s">
        <v>31</v>
      </c>
      <c r="B23" s="11">
        <f>VLOOKUP(A23,Table1[],7,0)</f>
        <v>45</v>
      </c>
      <c r="C23" s="11">
        <f>VLOOKUP(Task_2!A23,Table1[],8,0)</f>
        <v>65.900000000000006</v>
      </c>
      <c r="D23" s="11">
        <f>VLOOKUP(A23,Table1[],18,0)</f>
        <v>79.400000000000006</v>
      </c>
      <c r="E23" s="11">
        <f>VLOOKUP(A23,Table1[],20,0)</f>
        <v>160.9</v>
      </c>
      <c r="F23" s="11">
        <f>VLOOKUP(A23,Table1[],22,0)</f>
        <v>79.400000000000006</v>
      </c>
    </row>
    <row r="24" spans="1:6" ht="14.4">
      <c r="A24" s="7" t="s">
        <v>32</v>
      </c>
      <c r="B24" s="11">
        <f>VLOOKUP(A24,Table1[],7,0)</f>
        <v>-1</v>
      </c>
      <c r="C24" s="11">
        <f>VLOOKUP(Task_2!A24,Table1[],8,0)</f>
        <v>-1</v>
      </c>
      <c r="D24" s="11">
        <f>VLOOKUP(A24,Table1[],18,0)</f>
        <v>-1</v>
      </c>
      <c r="E24" s="11">
        <f>VLOOKUP(A24,Table1[],20,0)</f>
        <v>-1</v>
      </c>
      <c r="F24" s="11">
        <f>VLOOKUP(A24,Table1[],22,0)</f>
        <v>-1</v>
      </c>
    </row>
    <row r="25" spans="1:6" ht="14.4">
      <c r="A25" s="7" t="s">
        <v>34</v>
      </c>
      <c r="B25" s="11">
        <f>VLOOKUP(A25,Table1[],7,0)</f>
        <v>43.3</v>
      </c>
      <c r="C25" s="11">
        <f>VLOOKUP(Task_2!A25,Table1[],8,0)</f>
        <v>63.6</v>
      </c>
      <c r="D25" s="11">
        <f>VLOOKUP(A25,Table1[],18,0)</f>
        <v>79.400000000000006</v>
      </c>
      <c r="E25" s="11">
        <f>VLOOKUP(A25,Table1[],20,0)</f>
        <v>160.9</v>
      </c>
      <c r="F25" s="11">
        <f>VLOOKUP(A25,Table1[],22,0)</f>
        <v>79.400000000000006</v>
      </c>
    </row>
    <row r="26" spans="1:6" ht="14.4">
      <c r="A26" s="7" t="s">
        <v>37</v>
      </c>
      <c r="B26" s="11">
        <f>VLOOKUP(A26,Table1[],7,0)</f>
        <v>49.1</v>
      </c>
      <c r="C26" s="11">
        <f>VLOOKUP(Task_2!A26,Table1[],8,0)</f>
        <v>72.8</v>
      </c>
      <c r="D26" s="11">
        <f>VLOOKUP(A26,Table1[],18,0)</f>
        <v>90.9</v>
      </c>
      <c r="E26" s="11">
        <f>VLOOKUP(A26,Table1[],20,0)</f>
        <v>183.5</v>
      </c>
      <c r="F26" s="11">
        <f>VLOOKUP(A26,Table1[],22,0)</f>
        <v>90.9</v>
      </c>
    </row>
    <row r="27" spans="1:6" ht="14.4">
      <c r="A27" s="7" t="s">
        <v>39</v>
      </c>
      <c r="B27" s="11">
        <f>VLOOKUP(A27,Table1[],7,0)</f>
        <v>51.8</v>
      </c>
      <c r="C27" s="11">
        <f>VLOOKUP(Task_2!A27,Table1[],8,0)</f>
        <v>77.2</v>
      </c>
      <c r="D27" s="11">
        <f>VLOOKUP(A27,Table1[],18,0)</f>
        <v>93.1</v>
      </c>
      <c r="E27" s="11">
        <f>VLOOKUP(A27,Table1[],20,0)</f>
        <v>188.1</v>
      </c>
      <c r="F27" s="11">
        <f>VLOOKUP(A27,Table1[],22,0)</f>
        <v>93.1</v>
      </c>
    </row>
    <row r="28" spans="1:6" ht="14.4">
      <c r="A28" s="17" t="s">
        <v>82</v>
      </c>
      <c r="B28" s="11">
        <f>MIN(B6:B27)</f>
        <v>-1</v>
      </c>
      <c r="C28" s="11">
        <f>MIN(C6:C27)</f>
        <v>-1</v>
      </c>
      <c r="D28" s="11">
        <f t="shared" ref="D28:F28" si="0">MIN(D6:D27)</f>
        <v>-1</v>
      </c>
      <c r="E28" s="11">
        <f t="shared" si="0"/>
        <v>-1</v>
      </c>
      <c r="F28" s="11">
        <f t="shared" si="0"/>
        <v>-1</v>
      </c>
    </row>
    <row r="29" spans="1:6" ht="14.4">
      <c r="A29" s="17" t="s">
        <v>83</v>
      </c>
      <c r="B29" s="11">
        <f>MAX(B6:B27)</f>
        <v>51.8</v>
      </c>
      <c r="C29" s="11">
        <f t="shared" ref="C29:F29" si="1">MAX(C6:C27)</f>
        <v>77.2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>
      <c r="A30" s="17" t="s">
        <v>84</v>
      </c>
      <c r="B30" s="11">
        <f>AVERAGE(B6:B27)</f>
        <v>20.827272727272728</v>
      </c>
      <c r="C30" s="11">
        <f t="shared" ref="C30:F30" si="2">AVERAGE(C6:C27)</f>
        <v>30.831818181818186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B5" sqref="B5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38" customFormat="1" ht="21">
      <c r="A1" s="39" t="s">
        <v>56</v>
      </c>
      <c r="B1" s="38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18">
      <c r="A5" s="40" t="s">
        <v>53</v>
      </c>
      <c r="B5" s="43" t="s">
        <v>16538</v>
      </c>
    </row>
    <row r="6" spans="1:10" ht="18">
      <c r="A6" s="40" t="s">
        <v>153</v>
      </c>
      <c r="B6" s="43" t="s">
        <v>16539</v>
      </c>
    </row>
    <row r="7" spans="1:10" ht="18">
      <c r="A7" s="40"/>
      <c r="B7" s="44" t="s">
        <v>16540</v>
      </c>
    </row>
    <row r="9" spans="1:10" ht="23.4">
      <c r="A9" s="16" t="s">
        <v>165</v>
      </c>
      <c r="I9" s="2"/>
      <c r="J9" s="2"/>
    </row>
    <row r="10" spans="1:10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6" t="s">
        <v>162</v>
      </c>
    </row>
    <row r="15" spans="1:10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39" t="s">
        <v>85</v>
      </c>
      <c r="B1" s="38" t="s">
        <v>167</v>
      </c>
    </row>
    <row r="2" spans="1:3" ht="18">
      <c r="B2" s="37" t="s">
        <v>166</v>
      </c>
    </row>
    <row r="5" spans="1:3" ht="14.4">
      <c r="B5" s="1" t="s">
        <v>151</v>
      </c>
    </row>
    <row r="6" spans="1:3" ht="14.4">
      <c r="A6" s="3" t="s">
        <v>53</v>
      </c>
      <c r="B6" s="56" t="s">
        <v>16541</v>
      </c>
    </row>
    <row r="7" spans="1:3" ht="14.4">
      <c r="A7" s="3" t="s">
        <v>153</v>
      </c>
      <c r="B7" s="56" t="s">
        <v>16542</v>
      </c>
    </row>
    <row r="10" spans="1:3" ht="23.4">
      <c r="A10" s="16" t="s">
        <v>162</v>
      </c>
    </row>
    <row r="11" spans="1:3" ht="14.4">
      <c r="A11" s="29" t="s">
        <v>86</v>
      </c>
      <c r="B11" s="15" t="s">
        <v>87</v>
      </c>
      <c r="C11" s="15" t="s">
        <v>88</v>
      </c>
    </row>
    <row r="12" spans="1:3" ht="14.4">
      <c r="A12" s="29">
        <v>44927</v>
      </c>
      <c r="B12" s="15" t="s">
        <v>59</v>
      </c>
      <c r="C12" s="15">
        <v>200</v>
      </c>
    </row>
    <row r="13" spans="1:3" ht="14.4">
      <c r="A13" s="29">
        <v>44928</v>
      </c>
      <c r="B13" s="15" t="s">
        <v>60</v>
      </c>
      <c r="C13" s="15" t="e">
        <v>#N/A</v>
      </c>
    </row>
    <row r="14" spans="1:3" ht="14.4">
      <c r="A14" s="29">
        <v>44929</v>
      </c>
      <c r="B14" s="15" t="s">
        <v>61</v>
      </c>
      <c r="C14" s="15">
        <v>50</v>
      </c>
    </row>
    <row r="15" spans="1:3" ht="14.4">
      <c r="A15" s="29">
        <v>44930</v>
      </c>
      <c r="B15" s="15" t="s">
        <v>62</v>
      </c>
      <c r="C15" s="15" t="e">
        <v>#N/A</v>
      </c>
    </row>
    <row r="16" spans="1:3" ht="14.4">
      <c r="A16" s="29">
        <v>44931</v>
      </c>
      <c r="B16" s="15" t="s">
        <v>63</v>
      </c>
      <c r="C16" s="15">
        <v>10</v>
      </c>
    </row>
    <row r="17" spans="1:3" ht="14.4">
      <c r="A17" s="29">
        <v>44932</v>
      </c>
      <c r="B17" s="15" t="s">
        <v>154</v>
      </c>
      <c r="C17" s="15">
        <v>150</v>
      </c>
    </row>
    <row r="18" spans="1:3" ht="14.4">
      <c r="A18" s="29">
        <v>44933</v>
      </c>
      <c r="B18" s="15" t="s">
        <v>155</v>
      </c>
      <c r="C18" s="15">
        <v>80</v>
      </c>
    </row>
    <row r="19" spans="1:3" ht="14.4">
      <c r="A19" s="29">
        <v>44934</v>
      </c>
      <c r="B19" s="15" t="s">
        <v>156</v>
      </c>
      <c r="C19" s="15" t="e">
        <v>#N/A</v>
      </c>
    </row>
    <row r="20" spans="1:3" ht="14.4">
      <c r="A20" s="29">
        <v>44935</v>
      </c>
      <c r="B20" s="15" t="s">
        <v>157</v>
      </c>
      <c r="C20" s="15">
        <v>30</v>
      </c>
    </row>
    <row r="21" spans="1:3" ht="14.4">
      <c r="A21" s="29">
        <v>44936</v>
      </c>
      <c r="B21" s="15" t="s">
        <v>158</v>
      </c>
      <c r="C21" s="15" t="e">
        <v>#N/A</v>
      </c>
    </row>
    <row r="22" spans="1:3" ht="14.4">
      <c r="B22" s="15" t="s">
        <v>159</v>
      </c>
      <c r="C22" s="55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5" sqref="B5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39" t="s">
        <v>98</v>
      </c>
      <c r="B1" s="38" t="s">
        <v>175</v>
      </c>
    </row>
    <row r="3" spans="1:14" ht="14.4">
      <c r="B3" s="1" t="s">
        <v>151</v>
      </c>
    </row>
    <row r="4" spans="1:14" ht="18">
      <c r="A4" s="40" t="s">
        <v>53</v>
      </c>
      <c r="B4" s="1"/>
      <c r="C4" s="57" t="s">
        <v>16543</v>
      </c>
    </row>
    <row r="5" spans="1:14" ht="18">
      <c r="A5" s="40" t="s">
        <v>153</v>
      </c>
      <c r="B5" s="1" t="s">
        <v>16544</v>
      </c>
    </row>
    <row r="6" spans="1:14" ht="14.4">
      <c r="A6" s="3"/>
      <c r="B6" s="1"/>
    </row>
    <row r="8" spans="1:14" ht="23.4">
      <c r="A8" s="16" t="s">
        <v>162</v>
      </c>
      <c r="M8" s="16" t="s">
        <v>163</v>
      </c>
    </row>
    <row r="9" spans="1:14" ht="14.4">
      <c r="A9" s="46" t="s">
        <v>178</v>
      </c>
      <c r="B9" s="47" t="s">
        <v>89</v>
      </c>
      <c r="C9" s="47" t="s">
        <v>90</v>
      </c>
      <c r="D9" s="47" t="s">
        <v>91</v>
      </c>
      <c r="E9" s="47" t="s">
        <v>92</v>
      </c>
      <c r="F9" s="47" t="s">
        <v>93</v>
      </c>
      <c r="G9" s="47" t="s">
        <v>94</v>
      </c>
      <c r="H9" s="47" t="s">
        <v>95</v>
      </c>
      <c r="I9" s="47" t="s">
        <v>96</v>
      </c>
      <c r="J9" s="48" t="s">
        <v>97</v>
      </c>
      <c r="M9" s="53" t="s">
        <v>43</v>
      </c>
      <c r="N9" s="54" t="s">
        <v>99</v>
      </c>
    </row>
    <row r="10" spans="1:14" ht="14.4">
      <c r="A10" s="45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35">
        <v>525</v>
      </c>
      <c r="M10" s="52">
        <v>10100</v>
      </c>
      <c r="N10" s="7" t="s">
        <v>89</v>
      </c>
    </row>
    <row r="11" spans="1:14" ht="14.4">
      <c r="A11" s="45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35">
        <v>430</v>
      </c>
      <c r="M11" s="52">
        <v>10102</v>
      </c>
      <c r="N11" s="7" t="s">
        <v>90</v>
      </c>
    </row>
    <row r="12" spans="1:14" ht="14.4">
      <c r="A12" s="45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35">
        <v>400</v>
      </c>
      <c r="M12" s="52">
        <v>10104</v>
      </c>
      <c r="N12" s="7" t="s">
        <v>91</v>
      </c>
    </row>
    <row r="13" spans="1:14" ht="14.4">
      <c r="A13" s="45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35">
        <v>340</v>
      </c>
      <c r="M13" s="52">
        <v>10106</v>
      </c>
      <c r="N13" s="7" t="s">
        <v>92</v>
      </c>
    </row>
    <row r="14" spans="1:14" ht="14.4">
      <c r="A14" s="45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35">
        <v>270</v>
      </c>
      <c r="M14" s="52">
        <v>10108</v>
      </c>
      <c r="N14" s="7" t="s">
        <v>93</v>
      </c>
    </row>
    <row r="15" spans="1:14" ht="14.4">
      <c r="A15" s="45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35">
        <v>220</v>
      </c>
      <c r="M15" s="52">
        <v>10110</v>
      </c>
      <c r="N15" s="7" t="s">
        <v>94</v>
      </c>
    </row>
    <row r="16" spans="1:14" ht="14.4">
      <c r="A16" s="45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35">
        <v>105</v>
      </c>
      <c r="M16" s="52">
        <v>10112</v>
      </c>
      <c r="N16" s="7" t="s">
        <v>95</v>
      </c>
    </row>
    <row r="17" spans="1:14" ht="14.4">
      <c r="A17" s="45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35">
        <v>40</v>
      </c>
      <c r="M17" s="52">
        <v>10114</v>
      </c>
      <c r="N17" s="7" t="s">
        <v>96</v>
      </c>
    </row>
    <row r="18" spans="1:14" ht="14.4">
      <c r="A18" s="49" t="s">
        <v>97</v>
      </c>
      <c r="B18" s="50">
        <v>525</v>
      </c>
      <c r="C18" s="50">
        <v>430</v>
      </c>
      <c r="D18" s="50">
        <v>400</v>
      </c>
      <c r="E18" s="50">
        <v>340</v>
      </c>
      <c r="F18" s="50">
        <v>270</v>
      </c>
      <c r="G18" s="50">
        <v>220</v>
      </c>
      <c r="H18" s="50">
        <v>105</v>
      </c>
      <c r="I18" s="50">
        <v>40</v>
      </c>
      <c r="J18" s="51">
        <v>-1</v>
      </c>
      <c r="M18" s="52">
        <v>10116</v>
      </c>
      <c r="N18" s="7" t="s">
        <v>97</v>
      </c>
    </row>
    <row r="21" spans="1:14" ht="23.4">
      <c r="A21" s="16" t="s">
        <v>168</v>
      </c>
    </row>
    <row r="22" spans="1:14" ht="14.4">
      <c r="A22" s="9" t="s">
        <v>100</v>
      </c>
      <c r="B22" s="12" t="s">
        <v>101</v>
      </c>
      <c r="C22" s="9" t="s">
        <v>102</v>
      </c>
    </row>
    <row r="23" spans="1:14" ht="14.4">
      <c r="A23" s="1">
        <v>10100</v>
      </c>
      <c r="B23" s="11">
        <v>10102</v>
      </c>
      <c r="C23" s="2">
        <f>INDEX(Table_A[#All],MATCH(VLOOKUP(A23,Table_B[],2,0),Table_A[[#All],[Column1]],0),MATCH(VLOOKUP(B23,Table_B[],2,0),Table_A[#Headers],0))</f>
        <v>95</v>
      </c>
      <c r="E23" s="2" t="str">
        <f>VLOOKUP(B23,Table_B[],2,0)</f>
        <v>B</v>
      </c>
    </row>
    <row r="24" spans="1:14" ht="14.4">
      <c r="A24" s="1">
        <v>10100</v>
      </c>
      <c r="B24" s="11">
        <v>10104</v>
      </c>
      <c r="C24" s="2">
        <f>INDEX(Table_A[#All],MATCH(VLOOKUP(A24,Table_B[],2,0),Table_A[[#All],[Column1]],0),MATCH(VLOOKUP(B24,Table_B[],2,0),Table_A[#Headers],0))</f>
        <v>-1</v>
      </c>
      <c r="E24" s="2" t="str">
        <f>VLOOKUP(A23,Table_B[],2,0)</f>
        <v>A</v>
      </c>
    </row>
    <row r="25" spans="1:14" ht="14.4">
      <c r="A25" s="1">
        <v>10108</v>
      </c>
      <c r="B25" s="11">
        <v>10102</v>
      </c>
      <c r="C25" s="2">
        <f>INDEX(Table_A[#All],MATCH(VLOOKUP(A25,Table_B[],2,0),Table_A[[#All],[Column1]],0),MATCH(VLOOKUP(B25,Table_B[],2,0),Table_A[#Headers],0))</f>
        <v>160</v>
      </c>
      <c r="E25" s="2" t="str">
        <f>INDEX(Table_A[#All],MATCH(E24,Table_A[Column1],0),MATCH(E23,Table_A[#Headers],0))</f>
        <v>B</v>
      </c>
    </row>
    <row r="26" spans="1:14" ht="14.4">
      <c r="A26" s="1">
        <v>10100</v>
      </c>
      <c r="B26" s="11">
        <v>10106</v>
      </c>
      <c r="C26" s="2">
        <f>INDEX(Table_A[#All],MATCH(VLOOKUP(A26,Table_B[],2,0),Table_A[[#All],[Column1]],0),MATCH(VLOOKUP(B26,Table_B[],2,0),Table_A[#Headers],0))</f>
        <v>185</v>
      </c>
    </row>
    <row r="27" spans="1:14" ht="14.4">
      <c r="A27" s="1">
        <v>10108</v>
      </c>
      <c r="B27" s="11">
        <v>10110</v>
      </c>
      <c r="C27" s="2">
        <f>INDEX(Table_A[#All],MATCH(VLOOKUP(A27,Table_B[],2,0),Table_A[[#All],[Column1]],0),MATCH(VLOOKUP(B27,Table_B[],2,0),Table_A[#Headers],0))</f>
        <v>50</v>
      </c>
    </row>
    <row r="28" spans="1:14" ht="14.4">
      <c r="A28" s="1">
        <v>10102</v>
      </c>
      <c r="B28" s="11">
        <v>10104</v>
      </c>
      <c r="C28" s="2">
        <f>INDEX(Table_A[#All],MATCH(VLOOKUP(A28,Table_B[],2,0),Table_A[[#All],[Column1]],0),MATCH(VLOOKUP(B28,Table_B[],2,0),Table_A[#Headers],0))</f>
        <v>-1</v>
      </c>
    </row>
    <row r="29" spans="1:14" ht="14.4">
      <c r="A29" s="1">
        <v>10106</v>
      </c>
      <c r="B29" s="11">
        <v>10108</v>
      </c>
      <c r="C29" s="2">
        <f>INDEX(Table_A[#All],MATCH(VLOOKUP(A29,Table_B[],2,0),Table_A[[#All],[Column1]],0),MATCH(VLOOKUP(B29,Table_B[],2,0),Table_A[#Headers],0))</f>
        <v>70</v>
      </c>
    </row>
    <row r="30" spans="1:14" ht="14.4">
      <c r="A30" s="1">
        <v>10102</v>
      </c>
      <c r="B30" s="11">
        <v>10106</v>
      </c>
      <c r="C30" s="2">
        <f>INDEX(Table_A[#All],MATCH(VLOOKUP(A30,Table_B[],2,0),Table_A[[#All],[Column1]],0),MATCH(VLOOKUP(B30,Table_B[],2,0),Table_A[#Headers],0))</f>
        <v>90</v>
      </c>
    </row>
    <row r="31" spans="1:14" ht="14.4">
      <c r="A31" s="1">
        <v>10110</v>
      </c>
      <c r="B31" s="11">
        <v>10114</v>
      </c>
      <c r="C31" s="2">
        <f>INDEX(Table_A[#All],MATCH(VLOOKUP(A31,Table_B[],2,0),Table_A[[#All],[Column1]],0),MATCH(VLOOKUP(B31,Table_B[],2,0),Table_A[#Headers],0))</f>
        <v>180</v>
      </c>
    </row>
    <row r="32" spans="1:14" ht="14.4">
      <c r="A32" s="1">
        <v>10104</v>
      </c>
      <c r="B32" s="11">
        <v>10106</v>
      </c>
      <c r="C32" s="2">
        <f>INDEX(Table_A[#All],MATCH(VLOOKUP(A32,Table_B[],2,0),Table_A[[#All],[Column1]],0),MATCH(VLOOKUP(B32,Table_B[],2,0),Table_A[#Headers],0))</f>
        <v>60</v>
      </c>
    </row>
    <row r="33" spans="1:3" ht="14.4">
      <c r="A33" s="1">
        <v>10110</v>
      </c>
      <c r="B33" s="11">
        <v>10112</v>
      </c>
      <c r="C33" s="2">
        <f>INDEX(Table_A[#All],MATCH(VLOOKUP(A33,Table_B[],2,0),Table_A[[#All],[Column1]],0),MATCH(VLOOKUP(B33,Table_B[],2,0),Table_A[#Headers],0))</f>
        <v>115</v>
      </c>
    </row>
    <row r="34" spans="1:3" ht="14.4">
      <c r="A34" s="1">
        <v>10100</v>
      </c>
      <c r="B34" s="11">
        <v>10114</v>
      </c>
      <c r="C34" s="2">
        <f>INDEX(Table_A[#All],MATCH(VLOOKUP(A34,Table_B[],2,0),Table_A[[#All],[Column1]],0),MATCH(VLOOKUP(B34,Table_B[],2,0),Table_A[#Headers],0))</f>
        <v>480</v>
      </c>
    </row>
    <row r="35" spans="1:3" ht="14.4">
      <c r="A35" s="1">
        <v>10112</v>
      </c>
      <c r="B35" s="11">
        <v>10116</v>
      </c>
      <c r="C35" s="2">
        <f>INDEX(Table_A[#All],MATCH(VLOOKUP(A35,Table_B[],2,0),Table_A[[#All],[Column1]],0),MATCH(VLOOKUP(B35,Table_B[],2,0),Table_A[#Headers],0))</f>
        <v>105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priyadharshini k</cp:lastModifiedBy>
  <dcterms:created xsi:type="dcterms:W3CDTF">2015-02-10T17:33:11Z</dcterms:created>
  <dcterms:modified xsi:type="dcterms:W3CDTF">2023-12-10T17:15:26Z</dcterms:modified>
</cp:coreProperties>
</file>